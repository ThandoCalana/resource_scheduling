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lipstreamconsulting-my.sharepoint.com/personal/thando_calana_slipstreamdata_co_za/Documents/Documents/Slipstream/resource_scheduling/Schedule/"/>
    </mc:Choice>
  </mc:AlternateContent>
  <xr:revisionPtr revIDLastSave="62" documentId="11_3DE9B460BD5D387BC3E9CB73F0C1B96BE129B3A9" xr6:coauthVersionLast="47" xr6:coauthVersionMax="47" xr10:uidLastSave="{C95C338A-E908-4373-BE46-686F1C80DB6D}"/>
  <bookViews>
    <workbookView xWindow="-108" yWindow="-108" windowWidth="23256" windowHeight="12456" firstSheet="11" activeTab="15" xr2:uid="{00000000-000D-0000-FFFF-FFFF00000000}"/>
  </bookViews>
  <sheets>
    <sheet name="Names" sheetId="1" r:id="rId1"/>
    <sheet name="Daily Loads" sheetId="2" r:id="rId2"/>
    <sheet name="Monthly Aggregation" sheetId="3" r:id="rId3"/>
    <sheet name="Andrew" sheetId="4" r:id="rId4"/>
    <sheet name="Azabenathi Pupuma" sheetId="5" r:id="rId5"/>
    <sheet name="Ben Brooker" sheetId="6" r:id="rId6"/>
    <sheet name="Flora Kundaeli" sheetId="7" r:id="rId7"/>
    <sheet name="Mark" sheetId="8" r:id="rId8"/>
    <sheet name="Michael Malia" sheetId="9" r:id="rId9"/>
    <sheet name="Ntsako Mavuyangwa" sheetId="10" r:id="rId10"/>
    <sheet name="Palesa Maboeei" sheetId="11" r:id="rId11"/>
    <sheet name="Riyadh Leonard" sheetId="12" r:id="rId12"/>
    <sheet name="Robin April" sheetId="13" r:id="rId13"/>
    <sheet name="Sandisiwe Manquma" sheetId="14" r:id="rId14"/>
    <sheet name="Suzanne Edlmann" sheetId="15" r:id="rId15"/>
    <sheet name="Thando Calana" sheetId="16" r:id="rId16"/>
    <sheet name="Thembani Faleni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7" l="1"/>
  <c r="C24" i="17"/>
  <c r="D24" i="17"/>
  <c r="B31" i="16"/>
  <c r="C31" i="16"/>
  <c r="D31" i="16"/>
  <c r="B12" i="15"/>
  <c r="C12" i="15"/>
  <c r="D12" i="15"/>
  <c r="B55" i="14"/>
  <c r="C55" i="14"/>
  <c r="D55" i="14"/>
  <c r="B77" i="13"/>
  <c r="C77" i="13"/>
  <c r="D77" i="13"/>
  <c r="B36" i="12"/>
  <c r="C36" i="12"/>
  <c r="D36" i="12"/>
  <c r="B36" i="11"/>
  <c r="C36" i="11"/>
  <c r="D36" i="11"/>
  <c r="B28" i="10"/>
  <c r="C28" i="10"/>
  <c r="D28" i="10"/>
  <c r="B24" i="9"/>
  <c r="C24" i="9"/>
  <c r="D24" i="9"/>
  <c r="B50" i="8"/>
  <c r="C50" i="8"/>
  <c r="D50" i="8"/>
  <c r="B92" i="7"/>
  <c r="C92" i="7"/>
  <c r="D92" i="7"/>
  <c r="B31" i="6"/>
  <c r="C31" i="6"/>
  <c r="D31" i="6"/>
  <c r="B22" i="5"/>
  <c r="C22" i="5"/>
  <c r="D22" i="5"/>
  <c r="B16" i="3"/>
  <c r="C16" i="3"/>
  <c r="D16" i="3"/>
  <c r="B89" i="4"/>
  <c r="C89" i="4"/>
  <c r="D89" i="4"/>
</calcChain>
</file>

<file path=xl/sharedStrings.xml><?xml version="1.0" encoding="utf-8"?>
<sst xmlns="http://schemas.openxmlformats.org/spreadsheetml/2006/main" count="683" uniqueCount="421">
  <si>
    <t>Team Member</t>
  </si>
  <si>
    <t>Andrew</t>
  </si>
  <si>
    <t>Azabenathi Pupuma</t>
  </si>
  <si>
    <t>Ben Brooker</t>
  </si>
  <si>
    <t>Flora Kundaeli</t>
  </si>
  <si>
    <t>Mark</t>
  </si>
  <si>
    <t>Michael Malia</t>
  </si>
  <si>
    <t>Ntsako Mavuyangwa</t>
  </si>
  <si>
    <t>Palesa Maboeei</t>
  </si>
  <si>
    <t>Riyadh Leonard</t>
  </si>
  <si>
    <t>Robin April</t>
  </si>
  <si>
    <t>Sandisiwe Manquma</t>
  </si>
  <si>
    <t>Suzanne Edlmann</t>
  </si>
  <si>
    <t>Thando Calana</t>
  </si>
  <si>
    <t>Thembani Faleni</t>
  </si>
  <si>
    <t>Date</t>
  </si>
  <si>
    <t>January 2026</t>
  </si>
  <si>
    <t>February 2026</t>
  </si>
  <si>
    <t>March 2026</t>
  </si>
  <si>
    <t>Task</t>
  </si>
  <si>
    <t>Agentforce - Customer Success</t>
  </si>
  <si>
    <t>Alteryx Amazon Athena Connection, Data Cloud Implentation Questions</t>
  </si>
  <si>
    <t>BCX Costing</t>
  </si>
  <si>
    <t>C-Track Demo</t>
  </si>
  <si>
    <t>C-Track Tableau demo</t>
  </si>
  <si>
    <t>C-Track Tableau opportunity , ScaleUp Homework sessions</t>
  </si>
  <si>
    <t>Canceled: Tableau Tribe Development and Upskilling</t>
  </si>
  <si>
    <t>Catch-up on Tableau for 2026</t>
  </si>
  <si>
    <t>Catch-up on Tableau for 2026, Tableau Tribe Development and Upskilling</t>
  </si>
  <si>
    <t>DSY DW - Daily standup</t>
  </si>
  <si>
    <t>DW: Weekly round-up meeting</t>
  </si>
  <si>
    <t>DW: Weekly round-up meeting, Monthly Management Meeting</t>
  </si>
  <si>
    <t>Daily Stand Up</t>
  </si>
  <si>
    <t>Data Cloud Implentation Questions</t>
  </si>
  <si>
    <t>Data Cloud Implentation Questions, Wonga: DWH development &amp; migration on Snowflake Project Daily Standup**Internal**</t>
  </si>
  <si>
    <t>Databricks</t>
  </si>
  <si>
    <t>Dave and Alex - Slipstream &amp; Sir Fruit , Strategy and solution Day</t>
  </si>
  <si>
    <t>FW: Weekly Check-In: Tableau Progress</t>
  </si>
  <si>
    <t>FY 26 - Tech Team Promotions</t>
  </si>
  <si>
    <t>Internal Migration - Review</t>
  </si>
  <si>
    <t>Internal Salesforce (Tableau &amp; Mulesoft) demo &amp; positioning capabilities</t>
  </si>
  <si>
    <t>Intro Slipstream Data (slipstreamdata.co.za)</t>
  </si>
  <si>
    <t>Investec Purview skills discussion | Slipstream Data , Strategy and solution Day, Wonga: DWH Project Monthly Retrospective Sessions **Internal Meeting**</t>
  </si>
  <si>
    <t>Invite: FY27 Partner Summit &amp; Kick-Off</t>
  </si>
  <si>
    <t>Invite: FY27 Partner Summit &amp; Kick-Off , DW: Weekly round-up meeting</t>
  </si>
  <si>
    <t>Invite: FY27 Partner Summit &amp; Kick-Off , Daily Stand Up</t>
  </si>
  <si>
    <t>Invite: FY27 Partner Summit &amp; Kick-Off , Weekly Sync: Nate &lt;&gt; Andrew</t>
  </si>
  <si>
    <t>Invite: FY27 Partner Summit &amp; Kick-Off , Wonga: DWH development &amp; migration on Snowflake Project Sprint Planning Session</t>
  </si>
  <si>
    <t>Making Agents Work: How the ecosystem unlocks enterprise value</t>
  </si>
  <si>
    <t>Making Agents Work: How the ecosystem unlocks enterprise value, Wonga: DWH development &amp; migration on Snowflake Project Daily Standup**Internal**</t>
  </si>
  <si>
    <t>Monthly Management Meeting</t>
  </si>
  <si>
    <t>Mulesoft / Slipstream intro &amp; discussion</t>
  </si>
  <si>
    <t>Muzi x Andrew</t>
  </si>
  <si>
    <t>Muzi x Andrew - Wgae Flow MVP</t>
  </si>
  <si>
    <t>Muzi x Andrew, Muzi x Andrew</t>
  </si>
  <si>
    <t>OPS Exec Updates</t>
  </si>
  <si>
    <t>PMO Office Hours Sessions</t>
  </si>
  <si>
    <t>PMO Office Hours Sessions, Data Cloud Implentation Questions</t>
  </si>
  <si>
    <t>Product Management Sync</t>
  </si>
  <si>
    <t>Reminder: Update and Submit Timesheets, Daily Stand Up</t>
  </si>
  <si>
    <t>SDH Security, Routing &amp; Infra, Strategy and solution Day, Wonga: DWH development &amp; migration on Snowflake Project Daily Standup**With Client**</t>
  </si>
  <si>
    <t>Scale Up - Core Strategy</t>
  </si>
  <si>
    <t>Scale Up - Core Strategy , Daily Stand Up</t>
  </si>
  <si>
    <t>Scale Up - Core Strategy , Wonga: DWH development &amp; migration on Snowflake Project Sprint Planning Session</t>
  </si>
  <si>
    <t>ScaleUp - Core Values</t>
  </si>
  <si>
    <t>ScaleUp - Core Values, DW: Weekly round-up meeting</t>
  </si>
  <si>
    <t>ScaleUp - Core Values, Weekly Sync: Nate &lt;&gt; Andrew</t>
  </si>
  <si>
    <t>ScaleUp - Core Values, Wonga: DWH development &amp; migration on Snowflake Project Sprint Planning Session</t>
  </si>
  <si>
    <t>ScaleUp - Market Strategy</t>
  </si>
  <si>
    <t>ScaleUp - Market Strategy , DW: Weekly round-up meeting</t>
  </si>
  <si>
    <t>ScaleUp - Market Strategy , Daily Stand Up</t>
  </si>
  <si>
    <t>ScaleUp - Market Strategy , Weekly Sync: Nate &lt;&gt; Andrew</t>
  </si>
  <si>
    <t>ScaleUp Homework sessions</t>
  </si>
  <si>
    <t>Setup connections via the SDH bridge; Test that all is working, Scale Up - Core Strategy</t>
  </si>
  <si>
    <t>Shoprite - Tableau &amp; Alteryx Connections, Strategy and solution Day</t>
  </si>
  <si>
    <t>Shoprite - Tableau &amp; Alteryx Connections, Strategy and solution Day, Wonga: DWH development &amp; migration on Snowflake Project Daily Standup**With Client**</t>
  </si>
  <si>
    <t>Shoprite Athena Setup Next Steps Discussion</t>
  </si>
  <si>
    <t>Shoprite SLA Internal Review</t>
  </si>
  <si>
    <t>Slipstream Check In, Strategy and solution Day, Wonga: DWH Project Monthly Retrospective Sessions **Internal Meeting**</t>
  </si>
  <si>
    <t>Slipstream Data / WhereScape</t>
  </si>
  <si>
    <t>Slipstream Data / WhereScape, Strategy and solution Day</t>
  </si>
  <si>
    <t>Slipstream Data – Meeting Confirmation for 10 February 2026</t>
  </si>
  <si>
    <t>Strategy and solution Day</t>
  </si>
  <si>
    <t>Strategy and solution Day, FW: Weekly Check-In: Tableau Progress</t>
  </si>
  <si>
    <t>Strategy and solution Day, OPS Exec Updates</t>
  </si>
  <si>
    <t>Strategy and solution Day, Wonga: DWH Project Monthly Retrospective Sessions **Internal Meeting**</t>
  </si>
  <si>
    <t>Strategy and solution Day, Wonga: DWH development &amp; migration on Snowflake Project Daily Standup**With Client**</t>
  </si>
  <si>
    <t>Tableau Server-HANA security integration</t>
  </si>
  <si>
    <t>Tableau Support Escalation: Shoprite Athena Connection, BCX | Slipstream - Power BI to Tableau support</t>
  </si>
  <si>
    <t>Tableau Tribe Development and Upskilling</t>
  </si>
  <si>
    <t>Taquanta: Weekly SLA &amp; Projects update (Client meeting)</t>
  </si>
  <si>
    <t>Visit the Nurick's</t>
  </si>
  <si>
    <t>Wage Flow Sum Zero Session (Muzi x Andrew X Dr E)</t>
  </si>
  <si>
    <t>Weekly Sync: Nate &lt;&gt; Andrew</t>
  </si>
  <si>
    <t>Weekly Sync: Nate &lt;&gt; Andrew, Monthly Management Meeting</t>
  </si>
  <si>
    <t>Weekly sales meeting</t>
  </si>
  <si>
    <t>WhereScape for Fabric (Parner demo for Slipstream)</t>
  </si>
  <si>
    <t>Wonga: DWH Project Monthly Retrospective Sessions **Internal Meeting**</t>
  </si>
  <si>
    <t>Wonga: DWH Project SLA/Support Hours Discussion</t>
  </si>
  <si>
    <t>Wonga: DWH Project SLA/Support Hours Review with Alex</t>
  </si>
  <si>
    <t>Wonga: DWH Project Tech Team Weekly Various Topics Collaboration Session **Client Onsite Meeting**</t>
  </si>
  <si>
    <t>Wonga: DWH development &amp; migration on Snowflake Project Daily Standup**Internal**</t>
  </si>
  <si>
    <t>Wonga: DWH development &amp; migration on Snowflake Project Daily Standup**Internal**, Data Cloud Implentation Questions</t>
  </si>
  <si>
    <t>Wonga: DWH development &amp; migration on Snowflake Project Daily Standup**Internal**, PMO Office Hours Sessions, Data Cloud Implentation Questions</t>
  </si>
  <si>
    <t>Wonga: DWH development &amp; migration on Snowflake Project Daily Standup**With Client**</t>
  </si>
  <si>
    <t>Wonga: DWH development &amp; migration on Snowflake Project Sprint Planning Session</t>
  </si>
  <si>
    <t>prep session for Shoprite SLA's</t>
  </si>
  <si>
    <t>Aza &lt;&gt; Nate - 1:1</t>
  </si>
  <si>
    <t>Canceled: ShopRite SLA Report Monthly Prep (Tableau, Alteryx, B2B), Taquanta: Weekly SLA &amp; Projects update (Client meeting)</t>
  </si>
  <si>
    <t>Canceled: Tech Team Planning</t>
  </si>
  <si>
    <t>Canceled: Tech Team Planning , Taquanta: Projects Internal Standup</t>
  </si>
  <si>
    <t>Canceled: Tech Team Planning , Wonga: DWH Project Tech Team Weekly Various Topics Collaboration Session **Client Onsite Meeting**</t>
  </si>
  <si>
    <t>Collections Mart Validation Output</t>
  </si>
  <si>
    <t>GIT best practice</t>
  </si>
  <si>
    <t>NCR_Data</t>
  </si>
  <si>
    <t>Taquanta: Projects Internal Standup</t>
  </si>
  <si>
    <t>VPN Configuration Slipstream</t>
  </si>
  <si>
    <t>Wonga DWH Staging</t>
  </si>
  <si>
    <t>WongaZA: Merge to Staging</t>
  </si>
  <si>
    <t>Alteryx | Slipstream Introduction</t>
  </si>
  <si>
    <t>B2B Portal Issue</t>
  </si>
  <si>
    <t>Ben &lt;&gt; Nate - 1:1</t>
  </si>
  <si>
    <t>Canceled: PM Alignment Meeting</t>
  </si>
  <si>
    <t>PM Forum</t>
  </si>
  <si>
    <t>Shoprite Analytics|| Cloud BI Daily Stand Up</t>
  </si>
  <si>
    <t>Shoprite Analytics|| Cloud BI Daily Stand Up, Wonga: DWH Project Tech Team Weekly Various Topics Collaboration Session **Client Onsite Meeting**</t>
  </si>
  <si>
    <t>Tech Job Competency Guidelines</t>
  </si>
  <si>
    <t>Varchar lengths review</t>
  </si>
  <si>
    <t>Warehouse merge - Staging into Prod</t>
  </si>
  <si>
    <t>Wonga: DWH Project SLA/Support Hours Review with Alex, Ben &lt;&gt; Nate - 1:1</t>
  </si>
  <si>
    <t>WongaZA: Merge to Staging, Shoprite Analytics|| Cloud BI Daily Stand Up</t>
  </si>
  <si>
    <t>datalake varchars review</t>
  </si>
  <si>
    <t>AML Meeting with AML team</t>
  </si>
  <si>
    <t>AML Risk Return report (end of Jan submission) - Check in</t>
  </si>
  <si>
    <t>AML Risk Return report (end of Jan submission) - Check in, Workday Access Case-46701, SS-JobComp</t>
  </si>
  <si>
    <t>AML Risk Return report (end of Jan submission), OM Work</t>
  </si>
  <si>
    <t>Admin (RAs,Tax,MA), OM Work</t>
  </si>
  <si>
    <t>Admin|PLN (OM SS)</t>
  </si>
  <si>
    <t>Advisor Recon</t>
  </si>
  <si>
    <t>Advisor Recon (manual run), Old Mutual Access (IT), OM Work</t>
  </si>
  <si>
    <t>Advisor Recon, OM Work</t>
  </si>
  <si>
    <t>Agentforce - Customer Success, OM Work</t>
  </si>
  <si>
    <t>Alignment Zay (Access, Ticket update, scheduling), OM Work</t>
  </si>
  <si>
    <t>Alteryx Workflow Fix Foreigners | Align GIT</t>
  </si>
  <si>
    <t>BCX | Slipstream - Power BI to Tableau support , Slipstream, OM Work</t>
  </si>
  <si>
    <t>Blocked Slipstream: AgentForce</t>
  </si>
  <si>
    <t>Blocked Slipstream: C-Track Prep Tableau Pulse</t>
  </si>
  <si>
    <t>Blocked Slipstream: CTrack</t>
  </si>
  <si>
    <t>Blocked Slipstream: PM Tableau Next, Pulse, MCP</t>
  </si>
  <si>
    <t>Blocked Slipstream: Sn</t>
  </si>
  <si>
    <t>Blocked Slipstream: SnowPro</t>
  </si>
  <si>
    <t>C-Track Tableau opportunity , Slipstream</t>
  </si>
  <si>
    <t>CBR Review And FATCA Workflows, OM Work</t>
  </si>
  <si>
    <t>CDC-3297, OM Work</t>
  </si>
  <si>
    <t>CDC-3297, Product Management Sync, OM Work</t>
  </si>
  <si>
    <t>CTRack</t>
  </si>
  <si>
    <t>CTrack</t>
  </si>
  <si>
    <t>Ctrack</t>
  </si>
  <si>
    <t>FATCA</t>
  </si>
  <si>
    <t>FATCA CDC 3297, OM Work</t>
  </si>
  <si>
    <t>FATCA, Product Management: C-Track Tableau Nexus</t>
  </si>
  <si>
    <t>FATCA/CRS CDC-3297 redeployment</t>
  </si>
  <si>
    <t>FATCA/CRS CDC-3297 redeployment, Agentforce - Customer Success, OM Work</t>
  </si>
  <si>
    <t>FATCA/CRS CDC-3297 redeployment, OM Work</t>
  </si>
  <si>
    <t>FATCA/CRS lag in files/workflow running, OM Work</t>
  </si>
  <si>
    <t>FPrep, OM Work</t>
  </si>
  <si>
    <t>Flora &lt;&gt; Nate - 1:1, Blocked Slipstream: SnowPro</t>
  </si>
  <si>
    <t>Flora &lt;&gt; Nate - 1:1, OM Work</t>
  </si>
  <si>
    <t>Focus time</t>
  </si>
  <si>
    <t>Map Layers: The Secret to Cool Charts in Tableau, OM Work</t>
  </si>
  <si>
    <t>OLD Mutual FATCA Deployment</t>
  </si>
  <si>
    <t>OM Advisor Recon (Manual Run), OM Work</t>
  </si>
  <si>
    <t>OM Work</t>
  </si>
  <si>
    <t>OM Work &amp; GIT Investigation</t>
  </si>
  <si>
    <t>OM Work, Blocked Slipstream: AgentForce</t>
  </si>
  <si>
    <t>OM Work, Blocked Slipstream: SnowPro</t>
  </si>
  <si>
    <t>OM Work, Blocked Slipstream: SnowPro, PMO Office Hours Sessions</t>
  </si>
  <si>
    <t>OM Work, GRCA Portfolio | Team Stand-up</t>
  </si>
  <si>
    <t>OM Work, PMO Office Hours Sessions</t>
  </si>
  <si>
    <t>OM Work, PMO Office Hours Sessions, Blocked Slipstream: AgentForce</t>
  </si>
  <si>
    <t>OM Work, Wonga: DWH development &amp; migration on Snowflake Project Daily Standup**With Client**, GRCA Portfolio | Team Stand-up</t>
  </si>
  <si>
    <t>OM-Git, Blocked Slipstream: PM</t>
  </si>
  <si>
    <t>Old Mutual Access (IT), OM Work</t>
  </si>
  <si>
    <t>PDP</t>
  </si>
  <si>
    <t>PF run and tik update</t>
  </si>
  <si>
    <t>PM C-Track Tableau Nexus, OM Work</t>
  </si>
  <si>
    <t>PM Forum, OM Work</t>
  </si>
  <si>
    <t>PM: BCX Prep</t>
  </si>
  <si>
    <t>Product Management</t>
  </si>
  <si>
    <t>Product Management Sync, OM Work</t>
  </si>
  <si>
    <t>Product Management, Blocked Slipstream: AgentForce</t>
  </si>
  <si>
    <t>Product Management, Blocked Slipstream: C-Track Prep Tableau Pulse</t>
  </si>
  <si>
    <t>Product Management, Blocked Slipstream: SnowPro</t>
  </si>
  <si>
    <t>Product Management, Blocked Slipstream: SnowPro, PMO Office Hours Sessions</t>
  </si>
  <si>
    <t>Product Management, PMO Office Hours Sessions</t>
  </si>
  <si>
    <t>Product Management, PMO Office Hours Sessions, Blocked Slipstream: AgentForce</t>
  </si>
  <si>
    <t>Product Management: C-Track Tableau Nexus</t>
  </si>
  <si>
    <t>Robin - Flora Meeting, OM Work</t>
  </si>
  <si>
    <t>Run CBR 4Zayraana, OM Work</t>
  </si>
  <si>
    <t>S/Stream - EBU Cadence - Bi-Monthly, OM Work</t>
  </si>
  <si>
    <t>Sars Reason Code, OM Work</t>
  </si>
  <si>
    <t>Sars Reason Codes</t>
  </si>
  <si>
    <t>Slipstream - team coordination Job Comp</t>
  </si>
  <si>
    <t>Slipstream, Blocked Slipstream: SnowPro</t>
  </si>
  <si>
    <t>Slipstream, Tableau Tribe Development and Upskilling</t>
  </si>
  <si>
    <t>Slipstream, Tableau Tribe Development and Upskilling, Blocked Slipstream: SnowPro</t>
  </si>
  <si>
    <t>Tableau Tribe Development and Upskilling, OM Work</t>
  </si>
  <si>
    <t>Tableau Tribe Development and Upskilling, OM Work, Blocked Slipstream: AgentForce</t>
  </si>
  <si>
    <t>TableauPlan&amp;Research, Slipstream</t>
  </si>
  <si>
    <t>Tech Job Competency Guidelines, Blocked Slipstream: C-Track Prep Tableau Pulse</t>
  </si>
  <si>
    <t>Update - Foreigners List CDW Alteryx Consolidated File Output Test</t>
  </si>
  <si>
    <t>Update - Foreigners List CDW Alteryx Consolidated File Output Test, OM Work</t>
  </si>
  <si>
    <t>Wonga: DWH development &amp; migration on Snowflake Project Daily Standup**With Client**, OM Work</t>
  </si>
  <si>
    <t>ARA-C01:SnowPro Advanced: Architect Certification Exam</t>
  </si>
  <si>
    <t>ARA-C01:SnowPro Advanced: Architect Certification Exam, FW: Weekly Check-In: Tableau Progress</t>
  </si>
  <si>
    <t>ARA-C01:SnowPro Advanced: Architect Certification Exam, Wonga: DWH development &amp; migration on Snowflake Project Daily Standup**With Client**</t>
  </si>
  <si>
    <t>Cancel Vodacom SIM, Weekly sales meeting</t>
  </si>
  <si>
    <t>Court</t>
  </si>
  <si>
    <t>Court, Daily Stand Up</t>
  </si>
  <si>
    <t>Court, Wonga: DWH Project Tech Team Weekly Various Topics Collaboration Session **Client Onsite Meeting**</t>
  </si>
  <si>
    <t>Data Preparation Questions</t>
  </si>
  <si>
    <t>Dr Roberts</t>
  </si>
  <si>
    <t>Dr Roberts, Wonga: DWH development &amp; migration on Snowflake Project Daily Standup**With Client**</t>
  </si>
  <si>
    <t>Mark &lt;&gt; Nate - 1:1</t>
  </si>
  <si>
    <t>Mark &lt;&gt; Nate - 1:1, ScaleUp Homework sessions</t>
  </si>
  <si>
    <t>Myles Meeting</t>
  </si>
  <si>
    <t>PM Forum, ScaleUp Homework sessions</t>
  </si>
  <si>
    <t>Review Vodacom Contract</t>
  </si>
  <si>
    <t>Scale Up - Core Strategy , Product Management Sync</t>
  </si>
  <si>
    <t>Shoprite - Tableau &amp; Alteryx Connections</t>
  </si>
  <si>
    <t>Shoprite - Tableau &amp; Alteryx Connections, Wonga: DWH development &amp; migration on Snowflake Project Daily Standup**With Client**</t>
  </si>
  <si>
    <t>Weekly Meeting, ScaleUp Homework sessions</t>
  </si>
  <si>
    <t>Weekly meeting</t>
  </si>
  <si>
    <t>Wonga DWH - RBAC</t>
  </si>
  <si>
    <t>Wonga: DWH development &amp; migration on Snowflake Project Daily Standup**Internal**, PMO Office Hours Sessions</t>
  </si>
  <si>
    <t>Writeable Replica</t>
  </si>
  <si>
    <t>Canceled: Tech Team Planning , Ongoing: Daily operational tasks DSY</t>
  </si>
  <si>
    <t>Canceled: Tech Team Planning , Ongoing: Daily operational tasks DSY, Ongoing: Daily operational tasks DSY</t>
  </si>
  <si>
    <t>DSY DW - Daily standup, DSY DW - Daily standup</t>
  </si>
  <si>
    <t>DWH Issues</t>
  </si>
  <si>
    <t>DWH Issues, Development activities - Glue - code and data</t>
  </si>
  <si>
    <t>DWH Nonp Refresh, Ongoing: Daily operational tasks DSY</t>
  </si>
  <si>
    <t>DWH Transform load Monitoring</t>
  </si>
  <si>
    <t>Development activities - Glue - code and data</t>
  </si>
  <si>
    <t>Internal Study time(PDP)</t>
  </si>
  <si>
    <t>Internal Study time(PDP), Coffee chat</t>
  </si>
  <si>
    <t>Michael &lt;&gt; Nate - 1:1</t>
  </si>
  <si>
    <t>Ongoing: Daily operational tasks DSY</t>
  </si>
  <si>
    <t>Ongoing: Daily operational tasks DSY, Ongoing: Daily operational tasks DSY</t>
  </si>
  <si>
    <t>Weekly round-up-meeting</t>
  </si>
  <si>
    <t>Weekly round-up-meeting, DW: Weekly round-up meeting</t>
  </si>
  <si>
    <t>Canceled: Tech Team retro</t>
  </si>
  <si>
    <t>Canceled: Tech Team retro, Tech team planning</t>
  </si>
  <si>
    <t>Canceled: Tech team huddle</t>
  </si>
  <si>
    <t>Canceled: Tech team huddle, Tech team retrospective</t>
  </si>
  <si>
    <t>GIPS cube</t>
  </si>
  <si>
    <t>GIPS spreadsheet</t>
  </si>
  <si>
    <t>IP: SaaS - Asset Management progress update</t>
  </si>
  <si>
    <t>Look through project issues</t>
  </si>
  <si>
    <t>Ntsako &lt;&gt; Nate - 1:1</t>
  </si>
  <si>
    <t>One-One coaching - Ntsako</t>
  </si>
  <si>
    <t>One-One coaching - Ntsako, Taquanta: Weekly SLA &amp; Projects update (Client meeting)</t>
  </si>
  <si>
    <t>SS Tech Team Daily check-in, Daily Stand Up</t>
  </si>
  <si>
    <t>Tech team retrospective</t>
  </si>
  <si>
    <t>WhereScape/Slipstream - monthly catch up</t>
  </si>
  <si>
    <t>2025/2026 - Graduate Catch-Up - Planning Meeting</t>
  </si>
  <si>
    <t>Athena Connection Setup with Shoprite Team</t>
  </si>
  <si>
    <t>Athena New Connection Setup, Athena Connection Setup with Shoprite Team</t>
  </si>
  <si>
    <t>Canceled: Monthly SLA Review - Tableau/Alteryx/Snowflake b2b</t>
  </si>
  <si>
    <t>Get Started with Snowflake Intelligence for Business Workflows</t>
  </si>
  <si>
    <t>Grad Check-in</t>
  </si>
  <si>
    <t>Job Competency Meeting Update - Robin</t>
  </si>
  <si>
    <t>NCR Data Validation</t>
  </si>
  <si>
    <t>Palesa &lt;&gt; Nate - 1:1</t>
  </si>
  <si>
    <t>Planning for Surtee and Spur</t>
  </si>
  <si>
    <t>Shoprite Analytics|| Cloud BI Daily Stand Up, Canceled: Monthly SLA Review - Tableau/Alteryx/Snowflake b2b</t>
  </si>
  <si>
    <t>Slip Stream - Transactions and Acrrued Fees and Interest</t>
  </si>
  <si>
    <t>Slipstream Data Catch up , Get Started with Snowflake Intelligence for Business Workflows</t>
  </si>
  <si>
    <t>Tableau Support Escalation: Shoprite Athena Connection</t>
  </si>
  <si>
    <t>What's New in Snowflake</t>
  </si>
  <si>
    <t>Wonga Catch Up</t>
  </si>
  <si>
    <t>Wonga Task Requirements Gathering</t>
  </si>
  <si>
    <t>Wonga Task Requirements Gathering, Palesa &lt;&gt; Nate - 1:1</t>
  </si>
  <si>
    <t>Application funnel review</t>
  </si>
  <si>
    <t>Canceled: Senior Tech Team: Insights Session</t>
  </si>
  <si>
    <t>CollectionsDashboard</t>
  </si>
  <si>
    <t>DT_Billing review</t>
  </si>
  <si>
    <t>DT_Billing review, PMO Office Hours Sessions</t>
  </si>
  <si>
    <t>DWH Nonp Refresh</t>
  </si>
  <si>
    <t>Debicheck Report Discussion</t>
  </si>
  <si>
    <t>Mart testing intro</t>
  </si>
  <si>
    <t>Review of test results + intro to mart testing</t>
  </si>
  <si>
    <t>Riyad &lt;&gt; Nate - 1:1</t>
  </si>
  <si>
    <t>Single premium definition</t>
  </si>
  <si>
    <t>Wonga ODS Checks</t>
  </si>
  <si>
    <t>2025 Graduate Program Feedback - Achievements</t>
  </si>
  <si>
    <t>Alteryx Amazon Athena Connection, Upskilling</t>
  </si>
  <si>
    <t>Alteryx Cleanup, Wonga Work, Wonga: DWH development &amp; migration on Snowflake Project Daily Standup**With Client**</t>
  </si>
  <si>
    <t>Application funnel discussion</t>
  </si>
  <si>
    <t>Athena New Connection Setup</t>
  </si>
  <si>
    <t>Athena New Connection Setup, Robin &lt;&gt; Nate - 1:1</t>
  </si>
  <si>
    <t>BCX Costing , Microsoft Fabric: Databases (Day 2 of 2), Wonga Work</t>
  </si>
  <si>
    <t>BCX | Slipstream - Power BI to Tableau support , Debicheck Report Discussion , Microsoft Fabric: Databases (Day 1 of 2)</t>
  </si>
  <si>
    <t>DND, Internal Migration - Review, Modern data platform with Azure Databricks (Day 1 of 3)</t>
  </si>
  <si>
    <t>DND, Modern data platform with Azure Databricks (Day 1 of 3)</t>
  </si>
  <si>
    <t>DND, Modern data platform with Azure Databricks (Day 1 of 3), Wonga Work, Internal Projects - Weekly Action Meeting</t>
  </si>
  <si>
    <t>Debicheck Report Discussion , Microsoft Fabric: Databases (Day 1 of 2)</t>
  </si>
  <si>
    <t>Declined: PDP planning, Wonga Work</t>
  </si>
  <si>
    <t>Grad Check-in, Wonga Work</t>
  </si>
  <si>
    <t>Internal Migration Validations</t>
  </si>
  <si>
    <t>Microsoft Fabric: Databases (Day 1 of 2)</t>
  </si>
  <si>
    <t>Microsoft Fabric: Databases (Day 1 of 2), Wonga Work</t>
  </si>
  <si>
    <t>Microsoft Fabric: Databases (Day 1 of 2), Wonga Work, Wonga: DWH Project Tech Team Weekly Various Topics Collaboration Session **Client Onsite Meeting**</t>
  </si>
  <si>
    <t>Microsoft Fabric: Databases (Day 2 of 2)</t>
  </si>
  <si>
    <t>Microsoft Fabric: Databases (Day 2 of 2), Wonga Work</t>
  </si>
  <si>
    <t>Microsoft Fabric: Databases - Lab Support and Q&amp;A (Day 1 of 2)</t>
  </si>
  <si>
    <t>Microsoft Fabric: Databases - Lab Support and Q&amp;A (Day 2 of 2)</t>
  </si>
  <si>
    <t>Modern data platform with Azure Databricks (Day 1 of 3)</t>
  </si>
  <si>
    <t>Modern data platform with Azure Databricks (Day 1 of 3), Wonga Work, Wonga: DWH Project Tech Team Weekly Various Topics Collaboration Session **Client Onsite Meeting**</t>
  </si>
  <si>
    <t>Modern data platform with Azure Databricks (Day 2 of 3)</t>
  </si>
  <si>
    <t>Modern data platform with Azure Databricks (Day 2 of 3), Shoprite Authentication Resolution Session</t>
  </si>
  <si>
    <t>Modern data platform with Azure Databricks (Day 2 of 3), Wonga Work</t>
  </si>
  <si>
    <t>Modern data platform with Azure Databricks (Day 2 of 3), Wonga Work, Internal Projects - Weekly Action Meeting</t>
  </si>
  <si>
    <t>Modern data platform with Azure Databricks (Day 3 of 3)</t>
  </si>
  <si>
    <t>Modern data platform with Azure Databricks (Day 3 of 3), Monthly Client Support Reports Process Implementation - Feedback Sessions</t>
  </si>
  <si>
    <t>Modern data platform with Azure Databricks (Day 3 of 3), Wonga Work</t>
  </si>
  <si>
    <t>Modern data platform with Azure Databricks (Day 3 of 3), Wonga Work, Internal Projects - Weekly Action Meeting</t>
  </si>
  <si>
    <t>Modern data platform with Azure Databricks - Lab Support and Q&amp;A (Day 1 of 3), Shoprite Testing Oauth</t>
  </si>
  <si>
    <t>Modern data platform with Azure Databricks - Lab Support and Q&amp;A (Day 3 of 3)</t>
  </si>
  <si>
    <t>Monthly Client Support Reports Process Implementation - Feedback Sessions</t>
  </si>
  <si>
    <t>ODS to Staging, Wonga Work</t>
  </si>
  <si>
    <t>ODS to Staging, Wonga: DWH development &amp; migration on Snowflake Project Daily Standup**With Client**, Wonga Work</t>
  </si>
  <si>
    <t>Out of Office, Wonga Work</t>
  </si>
  <si>
    <t>Out of Office, Wonga Work, Internal Projects - Weekly Action Meeting</t>
  </si>
  <si>
    <t>Robin - Flora Meeting</t>
  </si>
  <si>
    <t>Robin &lt;&gt; Leigh-Ann Catchup</t>
  </si>
  <si>
    <t>Robin &lt;&gt; Nate - 1:1</t>
  </si>
  <si>
    <t>SA - Cloud BI | Stand Up</t>
  </si>
  <si>
    <t>SA - Cloud BI | Stand Up, Wonga Work</t>
  </si>
  <si>
    <t>SA - Cloud BI | Stand Up, Wonga Work, Internal Projects - Weekly Action Meeting</t>
  </si>
  <si>
    <t>Shoprite - Tableau &amp; Alteryx Connections, Wonga Work</t>
  </si>
  <si>
    <t>Shoprite - Tableau &amp; Alteryx Connections, Wonga Work, Wonga: DWH development &amp; migration on Snowflake Project Daily Standup**With Client**</t>
  </si>
  <si>
    <t>Shoprite Authentication Resolution Session, Modern data platform with Azure Databricks - Lab Support and Q&amp;A (Day 2 of 3)</t>
  </si>
  <si>
    <t>Slipstream - IPD - Internal Projects Check-In</t>
  </si>
  <si>
    <t>Upskilling</t>
  </si>
  <si>
    <t>Upskilling, Wonga: DWH development &amp; migration on Snowflake Project Daily Standup**Internal**</t>
  </si>
  <si>
    <t>Wonga DWH - App funnel updates</t>
  </si>
  <si>
    <t>Wonga ODS - Merge to Staging, Microsoft Fabric: Databases - Lab Support and Q&amp;A (Day 1 of 2)</t>
  </si>
  <si>
    <t>Wonga ODS Checks , Wonga Work</t>
  </si>
  <si>
    <t>Wonga ODS Merge to Staging , Shoprite Athena Setup Next Steps Discussion</t>
  </si>
  <si>
    <t>Wonga Validations with Tawanda and Jenna</t>
  </si>
  <si>
    <t>Wonga Work</t>
  </si>
  <si>
    <t>Wonga Work, Internal Projects - Weekly Action Meeting</t>
  </si>
  <si>
    <t>Wonga Work, Wonga: DWH Project Tech Team Weekly Various Topics Collaboration Session **Client Onsite Meeting**</t>
  </si>
  <si>
    <t>Wonga Work, Wonga: DWH development &amp; migration on Snowflake Project Daily Standup**With Client**</t>
  </si>
  <si>
    <t>Wonga: DWH Project Monthly Retrospective Sessions **Internal Meeting**, Monthly Client Support Reports Process Implementation - Feedback Sessions</t>
  </si>
  <si>
    <t>Wonga: DWH development &amp; migration on Snowflake Project Daily Standup**With Client**, Wonga Work</t>
  </si>
  <si>
    <t>DW: Weekly round-up meeting, Wonga Project Plan + Budget Update +Emails</t>
  </si>
  <si>
    <t>Debicheck Report Discussion , Wonga Project Plan + Budget Update +Emails</t>
  </si>
  <si>
    <t>Discuss Slipstream - Internal "Allocated" Admin Activities 2025</t>
  </si>
  <si>
    <t>Investec PVT Bank 80 Hours Support Project Weekly Report</t>
  </si>
  <si>
    <t>Investec PVT Bank 80 Hours Support Project Weekly Report , Taquanta: Projects Internal Standup</t>
  </si>
  <si>
    <t>Investec PVT Bank 80 Hours Support Project Weekly Report , Wonga: DWH Project Tech Team Weekly Various Topics Collaboration Session **Client Onsite Meeting**</t>
  </si>
  <si>
    <t>Monthly Tech Team Leave Discussion</t>
  </si>
  <si>
    <t>Monthly Tech Team Leave Discussion , Shoprite Plan Update + Emails</t>
  </si>
  <si>
    <t>PMO: Client Reports Review and Sign-off</t>
  </si>
  <si>
    <t>Resource Utilisation Review</t>
  </si>
  <si>
    <t>Resource Utilisation Review, prep session for Shoprite SLA's</t>
  </si>
  <si>
    <t>Resource Utilization Review</t>
  </si>
  <si>
    <t>Sanlam Hours + emails</t>
  </si>
  <si>
    <t>SharePoint</t>
  </si>
  <si>
    <t>SharePoint, Resource Utilisation Review</t>
  </si>
  <si>
    <t>Shoprite Plan Update + Emails</t>
  </si>
  <si>
    <t>Shoprite Plan Update + Emails, PMO: Client Reports Review and Sign-off</t>
  </si>
  <si>
    <t>Slipstream - IPD - Internal Projects  ( Slipstream Data ) (Harvest Timesheets and Reports, ClickUp Tasks and Reports, Billing, Emails, Documentation, Reports)</t>
  </si>
  <si>
    <t>Slipstream - IPD - Internal Projects  ( Slipstream Data ) (Harvest Timesheets and Reports, ClickUp Tasks and Reports, Billing, Emails, Documentation, Reports), Monthly Client Support Reports Process Implementation - Feedback Sessions</t>
  </si>
  <si>
    <t>Slipstream - IPD - Internal Projects  ( Slipstream Data ) (Harvest Timesheets and Reports, ClickUp Tasks and Reports, Billing, Emails, Documentation, Reports), Wonga: DWH development &amp; migration on Snowflake Project Daily Standup**With Client**</t>
  </si>
  <si>
    <t>Taquanta January report daily tasks update + emails</t>
  </si>
  <si>
    <t>Taquanta: Projects Internal Standup, Slipstream - IPD - Internal Projects  ( Slipstream Data ) (Harvest Timesheets and Reports, ClickUp Tasks and Reports, Billing, Emails, Documentation, Reports)</t>
  </si>
  <si>
    <t>Wonga Project Plan + Budget Update +Emails</t>
  </si>
  <si>
    <t>Wonga Project Plan + Budget Update +Emails, PMO: Client Reports Review and Sign-off</t>
  </si>
  <si>
    <t>Wonga Project Plan + Budget Update +Emails, Resource Utilization Review</t>
  </si>
  <si>
    <t>Wonga Project Plan + Budget Update +Emails, Shoprite Plan Update + Emails</t>
  </si>
  <si>
    <t>Wonga Project Plan + Budget Update +Emails, Slipstream - IPD - Internal Projects  ( Slipstream Data ) (Harvest Timesheets and Reports, ClickUp Tasks and Reports, Billing, Emails, Documentation, Reports)</t>
  </si>
  <si>
    <t>Wonga Project Plan + Budget Update +Emails, Taquanta: Weekly SLA &amp; Projects update (Client meeting)</t>
  </si>
  <si>
    <t>Wonga: DWH Project Monthly Retrospective Sessions **Internal Meeting**, Shoprite Plan Update + Emails</t>
  </si>
  <si>
    <t>Wonga: DWH Project Monthly Retrospective Sessions **Internal Meeting**, Slipstream - IPD - Internal Projects  ( Slipstream Data ) (Harvest Timesheets and Reports, ClickUp Tasks and Reports, Billing, Emails, Documentation, Reports)</t>
  </si>
  <si>
    <t>Wonga: DWH Project Monthly Retrospective Sessions **Internal Meeting**, Slipstream - IPD - Internal Projects  ( Slipstream Data ) (Harvest Timesheets and Reports, ClickUp Tasks and Reports, Billing, Emails, Documentation, Reports), Monthly Client Support Reports Process Implementation - Feedback Sessions</t>
  </si>
  <si>
    <t>Wonga: DWH Project Monthly Retrospective Sessions **Internal Meeting**, Taquanta January report daily tasks update + emails</t>
  </si>
  <si>
    <t>Wonga: DWH Project Monthly Retrospective Sessions **Internal Meeting**, Wonga Project Plan + Budget Update +Emails</t>
  </si>
  <si>
    <t>Wonga: DWH Project SLA/Support Hours Discussion, Resource Utilization Review</t>
  </si>
  <si>
    <t>Wonga: DWH Project SLA/Support Hours Review with Alex, Slipstream - IPD - Internal Projects Check-In</t>
  </si>
  <si>
    <t>Wonga: DWH Project SLA/Support Hours Review with Alex, Wonga Project Plan + Budget Update +Emails</t>
  </si>
  <si>
    <t>Wonga: DWH Project Weekly Report Review and Sign-off</t>
  </si>
  <si>
    <t>Wonga: DWH development &amp; migration on Snowflake Project Sprint Planning Session, Shoprite Plan Update + Emails</t>
  </si>
  <si>
    <t>Wonga: DWH development &amp; migration on Snowflake Project Sprint Planning Session, Slipstream - IPD - Internal Projects  ( Slipstream Data ) (Harvest Timesheets and Reports, ClickUp Tasks and Reports, Billing, Emails, Documentation, Reports)</t>
  </si>
  <si>
    <t>Advisor Recon Refresh Data Source</t>
  </si>
  <si>
    <t>Canceled event: S/Stream - EBU Cadence - Bi-Monthly @ Monthly from 09:00 to 09:30 on the first Tuesday (SAST) (suzanne.edlmann@slipstreamdata.co.za)</t>
  </si>
  <si>
    <t>Suzanne &lt;&gt; Nate - 1:1</t>
  </si>
  <si>
    <t>Canceled: Internal Projects - Weekly Action Meeting</t>
  </si>
  <si>
    <t>DT_Billing review, Lunch</t>
  </si>
  <si>
    <t>Internal Projects - Weekly Action Meeting</t>
  </si>
  <si>
    <t>Lunch</t>
  </si>
  <si>
    <t>PDP planning</t>
  </si>
  <si>
    <t>Resource scheduling</t>
  </si>
  <si>
    <t>Resource scheduling briefing</t>
  </si>
  <si>
    <t>Wonga ODS - Merge to Staging, Lunch</t>
  </si>
  <si>
    <t>one on one - Thando</t>
  </si>
  <si>
    <t>AWS Solutions Architect Associate</t>
  </si>
  <si>
    <t>AWS Solutions Architect Associate, Wonga: DWH development &amp; migration on Snowflake Project Sprint Planning Session</t>
  </si>
  <si>
    <t>Call - Tuesday 09h00</t>
  </si>
  <si>
    <t>Canceled: Tech Team Planning , Internal Projects - Weekly Action Meeting</t>
  </si>
  <si>
    <t>Check Internal Work</t>
  </si>
  <si>
    <t>Meeting with Ti, AWS Solutions Architect Associate</t>
  </si>
  <si>
    <t>SnowPro Core Certification</t>
  </si>
  <si>
    <t>SnowPro Core Certification, Slipstream - IPD - Internal Projects Check-In</t>
  </si>
  <si>
    <t>Spur Discussion with Nate, SnowPro Core Certification</t>
  </si>
  <si>
    <t>Tech Job Competency Guidelines, AWS Solutions Architect Associate</t>
  </si>
  <si>
    <t>Thembani &lt;&gt; Nate - 1:1</t>
  </si>
  <si>
    <t>Wonga: DWH Project Monthly Retrospective Sessions **Internal Meeting**, AWS Solutions Architect Associate</t>
  </si>
  <si>
    <t>Wonga: DWH Project Monthly Retrospective Sessions **Internal Meeting**, SnowPro Core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</si>
</sst>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2" xfId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4.4" x14ac:dyDescent="0.3"/>
  <cols>
    <col min="1" max="1" width="18.2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5"/>
  <sheetViews>
    <sheetView workbookViewId="0"/>
  </sheetViews>
  <sheetFormatPr defaultRowHeight="14.4" x14ac:dyDescent="0.3"/>
  <sheetData>
    <row r="1" spans="1:15" x14ac:dyDescent="0.3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46023</v>
      </c>
      <c r="B2">
        <v>7.5</v>
      </c>
      <c r="C2">
        <v>0.5</v>
      </c>
      <c r="D2">
        <v>1</v>
      </c>
      <c r="E2">
        <v>0</v>
      </c>
      <c r="F2">
        <v>1</v>
      </c>
      <c r="G2">
        <v>5</v>
      </c>
      <c r="H2">
        <v>0.5</v>
      </c>
      <c r="I2">
        <v>1</v>
      </c>
      <c r="J2">
        <v>0.5</v>
      </c>
      <c r="K2">
        <v>3.5</v>
      </c>
      <c r="L2">
        <v>0</v>
      </c>
      <c r="M2">
        <v>0.5</v>
      </c>
      <c r="N2">
        <v>1</v>
      </c>
      <c r="O2">
        <v>6</v>
      </c>
    </row>
    <row r="3" spans="1:15" x14ac:dyDescent="0.3">
      <c r="A3" s="2">
        <v>46024</v>
      </c>
      <c r="B3">
        <v>1</v>
      </c>
      <c r="C3">
        <v>0.5</v>
      </c>
      <c r="D3">
        <v>1</v>
      </c>
      <c r="E3">
        <v>0</v>
      </c>
      <c r="F3">
        <v>0.5</v>
      </c>
      <c r="G3">
        <v>3.5</v>
      </c>
      <c r="H3">
        <v>0.5</v>
      </c>
      <c r="I3">
        <v>1</v>
      </c>
      <c r="J3">
        <v>0.5</v>
      </c>
      <c r="K3">
        <v>3.5</v>
      </c>
      <c r="L3">
        <v>0</v>
      </c>
      <c r="M3">
        <v>0.5</v>
      </c>
      <c r="N3">
        <v>1</v>
      </c>
      <c r="O3">
        <v>6</v>
      </c>
    </row>
    <row r="4" spans="1:15" x14ac:dyDescent="0.3">
      <c r="A4" s="2">
        <v>46027</v>
      </c>
      <c r="B4">
        <v>1.5</v>
      </c>
      <c r="C4">
        <v>0.5</v>
      </c>
      <c r="D4">
        <v>3</v>
      </c>
      <c r="E4">
        <v>0</v>
      </c>
      <c r="F4">
        <v>2.5</v>
      </c>
      <c r="G4">
        <v>5</v>
      </c>
      <c r="H4">
        <v>3</v>
      </c>
      <c r="I4">
        <v>2</v>
      </c>
      <c r="J4">
        <v>2</v>
      </c>
      <c r="K4">
        <v>4.5</v>
      </c>
      <c r="L4">
        <v>0</v>
      </c>
      <c r="M4">
        <v>2.5</v>
      </c>
      <c r="N4">
        <v>5</v>
      </c>
      <c r="O4">
        <v>6</v>
      </c>
    </row>
    <row r="5" spans="1:15" x14ac:dyDescent="0.3">
      <c r="A5" s="2">
        <v>46028</v>
      </c>
      <c r="B5">
        <v>2.5</v>
      </c>
      <c r="C5">
        <v>1</v>
      </c>
      <c r="D5">
        <v>1.5</v>
      </c>
      <c r="E5">
        <v>0.5</v>
      </c>
      <c r="F5">
        <v>1</v>
      </c>
      <c r="G5">
        <v>5</v>
      </c>
      <c r="H5">
        <v>1</v>
      </c>
      <c r="I5">
        <v>2</v>
      </c>
      <c r="J5">
        <v>1</v>
      </c>
      <c r="K5">
        <v>4</v>
      </c>
      <c r="L5">
        <v>0.5</v>
      </c>
      <c r="M5">
        <v>1</v>
      </c>
      <c r="N5">
        <v>3.5</v>
      </c>
      <c r="O5">
        <v>6</v>
      </c>
    </row>
    <row r="6" spans="1:15" x14ac:dyDescent="0.3">
      <c r="A6" s="2">
        <v>46029</v>
      </c>
      <c r="B6">
        <v>3</v>
      </c>
      <c r="C6">
        <v>1</v>
      </c>
      <c r="D6">
        <v>1.5</v>
      </c>
      <c r="E6">
        <v>0.5</v>
      </c>
      <c r="F6">
        <v>1</v>
      </c>
      <c r="G6">
        <v>5</v>
      </c>
      <c r="H6">
        <v>1.5</v>
      </c>
      <c r="I6">
        <v>2</v>
      </c>
      <c r="J6">
        <v>1</v>
      </c>
      <c r="K6">
        <v>4</v>
      </c>
      <c r="L6">
        <v>0.5</v>
      </c>
      <c r="M6">
        <v>1.5</v>
      </c>
      <c r="N6">
        <v>4</v>
      </c>
      <c r="O6">
        <v>7</v>
      </c>
    </row>
    <row r="7" spans="1:15" x14ac:dyDescent="0.3">
      <c r="A7" s="2">
        <v>46030</v>
      </c>
      <c r="B7">
        <v>7.5</v>
      </c>
      <c r="C7">
        <v>1.5</v>
      </c>
      <c r="D7">
        <v>2</v>
      </c>
      <c r="E7">
        <v>0.5</v>
      </c>
      <c r="F7">
        <v>1.5</v>
      </c>
      <c r="G7">
        <v>5.5</v>
      </c>
      <c r="H7">
        <v>0.5</v>
      </c>
      <c r="I7">
        <v>2</v>
      </c>
      <c r="J7">
        <v>4</v>
      </c>
      <c r="K7">
        <v>4</v>
      </c>
      <c r="L7">
        <v>0.5</v>
      </c>
      <c r="M7">
        <v>0.5</v>
      </c>
      <c r="N7">
        <v>5.5</v>
      </c>
      <c r="O7">
        <v>6</v>
      </c>
    </row>
    <row r="8" spans="1:15" x14ac:dyDescent="0.3">
      <c r="A8" s="2">
        <v>46031</v>
      </c>
      <c r="B8">
        <v>1.5</v>
      </c>
      <c r="C8">
        <v>0.5</v>
      </c>
      <c r="D8">
        <v>2</v>
      </c>
      <c r="E8">
        <v>0</v>
      </c>
      <c r="F8">
        <v>0.5</v>
      </c>
      <c r="G8">
        <v>3</v>
      </c>
      <c r="H8">
        <v>1</v>
      </c>
      <c r="I8">
        <v>2</v>
      </c>
      <c r="J8">
        <v>2.5</v>
      </c>
      <c r="K8">
        <v>3.5</v>
      </c>
      <c r="L8">
        <v>0</v>
      </c>
      <c r="M8">
        <v>0.5</v>
      </c>
      <c r="N8">
        <v>1</v>
      </c>
      <c r="O8">
        <v>6</v>
      </c>
    </row>
    <row r="9" spans="1:15" x14ac:dyDescent="0.3">
      <c r="A9" s="2">
        <v>46034</v>
      </c>
      <c r="B9">
        <v>4.5</v>
      </c>
      <c r="C9">
        <v>1.5</v>
      </c>
      <c r="D9">
        <v>2</v>
      </c>
      <c r="E9">
        <v>7.5</v>
      </c>
      <c r="F9">
        <v>3.5</v>
      </c>
      <c r="G9">
        <v>4.5</v>
      </c>
      <c r="H9">
        <v>2.5</v>
      </c>
      <c r="I9">
        <v>1</v>
      </c>
      <c r="J9">
        <v>0.5</v>
      </c>
      <c r="K9">
        <v>3.5</v>
      </c>
      <c r="L9">
        <v>7</v>
      </c>
      <c r="M9">
        <v>0.5</v>
      </c>
      <c r="N9">
        <v>3.5</v>
      </c>
      <c r="O9">
        <v>6</v>
      </c>
    </row>
    <row r="10" spans="1:15" x14ac:dyDescent="0.3">
      <c r="A10" s="2">
        <v>46035</v>
      </c>
      <c r="B10">
        <v>3</v>
      </c>
      <c r="C10">
        <v>1.5</v>
      </c>
      <c r="D10">
        <v>2.5</v>
      </c>
      <c r="E10">
        <v>8.5</v>
      </c>
      <c r="F10">
        <v>1.5</v>
      </c>
      <c r="G10">
        <v>5</v>
      </c>
      <c r="H10">
        <v>2.5</v>
      </c>
      <c r="I10">
        <v>5</v>
      </c>
      <c r="J10">
        <v>4</v>
      </c>
      <c r="K10">
        <v>4.5</v>
      </c>
      <c r="L10">
        <v>7</v>
      </c>
      <c r="M10">
        <v>1.5</v>
      </c>
      <c r="N10">
        <v>3.5</v>
      </c>
      <c r="O10">
        <v>6.5</v>
      </c>
    </row>
    <row r="11" spans="1:15" x14ac:dyDescent="0.3">
      <c r="A11" s="2">
        <v>46036</v>
      </c>
      <c r="B11">
        <v>2.5</v>
      </c>
      <c r="C11">
        <v>2</v>
      </c>
      <c r="D11">
        <v>2</v>
      </c>
      <c r="E11">
        <v>8</v>
      </c>
      <c r="F11">
        <v>1.5</v>
      </c>
      <c r="G11">
        <v>4.5</v>
      </c>
      <c r="H11">
        <v>1</v>
      </c>
      <c r="I11">
        <v>2.5</v>
      </c>
      <c r="J11">
        <v>3</v>
      </c>
      <c r="K11">
        <v>6.5</v>
      </c>
      <c r="L11">
        <v>7</v>
      </c>
      <c r="M11">
        <v>2</v>
      </c>
      <c r="N11">
        <v>4</v>
      </c>
      <c r="O11">
        <v>5.5</v>
      </c>
    </row>
    <row r="12" spans="1:15" x14ac:dyDescent="0.3">
      <c r="A12" s="2">
        <v>46037</v>
      </c>
      <c r="B12">
        <v>3</v>
      </c>
      <c r="C12">
        <v>1.5</v>
      </c>
      <c r="D12">
        <v>2</v>
      </c>
      <c r="E12">
        <v>5.5</v>
      </c>
      <c r="F12">
        <v>1.5</v>
      </c>
      <c r="G12">
        <v>4.5</v>
      </c>
      <c r="H12">
        <v>1</v>
      </c>
      <c r="I12">
        <v>2</v>
      </c>
      <c r="J12">
        <v>1</v>
      </c>
      <c r="K12">
        <v>7</v>
      </c>
      <c r="L12">
        <v>6.5</v>
      </c>
      <c r="M12">
        <v>0.5</v>
      </c>
      <c r="N12">
        <v>3.5</v>
      </c>
      <c r="O12">
        <v>6</v>
      </c>
    </row>
    <row r="13" spans="1:15" x14ac:dyDescent="0.3">
      <c r="A13" s="2">
        <v>46038</v>
      </c>
      <c r="B13">
        <v>8</v>
      </c>
      <c r="C13">
        <v>2</v>
      </c>
      <c r="D13">
        <v>3</v>
      </c>
      <c r="E13">
        <v>5.5</v>
      </c>
      <c r="F13">
        <v>8</v>
      </c>
      <c r="G13">
        <v>3</v>
      </c>
      <c r="H13">
        <v>1</v>
      </c>
      <c r="I13">
        <v>3</v>
      </c>
      <c r="J13">
        <v>2.5</v>
      </c>
      <c r="K13">
        <v>5</v>
      </c>
      <c r="L13">
        <v>6</v>
      </c>
      <c r="M13">
        <v>1</v>
      </c>
      <c r="N13">
        <v>2.5</v>
      </c>
      <c r="O13">
        <v>6</v>
      </c>
    </row>
    <row r="14" spans="1:15" x14ac:dyDescent="0.3">
      <c r="A14" s="2">
        <v>46041</v>
      </c>
      <c r="B14">
        <v>6</v>
      </c>
      <c r="C14">
        <v>4</v>
      </c>
      <c r="D14">
        <v>4</v>
      </c>
      <c r="E14">
        <v>8.5</v>
      </c>
      <c r="F14">
        <v>5</v>
      </c>
      <c r="G14">
        <v>4.5</v>
      </c>
      <c r="H14">
        <v>2.5</v>
      </c>
      <c r="I14">
        <v>2</v>
      </c>
      <c r="J14">
        <v>3</v>
      </c>
      <c r="K14">
        <v>5</v>
      </c>
      <c r="L14">
        <v>7.5</v>
      </c>
      <c r="M14">
        <v>1.5</v>
      </c>
      <c r="N14">
        <v>5</v>
      </c>
      <c r="O14">
        <v>7</v>
      </c>
    </row>
    <row r="15" spans="1:15" x14ac:dyDescent="0.3">
      <c r="A15" s="2">
        <v>46042</v>
      </c>
      <c r="B15">
        <v>1.5</v>
      </c>
      <c r="C15">
        <v>2.5</v>
      </c>
      <c r="D15">
        <v>2.5</v>
      </c>
      <c r="E15">
        <v>7.5</v>
      </c>
      <c r="F15">
        <v>4</v>
      </c>
      <c r="G15">
        <v>4.5</v>
      </c>
      <c r="H15">
        <v>1</v>
      </c>
      <c r="I15">
        <v>2</v>
      </c>
      <c r="J15">
        <v>2</v>
      </c>
      <c r="K15">
        <v>5</v>
      </c>
      <c r="L15">
        <v>6.5</v>
      </c>
      <c r="M15">
        <v>0.5</v>
      </c>
      <c r="N15">
        <v>3.5</v>
      </c>
      <c r="O15">
        <v>7</v>
      </c>
    </row>
    <row r="16" spans="1:15" x14ac:dyDescent="0.3">
      <c r="A16" s="2">
        <v>46043</v>
      </c>
      <c r="B16">
        <v>3.5</v>
      </c>
      <c r="C16">
        <v>2.5</v>
      </c>
      <c r="D16">
        <v>2.5</v>
      </c>
      <c r="E16">
        <v>7.5</v>
      </c>
      <c r="F16">
        <v>2</v>
      </c>
      <c r="G16">
        <v>5.5</v>
      </c>
      <c r="H16">
        <v>2.5</v>
      </c>
      <c r="I16">
        <v>2.5</v>
      </c>
      <c r="J16">
        <v>2.5</v>
      </c>
      <c r="K16">
        <v>7</v>
      </c>
      <c r="L16">
        <v>7</v>
      </c>
      <c r="M16">
        <v>1.5</v>
      </c>
      <c r="N16">
        <v>4</v>
      </c>
      <c r="O16">
        <v>6.5</v>
      </c>
    </row>
    <row r="17" spans="1:15" x14ac:dyDescent="0.3">
      <c r="A17" s="2">
        <v>46044</v>
      </c>
      <c r="B17">
        <v>8</v>
      </c>
      <c r="C17">
        <v>2</v>
      </c>
      <c r="D17">
        <v>3</v>
      </c>
      <c r="E17">
        <v>7.5</v>
      </c>
      <c r="F17">
        <v>2.5</v>
      </c>
      <c r="G17">
        <v>4.5</v>
      </c>
      <c r="H17">
        <v>1</v>
      </c>
      <c r="I17">
        <v>2.5</v>
      </c>
      <c r="J17">
        <v>2</v>
      </c>
      <c r="K17">
        <v>8.5</v>
      </c>
      <c r="L17">
        <v>7</v>
      </c>
      <c r="M17">
        <v>0.5</v>
      </c>
      <c r="N17">
        <v>3.5</v>
      </c>
      <c r="O17">
        <v>6.5</v>
      </c>
    </row>
    <row r="18" spans="1:15" x14ac:dyDescent="0.3">
      <c r="A18" s="2">
        <v>46045</v>
      </c>
      <c r="B18">
        <v>3</v>
      </c>
      <c r="C18">
        <v>1</v>
      </c>
      <c r="D18">
        <v>3.5</v>
      </c>
      <c r="E18">
        <v>6</v>
      </c>
      <c r="F18">
        <v>2</v>
      </c>
      <c r="G18">
        <v>4</v>
      </c>
      <c r="H18">
        <v>1.5</v>
      </c>
      <c r="I18">
        <v>2.5</v>
      </c>
      <c r="J18">
        <v>3.5</v>
      </c>
      <c r="K18">
        <v>7.5</v>
      </c>
      <c r="L18">
        <v>7.5</v>
      </c>
      <c r="M18">
        <v>0.5</v>
      </c>
      <c r="N18">
        <v>3</v>
      </c>
      <c r="O18">
        <v>6.5</v>
      </c>
    </row>
    <row r="19" spans="1:15" x14ac:dyDescent="0.3">
      <c r="A19" s="2">
        <v>46048</v>
      </c>
      <c r="B19">
        <v>5</v>
      </c>
      <c r="C19">
        <v>2</v>
      </c>
      <c r="D19">
        <v>3.5</v>
      </c>
      <c r="E19">
        <v>8</v>
      </c>
      <c r="F19">
        <v>4</v>
      </c>
      <c r="G19">
        <v>5</v>
      </c>
      <c r="H19">
        <v>3.5</v>
      </c>
      <c r="I19">
        <v>2</v>
      </c>
      <c r="J19">
        <v>2.5</v>
      </c>
      <c r="K19">
        <v>4.5</v>
      </c>
      <c r="L19">
        <v>8</v>
      </c>
      <c r="M19">
        <v>0.5</v>
      </c>
      <c r="N19">
        <v>3.5</v>
      </c>
      <c r="O19">
        <v>6</v>
      </c>
    </row>
    <row r="20" spans="1:15" x14ac:dyDescent="0.3">
      <c r="A20" s="2">
        <v>46049</v>
      </c>
      <c r="B20">
        <v>3.5</v>
      </c>
      <c r="C20">
        <v>2</v>
      </c>
      <c r="D20">
        <v>2.5</v>
      </c>
      <c r="E20">
        <v>9</v>
      </c>
      <c r="F20">
        <v>2</v>
      </c>
      <c r="G20">
        <v>4.5</v>
      </c>
      <c r="H20">
        <v>1.5</v>
      </c>
      <c r="I20">
        <v>4</v>
      </c>
      <c r="J20">
        <v>2</v>
      </c>
      <c r="K20">
        <v>6</v>
      </c>
      <c r="L20">
        <v>7</v>
      </c>
      <c r="M20">
        <v>1.5</v>
      </c>
      <c r="N20">
        <v>4</v>
      </c>
      <c r="O20">
        <v>7.5</v>
      </c>
    </row>
    <row r="21" spans="1:15" x14ac:dyDescent="0.3">
      <c r="A21" s="2">
        <v>46050</v>
      </c>
      <c r="B21">
        <v>3.5</v>
      </c>
      <c r="C21">
        <v>3</v>
      </c>
      <c r="D21">
        <v>2.5</v>
      </c>
      <c r="E21">
        <v>8</v>
      </c>
      <c r="F21">
        <v>2.5</v>
      </c>
      <c r="G21">
        <v>4.5</v>
      </c>
      <c r="H21">
        <v>2</v>
      </c>
      <c r="I21">
        <v>3</v>
      </c>
      <c r="J21">
        <v>4</v>
      </c>
      <c r="K21">
        <v>4</v>
      </c>
      <c r="L21">
        <v>8</v>
      </c>
      <c r="M21">
        <v>2</v>
      </c>
      <c r="N21">
        <v>5</v>
      </c>
      <c r="O21">
        <v>6</v>
      </c>
    </row>
    <row r="22" spans="1:15" x14ac:dyDescent="0.3">
      <c r="A22" s="2">
        <v>46051</v>
      </c>
      <c r="B22">
        <v>8</v>
      </c>
      <c r="C22">
        <v>4</v>
      </c>
      <c r="D22">
        <v>4.5</v>
      </c>
      <c r="E22">
        <v>8</v>
      </c>
      <c r="F22">
        <v>4</v>
      </c>
      <c r="G22">
        <v>4.5</v>
      </c>
      <c r="H22">
        <v>1</v>
      </c>
      <c r="I22">
        <v>4</v>
      </c>
      <c r="J22">
        <v>3.5</v>
      </c>
      <c r="K22">
        <v>6</v>
      </c>
      <c r="L22">
        <v>8</v>
      </c>
      <c r="M22">
        <v>0.5</v>
      </c>
      <c r="N22">
        <v>3.5</v>
      </c>
      <c r="O22">
        <v>6.5</v>
      </c>
    </row>
    <row r="23" spans="1:15" x14ac:dyDescent="0.3">
      <c r="A23" s="2">
        <v>46052</v>
      </c>
      <c r="B23">
        <v>7</v>
      </c>
      <c r="C23">
        <v>2.5</v>
      </c>
      <c r="D23">
        <v>3</v>
      </c>
      <c r="E23">
        <v>7</v>
      </c>
      <c r="F23">
        <v>2.5</v>
      </c>
      <c r="G23">
        <v>3</v>
      </c>
      <c r="H23">
        <v>0.5</v>
      </c>
      <c r="I23">
        <v>3</v>
      </c>
      <c r="J23">
        <v>3</v>
      </c>
      <c r="K23">
        <v>5.5</v>
      </c>
      <c r="L23">
        <v>6.5</v>
      </c>
      <c r="M23">
        <v>0.5</v>
      </c>
      <c r="N23">
        <v>3</v>
      </c>
      <c r="O23">
        <v>6</v>
      </c>
    </row>
    <row r="24" spans="1:15" x14ac:dyDescent="0.3">
      <c r="A24" s="2">
        <v>46055</v>
      </c>
      <c r="B24">
        <v>6</v>
      </c>
      <c r="C24">
        <v>1.5</v>
      </c>
      <c r="D24">
        <v>4</v>
      </c>
      <c r="E24">
        <v>8.5</v>
      </c>
      <c r="F24">
        <v>5.5</v>
      </c>
      <c r="G24">
        <v>4.5</v>
      </c>
      <c r="H24">
        <v>3.5</v>
      </c>
      <c r="I24">
        <v>2.5</v>
      </c>
      <c r="J24">
        <v>1</v>
      </c>
      <c r="K24">
        <v>4.5</v>
      </c>
      <c r="L24">
        <v>7.5</v>
      </c>
      <c r="M24">
        <v>2.5</v>
      </c>
      <c r="N24">
        <v>3.5</v>
      </c>
      <c r="O24">
        <v>6.5</v>
      </c>
    </row>
    <row r="25" spans="1:15" x14ac:dyDescent="0.3">
      <c r="A25" s="2">
        <v>46056</v>
      </c>
      <c r="B25">
        <v>3.5</v>
      </c>
      <c r="C25">
        <v>2</v>
      </c>
      <c r="D25">
        <v>2.5</v>
      </c>
      <c r="E25">
        <v>9</v>
      </c>
      <c r="F25">
        <v>3</v>
      </c>
      <c r="G25">
        <v>4.5</v>
      </c>
      <c r="H25">
        <v>1</v>
      </c>
      <c r="I25">
        <v>2</v>
      </c>
      <c r="J25">
        <v>1.5</v>
      </c>
      <c r="K25">
        <v>3.5</v>
      </c>
      <c r="L25">
        <v>6.5</v>
      </c>
      <c r="M25">
        <v>1</v>
      </c>
      <c r="N25">
        <v>3</v>
      </c>
      <c r="O25">
        <v>6</v>
      </c>
    </row>
    <row r="26" spans="1:15" x14ac:dyDescent="0.3">
      <c r="A26" s="2">
        <v>46057</v>
      </c>
      <c r="B26">
        <v>3.5</v>
      </c>
      <c r="C26">
        <v>2.5</v>
      </c>
      <c r="D26">
        <v>2.5</v>
      </c>
      <c r="E26">
        <v>8</v>
      </c>
      <c r="F26">
        <v>3</v>
      </c>
      <c r="G26">
        <v>6</v>
      </c>
      <c r="H26">
        <v>2.5</v>
      </c>
      <c r="I26">
        <v>2</v>
      </c>
      <c r="J26">
        <v>2</v>
      </c>
      <c r="K26">
        <v>3.5</v>
      </c>
      <c r="L26">
        <v>7</v>
      </c>
      <c r="M26">
        <v>1.5</v>
      </c>
      <c r="N26">
        <v>3.5</v>
      </c>
      <c r="O26">
        <v>6.5</v>
      </c>
    </row>
    <row r="27" spans="1:15" x14ac:dyDescent="0.3">
      <c r="A27" s="2">
        <v>46058</v>
      </c>
      <c r="B27">
        <v>5.5</v>
      </c>
      <c r="C27">
        <v>4</v>
      </c>
      <c r="D27">
        <v>4.5</v>
      </c>
      <c r="E27">
        <v>6</v>
      </c>
      <c r="F27">
        <v>4.5</v>
      </c>
      <c r="G27">
        <v>4.5</v>
      </c>
      <c r="H27">
        <v>1</v>
      </c>
      <c r="I27">
        <v>4</v>
      </c>
      <c r="J27">
        <v>3.5</v>
      </c>
      <c r="K27">
        <v>6</v>
      </c>
      <c r="L27">
        <v>7</v>
      </c>
      <c r="M27">
        <v>0.5</v>
      </c>
      <c r="N27">
        <v>5</v>
      </c>
      <c r="O27">
        <v>6</v>
      </c>
    </row>
    <row r="28" spans="1:15" x14ac:dyDescent="0.3">
      <c r="A28" s="2">
        <v>46059</v>
      </c>
      <c r="B28">
        <v>2.5</v>
      </c>
      <c r="C28">
        <v>1</v>
      </c>
      <c r="D28">
        <v>2</v>
      </c>
      <c r="E28">
        <v>5.5</v>
      </c>
      <c r="F28">
        <v>1.5</v>
      </c>
      <c r="G28">
        <v>3</v>
      </c>
      <c r="H28">
        <v>1</v>
      </c>
      <c r="I28">
        <v>2</v>
      </c>
      <c r="J28">
        <v>1.5</v>
      </c>
      <c r="K28">
        <v>3.5</v>
      </c>
      <c r="L28">
        <v>5.5</v>
      </c>
      <c r="M28">
        <v>1</v>
      </c>
      <c r="N28">
        <v>1</v>
      </c>
      <c r="O28">
        <v>5.5</v>
      </c>
    </row>
    <row r="29" spans="1:15" x14ac:dyDescent="0.3">
      <c r="A29" s="2">
        <v>46062</v>
      </c>
      <c r="B29">
        <v>4</v>
      </c>
      <c r="C29">
        <v>2</v>
      </c>
      <c r="D29">
        <v>2.5</v>
      </c>
      <c r="E29">
        <v>7.5</v>
      </c>
      <c r="F29">
        <v>4</v>
      </c>
      <c r="G29">
        <v>5</v>
      </c>
      <c r="H29">
        <v>2.5</v>
      </c>
      <c r="I29">
        <v>1.5</v>
      </c>
      <c r="J29">
        <v>1</v>
      </c>
      <c r="K29">
        <v>3.5</v>
      </c>
      <c r="L29">
        <v>7.5</v>
      </c>
      <c r="M29">
        <v>0.5</v>
      </c>
      <c r="N29">
        <v>2.5</v>
      </c>
      <c r="O29">
        <v>5.5</v>
      </c>
    </row>
    <row r="30" spans="1:15" x14ac:dyDescent="0.3">
      <c r="A30" s="2">
        <v>46063</v>
      </c>
      <c r="B30">
        <v>4.5</v>
      </c>
      <c r="C30">
        <v>2</v>
      </c>
      <c r="D30">
        <v>2.5</v>
      </c>
      <c r="E30">
        <v>7.5</v>
      </c>
      <c r="F30">
        <v>2</v>
      </c>
      <c r="G30">
        <v>4.5</v>
      </c>
      <c r="H30">
        <v>2</v>
      </c>
      <c r="I30">
        <v>2.5</v>
      </c>
      <c r="J30">
        <v>2</v>
      </c>
      <c r="K30">
        <v>4</v>
      </c>
      <c r="L30">
        <v>6.5</v>
      </c>
      <c r="M30">
        <v>1.5</v>
      </c>
      <c r="N30">
        <v>3</v>
      </c>
      <c r="O30">
        <v>6.5</v>
      </c>
    </row>
    <row r="31" spans="1:15" x14ac:dyDescent="0.3">
      <c r="A31" s="2">
        <v>46064</v>
      </c>
      <c r="B31">
        <v>3</v>
      </c>
      <c r="C31">
        <v>2.5</v>
      </c>
      <c r="D31">
        <v>2.5</v>
      </c>
      <c r="E31">
        <v>7.5</v>
      </c>
      <c r="F31">
        <v>2.5</v>
      </c>
      <c r="G31">
        <v>4.5</v>
      </c>
      <c r="H31">
        <v>1</v>
      </c>
      <c r="I31">
        <v>2</v>
      </c>
      <c r="J31">
        <v>2.5</v>
      </c>
      <c r="K31">
        <v>3.5</v>
      </c>
      <c r="L31">
        <v>7</v>
      </c>
      <c r="M31">
        <v>4</v>
      </c>
      <c r="N31">
        <v>4</v>
      </c>
      <c r="O31">
        <v>5.5</v>
      </c>
    </row>
    <row r="32" spans="1:15" x14ac:dyDescent="0.3">
      <c r="A32" s="2">
        <v>46065</v>
      </c>
      <c r="B32">
        <v>8</v>
      </c>
      <c r="C32">
        <v>2</v>
      </c>
      <c r="D32">
        <v>2.5</v>
      </c>
      <c r="E32">
        <v>5.5</v>
      </c>
      <c r="F32">
        <v>3</v>
      </c>
      <c r="G32">
        <v>4.5</v>
      </c>
      <c r="H32">
        <v>1</v>
      </c>
      <c r="I32">
        <v>2.5</v>
      </c>
      <c r="J32">
        <v>1.5</v>
      </c>
      <c r="K32">
        <v>4</v>
      </c>
      <c r="L32">
        <v>6.5</v>
      </c>
      <c r="M32">
        <v>0.5</v>
      </c>
      <c r="N32">
        <v>3</v>
      </c>
      <c r="O32">
        <v>6</v>
      </c>
    </row>
    <row r="33" spans="1:15" x14ac:dyDescent="0.3">
      <c r="A33" s="2">
        <v>46066</v>
      </c>
      <c r="B33">
        <v>6</v>
      </c>
      <c r="C33">
        <v>2.5</v>
      </c>
      <c r="D33">
        <v>3.5</v>
      </c>
      <c r="E33">
        <v>6</v>
      </c>
      <c r="F33">
        <v>6</v>
      </c>
      <c r="G33">
        <v>3</v>
      </c>
      <c r="H33">
        <v>1</v>
      </c>
      <c r="I33">
        <v>3.5</v>
      </c>
      <c r="J33">
        <v>3</v>
      </c>
      <c r="K33">
        <v>5</v>
      </c>
      <c r="L33">
        <v>5.5</v>
      </c>
      <c r="M33">
        <v>0.5</v>
      </c>
      <c r="N33">
        <v>2.5</v>
      </c>
      <c r="O33">
        <v>5.5</v>
      </c>
    </row>
    <row r="34" spans="1:15" x14ac:dyDescent="0.3">
      <c r="A34" s="2">
        <v>46069</v>
      </c>
      <c r="B34">
        <v>3.5</v>
      </c>
      <c r="C34">
        <v>1.5</v>
      </c>
      <c r="D34">
        <v>2</v>
      </c>
      <c r="E34">
        <v>7.5</v>
      </c>
      <c r="F34">
        <v>3.5</v>
      </c>
      <c r="G34">
        <v>4.5</v>
      </c>
      <c r="H34">
        <v>2.5</v>
      </c>
      <c r="I34">
        <v>1.5</v>
      </c>
      <c r="J34">
        <v>1</v>
      </c>
      <c r="K34">
        <v>4.5</v>
      </c>
      <c r="L34">
        <v>7.5</v>
      </c>
      <c r="M34">
        <v>1.5</v>
      </c>
      <c r="N34">
        <v>3.5</v>
      </c>
      <c r="O34">
        <v>6.5</v>
      </c>
    </row>
    <row r="35" spans="1:15" x14ac:dyDescent="0.3">
      <c r="A35" s="2">
        <v>46070</v>
      </c>
      <c r="B35">
        <v>2.5</v>
      </c>
      <c r="C35">
        <v>2</v>
      </c>
      <c r="D35">
        <v>2.5</v>
      </c>
      <c r="E35">
        <v>7.5</v>
      </c>
      <c r="F35">
        <v>2</v>
      </c>
      <c r="G35">
        <v>4.5</v>
      </c>
      <c r="H35">
        <v>1</v>
      </c>
      <c r="I35">
        <v>2</v>
      </c>
      <c r="J35">
        <v>1.5</v>
      </c>
      <c r="K35">
        <v>3.5</v>
      </c>
      <c r="L35">
        <v>6.5</v>
      </c>
      <c r="M35">
        <v>0.5</v>
      </c>
      <c r="N35">
        <v>3</v>
      </c>
      <c r="O35">
        <v>6</v>
      </c>
    </row>
    <row r="36" spans="1:15" x14ac:dyDescent="0.3">
      <c r="A36" s="2">
        <v>46071</v>
      </c>
      <c r="B36">
        <v>2.5</v>
      </c>
      <c r="C36">
        <v>2.5</v>
      </c>
      <c r="D36">
        <v>2.5</v>
      </c>
      <c r="E36">
        <v>7.5</v>
      </c>
      <c r="F36">
        <v>5</v>
      </c>
      <c r="G36">
        <v>5</v>
      </c>
      <c r="H36">
        <v>1.5</v>
      </c>
      <c r="I36">
        <v>2</v>
      </c>
      <c r="J36">
        <v>2.5</v>
      </c>
      <c r="K36">
        <v>3.5</v>
      </c>
      <c r="L36">
        <v>7</v>
      </c>
      <c r="M36">
        <v>1.5</v>
      </c>
      <c r="N36">
        <v>3.5</v>
      </c>
      <c r="O36">
        <v>6.5</v>
      </c>
    </row>
    <row r="37" spans="1:15" x14ac:dyDescent="0.3">
      <c r="A37" s="2">
        <v>46072</v>
      </c>
      <c r="B37">
        <v>8</v>
      </c>
      <c r="C37">
        <v>2</v>
      </c>
      <c r="D37">
        <v>2.5</v>
      </c>
      <c r="E37">
        <v>5.5</v>
      </c>
      <c r="F37">
        <v>2</v>
      </c>
      <c r="G37">
        <v>4.5</v>
      </c>
      <c r="H37">
        <v>1</v>
      </c>
      <c r="I37">
        <v>3.5</v>
      </c>
      <c r="J37">
        <v>1.5</v>
      </c>
      <c r="K37">
        <v>4</v>
      </c>
      <c r="L37">
        <v>6.5</v>
      </c>
      <c r="M37">
        <v>0.5</v>
      </c>
      <c r="N37">
        <v>3</v>
      </c>
      <c r="O37">
        <v>6</v>
      </c>
    </row>
    <row r="38" spans="1:15" x14ac:dyDescent="0.3">
      <c r="A38" s="2">
        <v>46073</v>
      </c>
      <c r="B38">
        <v>8.5</v>
      </c>
      <c r="C38">
        <v>2</v>
      </c>
      <c r="D38">
        <v>2.5</v>
      </c>
      <c r="E38">
        <v>5.5</v>
      </c>
      <c r="F38">
        <v>2</v>
      </c>
      <c r="G38">
        <v>3</v>
      </c>
      <c r="H38">
        <v>0.5</v>
      </c>
      <c r="I38">
        <v>2.5</v>
      </c>
      <c r="J38">
        <v>2.5</v>
      </c>
      <c r="K38">
        <v>4.5</v>
      </c>
      <c r="L38">
        <v>5.5</v>
      </c>
      <c r="M38">
        <v>0.5</v>
      </c>
      <c r="N38">
        <v>2</v>
      </c>
      <c r="O38">
        <v>5.5</v>
      </c>
    </row>
    <row r="39" spans="1:15" x14ac:dyDescent="0.3">
      <c r="A39" s="2">
        <v>46076</v>
      </c>
      <c r="B39">
        <v>4</v>
      </c>
      <c r="C39">
        <v>2</v>
      </c>
      <c r="D39">
        <v>2.5</v>
      </c>
      <c r="E39">
        <v>6.5</v>
      </c>
      <c r="F39">
        <v>4</v>
      </c>
      <c r="G39">
        <v>5</v>
      </c>
      <c r="H39">
        <v>3.5</v>
      </c>
      <c r="I39">
        <v>1.5</v>
      </c>
      <c r="J39">
        <v>1</v>
      </c>
      <c r="K39">
        <v>3.5</v>
      </c>
      <c r="L39">
        <v>7.5</v>
      </c>
      <c r="M39">
        <v>0.5</v>
      </c>
      <c r="N39">
        <v>2.5</v>
      </c>
      <c r="O39">
        <v>5.5</v>
      </c>
    </row>
    <row r="40" spans="1:15" x14ac:dyDescent="0.3">
      <c r="A40" s="2">
        <v>46077</v>
      </c>
      <c r="B40">
        <v>3.5</v>
      </c>
      <c r="C40">
        <v>2</v>
      </c>
      <c r="D40">
        <v>2.5</v>
      </c>
      <c r="E40">
        <v>7.5</v>
      </c>
      <c r="F40">
        <v>2</v>
      </c>
      <c r="G40">
        <v>4.5</v>
      </c>
      <c r="H40">
        <v>1.5</v>
      </c>
      <c r="I40">
        <v>2.5</v>
      </c>
      <c r="J40">
        <v>2</v>
      </c>
      <c r="K40">
        <v>4</v>
      </c>
      <c r="L40">
        <v>6.5</v>
      </c>
      <c r="M40">
        <v>1.5</v>
      </c>
      <c r="N40">
        <v>3</v>
      </c>
      <c r="O40">
        <v>6.5</v>
      </c>
    </row>
    <row r="41" spans="1:15" x14ac:dyDescent="0.3">
      <c r="A41" s="2">
        <v>46078</v>
      </c>
      <c r="B41">
        <v>3</v>
      </c>
      <c r="C41">
        <v>2.5</v>
      </c>
      <c r="D41">
        <v>2.5</v>
      </c>
      <c r="E41">
        <v>7.5</v>
      </c>
      <c r="F41">
        <v>2.5</v>
      </c>
      <c r="G41">
        <v>4.5</v>
      </c>
      <c r="H41">
        <v>2</v>
      </c>
      <c r="I41">
        <v>2</v>
      </c>
      <c r="J41">
        <v>2.5</v>
      </c>
      <c r="K41">
        <v>3.5</v>
      </c>
      <c r="L41">
        <v>7</v>
      </c>
      <c r="M41">
        <v>2</v>
      </c>
      <c r="N41">
        <v>4</v>
      </c>
      <c r="O41">
        <v>5.5</v>
      </c>
    </row>
    <row r="42" spans="1:15" x14ac:dyDescent="0.3">
      <c r="A42" s="2">
        <v>46079</v>
      </c>
      <c r="B42">
        <v>8</v>
      </c>
      <c r="C42">
        <v>4</v>
      </c>
      <c r="D42">
        <v>4.5</v>
      </c>
      <c r="E42">
        <v>6.5</v>
      </c>
      <c r="F42">
        <v>4</v>
      </c>
      <c r="G42">
        <v>4.5</v>
      </c>
      <c r="H42">
        <v>1</v>
      </c>
      <c r="I42">
        <v>2</v>
      </c>
      <c r="J42">
        <v>3.5</v>
      </c>
      <c r="K42">
        <v>5.5</v>
      </c>
      <c r="L42">
        <v>6.5</v>
      </c>
      <c r="M42">
        <v>0.5</v>
      </c>
      <c r="N42">
        <v>3</v>
      </c>
      <c r="O42">
        <v>6</v>
      </c>
    </row>
    <row r="43" spans="1:15" x14ac:dyDescent="0.3">
      <c r="A43" s="2">
        <v>46080</v>
      </c>
      <c r="B43">
        <v>5</v>
      </c>
      <c r="C43">
        <v>1</v>
      </c>
      <c r="D43">
        <v>1.5</v>
      </c>
      <c r="E43">
        <v>3.5</v>
      </c>
      <c r="F43">
        <v>1</v>
      </c>
      <c r="G43">
        <v>3</v>
      </c>
      <c r="H43">
        <v>0.5</v>
      </c>
      <c r="I43">
        <v>1.5</v>
      </c>
      <c r="J43">
        <v>1.5</v>
      </c>
      <c r="K43">
        <v>3.5</v>
      </c>
      <c r="L43">
        <v>5.5</v>
      </c>
      <c r="M43">
        <v>0.5</v>
      </c>
      <c r="N43">
        <v>1</v>
      </c>
      <c r="O43">
        <v>5.5</v>
      </c>
    </row>
    <row r="44" spans="1:15" x14ac:dyDescent="0.3">
      <c r="A44" s="2">
        <v>46083</v>
      </c>
      <c r="B44">
        <v>5.5</v>
      </c>
      <c r="C44">
        <v>1</v>
      </c>
      <c r="D44">
        <v>3.5</v>
      </c>
      <c r="E44">
        <v>7</v>
      </c>
      <c r="F44">
        <v>6</v>
      </c>
      <c r="G44">
        <v>4.5</v>
      </c>
      <c r="H44">
        <v>3.5</v>
      </c>
      <c r="I44">
        <v>2</v>
      </c>
      <c r="J44">
        <v>0.5</v>
      </c>
      <c r="K44">
        <v>2.5</v>
      </c>
      <c r="L44">
        <v>5.5</v>
      </c>
      <c r="M44">
        <v>2.5</v>
      </c>
      <c r="N44">
        <v>3.5</v>
      </c>
      <c r="O44">
        <v>6.5</v>
      </c>
    </row>
    <row r="45" spans="1:15" x14ac:dyDescent="0.3">
      <c r="A45" s="2">
        <v>46084</v>
      </c>
      <c r="B45">
        <v>2.5</v>
      </c>
      <c r="C45">
        <v>2</v>
      </c>
      <c r="D45">
        <v>2.5</v>
      </c>
      <c r="E45">
        <v>7.5</v>
      </c>
      <c r="F45">
        <v>2</v>
      </c>
      <c r="G45">
        <v>4.5</v>
      </c>
      <c r="H45">
        <v>1</v>
      </c>
      <c r="I45">
        <v>2</v>
      </c>
      <c r="J45">
        <v>0.5</v>
      </c>
      <c r="K45">
        <v>1.5</v>
      </c>
      <c r="L45">
        <v>5</v>
      </c>
      <c r="M45">
        <v>1</v>
      </c>
      <c r="N45">
        <v>2.5</v>
      </c>
      <c r="O45">
        <v>5.5</v>
      </c>
    </row>
    <row r="46" spans="1:15" x14ac:dyDescent="0.3">
      <c r="A46" s="2">
        <v>46085</v>
      </c>
      <c r="B46">
        <v>1.5</v>
      </c>
      <c r="C46">
        <v>1.5</v>
      </c>
      <c r="D46">
        <v>1.5</v>
      </c>
      <c r="E46">
        <v>7.5</v>
      </c>
      <c r="F46">
        <v>0.5</v>
      </c>
      <c r="G46">
        <v>5</v>
      </c>
      <c r="H46">
        <v>1.5</v>
      </c>
      <c r="I46">
        <v>1</v>
      </c>
      <c r="J46">
        <v>0.5</v>
      </c>
      <c r="K46">
        <v>0.5</v>
      </c>
      <c r="L46">
        <v>4.5</v>
      </c>
      <c r="M46">
        <v>1.5</v>
      </c>
      <c r="N46">
        <v>2.5</v>
      </c>
      <c r="O46">
        <v>6.5</v>
      </c>
    </row>
    <row r="47" spans="1:15" x14ac:dyDescent="0.3">
      <c r="A47" s="2">
        <v>46086</v>
      </c>
      <c r="B47">
        <v>7.5</v>
      </c>
      <c r="C47">
        <v>1</v>
      </c>
      <c r="D47">
        <v>1.5</v>
      </c>
      <c r="E47">
        <v>4.5</v>
      </c>
      <c r="F47">
        <v>1</v>
      </c>
      <c r="G47">
        <v>4.5</v>
      </c>
      <c r="H47">
        <v>1</v>
      </c>
      <c r="I47">
        <v>1</v>
      </c>
      <c r="J47">
        <v>0.5</v>
      </c>
      <c r="K47">
        <v>1</v>
      </c>
      <c r="L47">
        <v>4</v>
      </c>
      <c r="M47">
        <v>0.5</v>
      </c>
      <c r="N47">
        <v>2.5</v>
      </c>
      <c r="O47">
        <v>5.5</v>
      </c>
    </row>
    <row r="48" spans="1:15" x14ac:dyDescent="0.3">
      <c r="A48" s="2">
        <v>46087</v>
      </c>
      <c r="B48">
        <v>8</v>
      </c>
      <c r="C48">
        <v>0.5</v>
      </c>
      <c r="D48">
        <v>1</v>
      </c>
      <c r="E48">
        <v>3.5</v>
      </c>
      <c r="F48">
        <v>8</v>
      </c>
      <c r="G48">
        <v>3</v>
      </c>
      <c r="H48">
        <v>0.5</v>
      </c>
      <c r="I48">
        <v>1</v>
      </c>
      <c r="J48">
        <v>1</v>
      </c>
      <c r="K48">
        <v>0.5</v>
      </c>
      <c r="L48">
        <v>4.5</v>
      </c>
      <c r="M48">
        <v>0.5</v>
      </c>
      <c r="N48">
        <v>0.5</v>
      </c>
      <c r="O48">
        <v>5.5</v>
      </c>
    </row>
    <row r="49" spans="1:15" x14ac:dyDescent="0.3">
      <c r="A49" s="2">
        <v>46090</v>
      </c>
      <c r="B49">
        <v>3.5</v>
      </c>
      <c r="C49">
        <v>1.5</v>
      </c>
      <c r="D49">
        <v>2</v>
      </c>
      <c r="E49">
        <v>6.5</v>
      </c>
      <c r="F49">
        <v>3.5</v>
      </c>
      <c r="G49">
        <v>5</v>
      </c>
      <c r="H49">
        <v>2.5</v>
      </c>
      <c r="I49">
        <v>1</v>
      </c>
      <c r="J49">
        <v>0.5</v>
      </c>
      <c r="K49">
        <v>0.5</v>
      </c>
      <c r="L49">
        <v>5.5</v>
      </c>
      <c r="M49">
        <v>0.5</v>
      </c>
      <c r="N49">
        <v>2.5</v>
      </c>
      <c r="O49">
        <v>5.5</v>
      </c>
    </row>
    <row r="50" spans="1:15" x14ac:dyDescent="0.3">
      <c r="A50" s="2">
        <v>46091</v>
      </c>
      <c r="B50">
        <v>2.5</v>
      </c>
      <c r="C50">
        <v>1</v>
      </c>
      <c r="D50">
        <v>1.5</v>
      </c>
      <c r="E50">
        <v>7.5</v>
      </c>
      <c r="F50">
        <v>1</v>
      </c>
      <c r="G50">
        <v>4.5</v>
      </c>
      <c r="H50">
        <v>2</v>
      </c>
      <c r="I50">
        <v>1.5</v>
      </c>
      <c r="J50">
        <v>1</v>
      </c>
      <c r="K50">
        <v>1</v>
      </c>
      <c r="L50">
        <v>4.5</v>
      </c>
      <c r="M50">
        <v>1.5</v>
      </c>
      <c r="N50">
        <v>2.5</v>
      </c>
      <c r="O50">
        <v>6</v>
      </c>
    </row>
    <row r="51" spans="1:15" x14ac:dyDescent="0.3">
      <c r="A51" s="2">
        <v>46092</v>
      </c>
      <c r="B51">
        <v>2</v>
      </c>
      <c r="C51">
        <v>1</v>
      </c>
      <c r="D51">
        <v>1.5</v>
      </c>
      <c r="E51">
        <v>7.5</v>
      </c>
      <c r="F51">
        <v>1.5</v>
      </c>
      <c r="G51">
        <v>4.5</v>
      </c>
      <c r="H51">
        <v>1</v>
      </c>
      <c r="I51">
        <v>1</v>
      </c>
      <c r="J51">
        <v>1.5</v>
      </c>
      <c r="K51">
        <v>0.5</v>
      </c>
      <c r="L51">
        <v>4.5</v>
      </c>
      <c r="M51">
        <v>4</v>
      </c>
      <c r="N51">
        <v>3</v>
      </c>
      <c r="O51">
        <v>5.5</v>
      </c>
    </row>
    <row r="52" spans="1:15" x14ac:dyDescent="0.3">
      <c r="A52" s="2">
        <v>46093</v>
      </c>
      <c r="B52">
        <v>7.5</v>
      </c>
      <c r="C52">
        <v>1</v>
      </c>
      <c r="D52">
        <v>1.5</v>
      </c>
      <c r="E52">
        <v>4.5</v>
      </c>
      <c r="F52">
        <v>1</v>
      </c>
      <c r="G52">
        <v>4.5</v>
      </c>
      <c r="H52">
        <v>1</v>
      </c>
      <c r="I52">
        <v>1</v>
      </c>
      <c r="J52">
        <v>0.5</v>
      </c>
      <c r="K52">
        <v>1</v>
      </c>
      <c r="L52">
        <v>4</v>
      </c>
      <c r="M52">
        <v>0.5</v>
      </c>
      <c r="N52">
        <v>2.5</v>
      </c>
      <c r="O52">
        <v>5.5</v>
      </c>
    </row>
    <row r="53" spans="1:15" x14ac:dyDescent="0.3">
      <c r="A53" s="2">
        <v>46094</v>
      </c>
      <c r="B53">
        <v>1.5</v>
      </c>
      <c r="C53">
        <v>0.5</v>
      </c>
      <c r="D53">
        <v>1.5</v>
      </c>
      <c r="E53">
        <v>3.5</v>
      </c>
      <c r="F53">
        <v>0.5</v>
      </c>
      <c r="G53">
        <v>3</v>
      </c>
      <c r="H53">
        <v>1</v>
      </c>
      <c r="I53">
        <v>1.5</v>
      </c>
      <c r="J53">
        <v>1</v>
      </c>
      <c r="K53">
        <v>0.5</v>
      </c>
      <c r="L53">
        <v>4.5</v>
      </c>
      <c r="M53">
        <v>0.5</v>
      </c>
      <c r="N53">
        <v>0.5</v>
      </c>
      <c r="O53">
        <v>5.5</v>
      </c>
    </row>
    <row r="54" spans="1:15" x14ac:dyDescent="0.3">
      <c r="A54" s="2">
        <v>46097</v>
      </c>
      <c r="B54">
        <v>4.5</v>
      </c>
      <c r="C54">
        <v>1</v>
      </c>
      <c r="D54">
        <v>1.5</v>
      </c>
      <c r="E54">
        <v>6.5</v>
      </c>
      <c r="F54">
        <v>4.5</v>
      </c>
      <c r="G54">
        <v>4.5</v>
      </c>
      <c r="H54">
        <v>2.5</v>
      </c>
      <c r="I54">
        <v>1</v>
      </c>
      <c r="J54">
        <v>0.5</v>
      </c>
      <c r="K54">
        <v>1.5</v>
      </c>
      <c r="L54">
        <v>5.5</v>
      </c>
      <c r="M54">
        <v>1.5</v>
      </c>
      <c r="N54">
        <v>3.5</v>
      </c>
      <c r="O54">
        <v>6.5</v>
      </c>
    </row>
    <row r="55" spans="1:15" x14ac:dyDescent="0.3">
      <c r="A55" s="2">
        <v>46098</v>
      </c>
      <c r="B55">
        <v>1.5</v>
      </c>
      <c r="C55">
        <v>1</v>
      </c>
      <c r="D55">
        <v>1.5</v>
      </c>
      <c r="E55">
        <v>7.5</v>
      </c>
      <c r="F55">
        <v>1</v>
      </c>
      <c r="G55">
        <v>4.5</v>
      </c>
      <c r="H55">
        <v>1</v>
      </c>
      <c r="I55">
        <v>1</v>
      </c>
      <c r="J55">
        <v>0.5</v>
      </c>
      <c r="K55">
        <v>0.5</v>
      </c>
      <c r="L55">
        <v>4.5</v>
      </c>
      <c r="M55">
        <v>0.5</v>
      </c>
      <c r="N55">
        <v>2.5</v>
      </c>
      <c r="O55">
        <v>5.5</v>
      </c>
    </row>
    <row r="56" spans="1:15" x14ac:dyDescent="0.3">
      <c r="A56" s="2">
        <v>46099</v>
      </c>
      <c r="B56">
        <v>1.5</v>
      </c>
      <c r="C56">
        <v>1.5</v>
      </c>
      <c r="D56">
        <v>1.5</v>
      </c>
      <c r="E56">
        <v>7.5</v>
      </c>
      <c r="F56">
        <v>0.5</v>
      </c>
      <c r="G56">
        <v>5</v>
      </c>
      <c r="H56">
        <v>1.5</v>
      </c>
      <c r="I56">
        <v>1</v>
      </c>
      <c r="J56">
        <v>1</v>
      </c>
      <c r="K56">
        <v>0.5</v>
      </c>
      <c r="L56">
        <v>4</v>
      </c>
      <c r="M56">
        <v>1.5</v>
      </c>
      <c r="N56">
        <v>2.5</v>
      </c>
      <c r="O56">
        <v>6.5</v>
      </c>
    </row>
    <row r="57" spans="1:15" x14ac:dyDescent="0.3">
      <c r="A57" s="2">
        <v>46100</v>
      </c>
      <c r="B57">
        <v>7.5</v>
      </c>
      <c r="C57">
        <v>1</v>
      </c>
      <c r="D57">
        <v>1.5</v>
      </c>
      <c r="E57">
        <v>4.5</v>
      </c>
      <c r="F57">
        <v>1</v>
      </c>
      <c r="G57">
        <v>4.5</v>
      </c>
      <c r="H57">
        <v>1</v>
      </c>
      <c r="I57">
        <v>1</v>
      </c>
      <c r="J57">
        <v>0.5</v>
      </c>
      <c r="K57">
        <v>1</v>
      </c>
      <c r="L57">
        <v>4</v>
      </c>
      <c r="M57">
        <v>0.5</v>
      </c>
      <c r="N57">
        <v>2.5</v>
      </c>
      <c r="O57">
        <v>5.5</v>
      </c>
    </row>
    <row r="58" spans="1:15" x14ac:dyDescent="0.3">
      <c r="A58" s="2">
        <v>46101</v>
      </c>
      <c r="B58">
        <v>1.5</v>
      </c>
      <c r="C58">
        <v>0.5</v>
      </c>
      <c r="D58">
        <v>1</v>
      </c>
      <c r="E58">
        <v>3.5</v>
      </c>
      <c r="F58">
        <v>0.5</v>
      </c>
      <c r="G58">
        <v>3</v>
      </c>
      <c r="H58">
        <v>0.5</v>
      </c>
      <c r="I58">
        <v>1</v>
      </c>
      <c r="J58">
        <v>1</v>
      </c>
      <c r="K58">
        <v>0.5</v>
      </c>
      <c r="L58">
        <v>4.5</v>
      </c>
      <c r="M58">
        <v>0.5</v>
      </c>
      <c r="N58">
        <v>0.5</v>
      </c>
      <c r="O58">
        <v>5.5</v>
      </c>
    </row>
    <row r="59" spans="1:15" x14ac:dyDescent="0.3">
      <c r="A59" s="2">
        <v>46104</v>
      </c>
      <c r="B59">
        <v>3.5</v>
      </c>
      <c r="C59">
        <v>1.5</v>
      </c>
      <c r="D59">
        <v>2</v>
      </c>
      <c r="E59">
        <v>6.5</v>
      </c>
      <c r="F59">
        <v>3.5</v>
      </c>
      <c r="G59">
        <v>5</v>
      </c>
      <c r="H59">
        <v>3.5</v>
      </c>
      <c r="I59">
        <v>1</v>
      </c>
      <c r="J59">
        <v>0.5</v>
      </c>
      <c r="K59">
        <v>0.5</v>
      </c>
      <c r="L59">
        <v>5.5</v>
      </c>
      <c r="M59">
        <v>0.5</v>
      </c>
      <c r="N59">
        <v>2.5</v>
      </c>
      <c r="O59">
        <v>5.5</v>
      </c>
    </row>
    <row r="60" spans="1:15" x14ac:dyDescent="0.3">
      <c r="A60" s="2">
        <v>46105</v>
      </c>
      <c r="B60">
        <v>1.5</v>
      </c>
      <c r="C60">
        <v>1</v>
      </c>
      <c r="D60">
        <v>1.5</v>
      </c>
      <c r="E60">
        <v>7.5</v>
      </c>
      <c r="F60">
        <v>1</v>
      </c>
      <c r="G60">
        <v>4.5</v>
      </c>
      <c r="H60">
        <v>1.5</v>
      </c>
      <c r="I60">
        <v>1.5</v>
      </c>
      <c r="J60">
        <v>1</v>
      </c>
      <c r="K60">
        <v>1</v>
      </c>
      <c r="L60">
        <v>4.5</v>
      </c>
      <c r="M60">
        <v>0.5</v>
      </c>
      <c r="N60">
        <v>2.5</v>
      </c>
      <c r="O60">
        <v>1</v>
      </c>
    </row>
    <row r="61" spans="1:15" x14ac:dyDescent="0.3">
      <c r="A61" s="2">
        <v>46106</v>
      </c>
      <c r="B61">
        <v>2</v>
      </c>
      <c r="C61">
        <v>1</v>
      </c>
      <c r="D61">
        <v>1.5</v>
      </c>
      <c r="E61">
        <v>7.5</v>
      </c>
      <c r="F61">
        <v>1.5</v>
      </c>
      <c r="G61">
        <v>4.5</v>
      </c>
      <c r="H61">
        <v>2</v>
      </c>
      <c r="I61">
        <v>1</v>
      </c>
      <c r="J61">
        <v>1.5</v>
      </c>
      <c r="K61">
        <v>0.5</v>
      </c>
      <c r="L61">
        <v>4</v>
      </c>
      <c r="M61">
        <v>2</v>
      </c>
      <c r="N61">
        <v>3</v>
      </c>
      <c r="O61">
        <v>0.5</v>
      </c>
    </row>
    <row r="62" spans="1:15" x14ac:dyDescent="0.3">
      <c r="A62" s="2">
        <v>46107</v>
      </c>
      <c r="B62">
        <v>7.5</v>
      </c>
      <c r="C62">
        <v>3</v>
      </c>
      <c r="D62">
        <v>3.5</v>
      </c>
      <c r="E62">
        <v>6.5</v>
      </c>
      <c r="F62">
        <v>3</v>
      </c>
      <c r="G62">
        <v>4.5</v>
      </c>
      <c r="H62">
        <v>1</v>
      </c>
      <c r="I62">
        <v>1</v>
      </c>
      <c r="J62">
        <v>2.5</v>
      </c>
      <c r="K62">
        <v>2.5</v>
      </c>
      <c r="L62">
        <v>4</v>
      </c>
      <c r="M62">
        <v>0.5</v>
      </c>
      <c r="N62">
        <v>2.5</v>
      </c>
      <c r="O62">
        <v>2.5</v>
      </c>
    </row>
    <row r="63" spans="1:15" x14ac:dyDescent="0.3">
      <c r="A63" s="2">
        <v>46108</v>
      </c>
      <c r="B63">
        <v>4.5</v>
      </c>
      <c r="C63">
        <v>0.5</v>
      </c>
      <c r="D63">
        <v>1</v>
      </c>
      <c r="E63">
        <v>3.5</v>
      </c>
      <c r="F63">
        <v>0.5</v>
      </c>
      <c r="G63">
        <v>3</v>
      </c>
      <c r="H63">
        <v>0.5</v>
      </c>
      <c r="I63">
        <v>1</v>
      </c>
      <c r="J63">
        <v>1</v>
      </c>
      <c r="K63">
        <v>0.5</v>
      </c>
      <c r="L63">
        <v>4.5</v>
      </c>
      <c r="M63">
        <v>0.5</v>
      </c>
      <c r="N63">
        <v>0.5</v>
      </c>
      <c r="O63">
        <v>0.5</v>
      </c>
    </row>
    <row r="64" spans="1:15" x14ac:dyDescent="0.3">
      <c r="A64" s="2">
        <v>46111</v>
      </c>
      <c r="B64">
        <v>4.5</v>
      </c>
      <c r="C64">
        <v>1</v>
      </c>
      <c r="D64">
        <v>1.5</v>
      </c>
      <c r="E64">
        <v>6.5</v>
      </c>
      <c r="F64">
        <v>4.5</v>
      </c>
      <c r="G64">
        <v>4.5</v>
      </c>
      <c r="H64">
        <v>2.5</v>
      </c>
      <c r="I64">
        <v>1</v>
      </c>
      <c r="J64">
        <v>0.5</v>
      </c>
      <c r="K64">
        <v>1.5</v>
      </c>
      <c r="L64">
        <v>5.5</v>
      </c>
      <c r="M64">
        <v>1.5</v>
      </c>
      <c r="N64">
        <v>3.5</v>
      </c>
      <c r="O64">
        <v>1.5</v>
      </c>
    </row>
    <row r="65" spans="1:15" x14ac:dyDescent="0.3">
      <c r="A65" s="2">
        <v>46112</v>
      </c>
      <c r="B65">
        <v>1.5</v>
      </c>
      <c r="C65">
        <v>1</v>
      </c>
      <c r="D65">
        <v>1.5</v>
      </c>
      <c r="E65">
        <v>7.5</v>
      </c>
      <c r="F65">
        <v>1.5</v>
      </c>
      <c r="G65">
        <v>4.5</v>
      </c>
      <c r="H65">
        <v>1</v>
      </c>
      <c r="I65">
        <v>1</v>
      </c>
      <c r="J65">
        <v>0.5</v>
      </c>
      <c r="K65">
        <v>0.5</v>
      </c>
      <c r="L65">
        <v>4.5</v>
      </c>
      <c r="M65">
        <v>0.5</v>
      </c>
      <c r="N65">
        <v>2.5</v>
      </c>
      <c r="O65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G14" sqref="G14"/>
    </sheetView>
  </sheetViews>
  <sheetFormatPr defaultRowHeight="14.4" x14ac:dyDescent="0.3"/>
  <cols>
    <col min="1" max="1" width="19" bestFit="1" customWidth="1"/>
    <col min="2" max="2" width="12" bestFit="1" customWidth="1"/>
    <col min="3" max="3" width="12.88671875" bestFit="1" customWidth="1"/>
    <col min="4" max="4" width="10.88671875" bestFit="1" customWidth="1"/>
  </cols>
  <sheetData>
    <row r="1" spans="1:4" x14ac:dyDescent="0.3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</v>
      </c>
      <c r="B2">
        <v>94.5</v>
      </c>
      <c r="C2">
        <v>95</v>
      </c>
      <c r="D2">
        <v>83.5</v>
      </c>
    </row>
    <row r="3" spans="1:4" x14ac:dyDescent="0.3">
      <c r="A3" s="1" t="s">
        <v>2</v>
      </c>
      <c r="B3">
        <v>39.5</v>
      </c>
      <c r="C3">
        <v>43.5</v>
      </c>
      <c r="D3">
        <v>25</v>
      </c>
    </row>
    <row r="4" spans="1:4" x14ac:dyDescent="0.3">
      <c r="A4" s="1" t="s">
        <v>3</v>
      </c>
      <c r="B4">
        <v>55</v>
      </c>
      <c r="C4">
        <v>54.5</v>
      </c>
      <c r="D4">
        <v>37.5</v>
      </c>
    </row>
    <row r="5" spans="1:4" x14ac:dyDescent="0.3">
      <c r="A5" s="1" t="s">
        <v>4</v>
      </c>
      <c r="B5">
        <v>113.5</v>
      </c>
      <c r="C5">
        <v>136</v>
      </c>
      <c r="D5">
        <v>134.5</v>
      </c>
    </row>
    <row r="6" spans="1:4" x14ac:dyDescent="0.3">
      <c r="A6" s="1" t="s">
        <v>5</v>
      </c>
      <c r="B6">
        <v>54.5</v>
      </c>
      <c r="C6">
        <v>63</v>
      </c>
      <c r="D6">
        <v>48</v>
      </c>
    </row>
    <row r="7" spans="1:4" x14ac:dyDescent="0.3">
      <c r="A7" s="1" t="s">
        <v>6</v>
      </c>
      <c r="B7">
        <v>98</v>
      </c>
      <c r="C7">
        <v>87</v>
      </c>
      <c r="D7">
        <v>95</v>
      </c>
    </row>
    <row r="8" spans="1:4" x14ac:dyDescent="0.3">
      <c r="A8" s="1" t="s">
        <v>7</v>
      </c>
      <c r="B8">
        <v>33</v>
      </c>
      <c r="C8">
        <v>31.5</v>
      </c>
      <c r="D8">
        <v>33.5</v>
      </c>
    </row>
    <row r="9" spans="1:4" x14ac:dyDescent="0.3">
      <c r="A9" s="1" t="s">
        <v>8</v>
      </c>
      <c r="B9">
        <v>53</v>
      </c>
      <c r="C9">
        <v>45.5</v>
      </c>
      <c r="D9">
        <v>25.5</v>
      </c>
    </row>
    <row r="10" spans="1:4" x14ac:dyDescent="0.3">
      <c r="A10" s="1" t="s">
        <v>9</v>
      </c>
      <c r="B10">
        <v>50.5</v>
      </c>
      <c r="C10">
        <v>39</v>
      </c>
      <c r="D10">
        <v>18.5</v>
      </c>
    </row>
    <row r="11" spans="1:4" x14ac:dyDescent="0.3">
      <c r="A11" s="1" t="s">
        <v>10</v>
      </c>
      <c r="B11">
        <v>112.5</v>
      </c>
      <c r="C11">
        <v>81</v>
      </c>
      <c r="D11">
        <v>20.5</v>
      </c>
    </row>
    <row r="12" spans="1:4" x14ac:dyDescent="0.3">
      <c r="A12" s="1" t="s">
        <v>11</v>
      </c>
      <c r="B12">
        <v>108</v>
      </c>
      <c r="C12">
        <v>132.5</v>
      </c>
      <c r="D12">
        <v>101.5</v>
      </c>
    </row>
    <row r="13" spans="1:4" x14ac:dyDescent="0.3">
      <c r="A13" s="1" t="s">
        <v>12</v>
      </c>
      <c r="B13">
        <v>22</v>
      </c>
      <c r="C13">
        <v>23</v>
      </c>
      <c r="D13">
        <v>23.5</v>
      </c>
    </row>
    <row r="14" spans="1:4" x14ac:dyDescent="0.3">
      <c r="A14" s="1" t="s">
        <v>13</v>
      </c>
      <c r="B14">
        <v>76</v>
      </c>
      <c r="C14">
        <v>59.5</v>
      </c>
      <c r="D14">
        <v>51</v>
      </c>
    </row>
    <row r="15" spans="1:4" x14ac:dyDescent="0.3">
      <c r="A15" s="1" t="s">
        <v>14</v>
      </c>
      <c r="B15">
        <v>138.5</v>
      </c>
      <c r="C15">
        <v>119</v>
      </c>
      <c r="D15">
        <v>99</v>
      </c>
    </row>
    <row r="16" spans="1:4" x14ac:dyDescent="0.3">
      <c r="B16">
        <f t="shared" ref="B16:D16" si="0">SUM(B2:B15)</f>
        <v>1048.5</v>
      </c>
      <c r="C16">
        <f t="shared" si="0"/>
        <v>1010</v>
      </c>
      <c r="D16">
        <f t="shared" si="0"/>
        <v>796.5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"/>
  <sheetViews>
    <sheetView topLeftCell="A67" workbookViewId="0">
      <selection activeCell="B93" sqref="B93"/>
    </sheetView>
  </sheetViews>
  <sheetFormatPr defaultRowHeight="14.4" x14ac:dyDescent="0.3"/>
  <cols>
    <col min="1" max="1" width="45.44140625" customWidth="1"/>
    <col min="2" max="2" width="12" bestFit="1" customWidth="1"/>
    <col min="3" max="3" width="12.88671875" bestFit="1" customWidth="1"/>
    <col min="4" max="4" width="10.8867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20</v>
      </c>
      <c r="B2">
        <v>1</v>
      </c>
      <c r="C2">
        <v>2</v>
      </c>
      <c r="D2">
        <v>1</v>
      </c>
    </row>
    <row r="3" spans="1:4" x14ac:dyDescent="0.3">
      <c r="A3" s="1" t="s">
        <v>21</v>
      </c>
      <c r="B3">
        <v>0.5</v>
      </c>
      <c r="C3">
        <v>0</v>
      </c>
      <c r="D3">
        <v>0</v>
      </c>
    </row>
    <row r="4" spans="1:4" x14ac:dyDescent="0.3">
      <c r="A4" s="1" t="s">
        <v>22</v>
      </c>
      <c r="B4">
        <v>0.5</v>
      </c>
      <c r="C4">
        <v>0</v>
      </c>
      <c r="D4">
        <v>0</v>
      </c>
    </row>
    <row r="5" spans="1:4" x14ac:dyDescent="0.3">
      <c r="A5" s="1" t="s">
        <v>23</v>
      </c>
      <c r="B5">
        <v>0.5</v>
      </c>
      <c r="C5">
        <v>0</v>
      </c>
      <c r="D5">
        <v>0</v>
      </c>
    </row>
    <row r="6" spans="1:4" x14ac:dyDescent="0.3">
      <c r="A6" s="1" t="s">
        <v>24</v>
      </c>
      <c r="B6">
        <v>1</v>
      </c>
      <c r="C6">
        <v>0</v>
      </c>
      <c r="D6">
        <v>0</v>
      </c>
    </row>
    <row r="7" spans="1:4" x14ac:dyDescent="0.3">
      <c r="A7" s="1" t="s">
        <v>25</v>
      </c>
      <c r="B7">
        <v>1</v>
      </c>
      <c r="C7">
        <v>0</v>
      </c>
      <c r="D7">
        <v>0</v>
      </c>
    </row>
    <row r="8" spans="1:4" x14ac:dyDescent="0.3">
      <c r="A8" s="1" t="s">
        <v>26</v>
      </c>
      <c r="B8">
        <v>0</v>
      </c>
      <c r="C8">
        <v>1</v>
      </c>
      <c r="D8">
        <v>0</v>
      </c>
    </row>
    <row r="9" spans="1:4" x14ac:dyDescent="0.3">
      <c r="A9" s="1" t="s">
        <v>27</v>
      </c>
      <c r="B9">
        <v>0.5</v>
      </c>
      <c r="C9">
        <v>0</v>
      </c>
      <c r="D9">
        <v>0</v>
      </c>
    </row>
    <row r="10" spans="1:4" x14ac:dyDescent="0.3">
      <c r="A10" s="1" t="s">
        <v>28</v>
      </c>
      <c r="B10">
        <v>0.5</v>
      </c>
      <c r="C10">
        <v>0</v>
      </c>
      <c r="D10">
        <v>0</v>
      </c>
    </row>
    <row r="11" spans="1:4" x14ac:dyDescent="0.3">
      <c r="A11" s="1" t="s">
        <v>29</v>
      </c>
      <c r="B11">
        <v>0.5</v>
      </c>
      <c r="C11">
        <v>0</v>
      </c>
      <c r="D11">
        <v>0</v>
      </c>
    </row>
    <row r="12" spans="1:4" x14ac:dyDescent="0.3">
      <c r="A12" s="1" t="s">
        <v>30</v>
      </c>
      <c r="B12">
        <v>1</v>
      </c>
      <c r="C12">
        <v>0.5</v>
      </c>
      <c r="D12">
        <v>1</v>
      </c>
    </row>
    <row r="13" spans="1:4" x14ac:dyDescent="0.3">
      <c r="A13" s="1" t="s">
        <v>31</v>
      </c>
      <c r="B13">
        <v>0.5</v>
      </c>
      <c r="C13">
        <v>0.5</v>
      </c>
      <c r="D13">
        <v>0.5</v>
      </c>
    </row>
    <row r="14" spans="1:4" x14ac:dyDescent="0.3">
      <c r="A14" s="1" t="s">
        <v>32</v>
      </c>
      <c r="B14">
        <v>8</v>
      </c>
      <c r="C14">
        <v>7.5</v>
      </c>
      <c r="D14">
        <v>8</v>
      </c>
    </row>
    <row r="15" spans="1:4" x14ac:dyDescent="0.3">
      <c r="A15" s="1" t="s">
        <v>33</v>
      </c>
      <c r="B15">
        <v>2.5</v>
      </c>
      <c r="C15">
        <v>2</v>
      </c>
      <c r="D15">
        <v>3</v>
      </c>
    </row>
    <row r="16" spans="1:4" x14ac:dyDescent="0.3">
      <c r="A16" s="1" t="s">
        <v>34</v>
      </c>
      <c r="B16">
        <v>0.5</v>
      </c>
      <c r="C16">
        <v>0</v>
      </c>
      <c r="D16">
        <v>0</v>
      </c>
    </row>
    <row r="17" spans="1:4" x14ac:dyDescent="0.3">
      <c r="A17" s="1" t="s">
        <v>35</v>
      </c>
      <c r="B17">
        <v>0.5</v>
      </c>
      <c r="C17">
        <v>0</v>
      </c>
      <c r="D17">
        <v>0</v>
      </c>
    </row>
    <row r="18" spans="1:4" x14ac:dyDescent="0.3">
      <c r="A18" s="1" t="s">
        <v>36</v>
      </c>
      <c r="B18">
        <v>1</v>
      </c>
      <c r="C18">
        <v>0</v>
      </c>
      <c r="D18">
        <v>0</v>
      </c>
    </row>
    <row r="19" spans="1:4" x14ac:dyDescent="0.3">
      <c r="A19" s="1" t="s">
        <v>37</v>
      </c>
      <c r="B19">
        <v>0.5</v>
      </c>
      <c r="C19">
        <v>0.5</v>
      </c>
      <c r="D19">
        <v>0</v>
      </c>
    </row>
    <row r="20" spans="1:4" x14ac:dyDescent="0.3">
      <c r="A20" s="1" t="s">
        <v>38</v>
      </c>
      <c r="B20">
        <v>1</v>
      </c>
      <c r="C20">
        <v>0</v>
      </c>
      <c r="D20">
        <v>0</v>
      </c>
    </row>
    <row r="21" spans="1:4" x14ac:dyDescent="0.3">
      <c r="A21" s="1" t="s">
        <v>39</v>
      </c>
      <c r="B21">
        <v>0.5</v>
      </c>
      <c r="C21">
        <v>0</v>
      </c>
      <c r="D21">
        <v>0</v>
      </c>
    </row>
    <row r="22" spans="1:4" x14ac:dyDescent="0.3">
      <c r="A22" s="1" t="s">
        <v>40</v>
      </c>
      <c r="B22">
        <v>0</v>
      </c>
      <c r="C22">
        <v>1</v>
      </c>
      <c r="D22">
        <v>0</v>
      </c>
    </row>
    <row r="23" spans="1:4" x14ac:dyDescent="0.3">
      <c r="A23" s="1" t="s">
        <v>41</v>
      </c>
      <c r="B23">
        <v>1</v>
      </c>
      <c r="C23">
        <v>0</v>
      </c>
      <c r="D23">
        <v>0</v>
      </c>
    </row>
    <row r="24" spans="1:4" x14ac:dyDescent="0.3">
      <c r="A24" s="1" t="s">
        <v>42</v>
      </c>
      <c r="B24">
        <v>1</v>
      </c>
      <c r="C24">
        <v>0</v>
      </c>
      <c r="D24">
        <v>0</v>
      </c>
    </row>
    <row r="25" spans="1:4" x14ac:dyDescent="0.3">
      <c r="A25" s="1" t="s">
        <v>43</v>
      </c>
      <c r="B25">
        <v>0</v>
      </c>
      <c r="C25">
        <v>5.5</v>
      </c>
      <c r="D25">
        <v>0</v>
      </c>
    </row>
    <row r="26" spans="1:4" x14ac:dyDescent="0.3">
      <c r="A26" s="1" t="s">
        <v>44</v>
      </c>
      <c r="B26">
        <v>0</v>
      </c>
      <c r="C26">
        <v>0.5</v>
      </c>
      <c r="D26">
        <v>0</v>
      </c>
    </row>
    <row r="27" spans="1:4" x14ac:dyDescent="0.3">
      <c r="A27" s="1" t="s">
        <v>45</v>
      </c>
      <c r="B27">
        <v>0</v>
      </c>
      <c r="C27">
        <v>0.5</v>
      </c>
      <c r="D27">
        <v>0</v>
      </c>
    </row>
    <row r="28" spans="1:4" x14ac:dyDescent="0.3">
      <c r="A28" s="1" t="s">
        <v>46</v>
      </c>
      <c r="B28">
        <v>0</v>
      </c>
      <c r="C28">
        <v>0.5</v>
      </c>
      <c r="D28">
        <v>0</v>
      </c>
    </row>
    <row r="29" spans="1:4" x14ac:dyDescent="0.3">
      <c r="A29" s="1" t="s">
        <v>47</v>
      </c>
      <c r="B29">
        <v>0</v>
      </c>
      <c r="C29">
        <v>1</v>
      </c>
      <c r="D29">
        <v>0</v>
      </c>
    </row>
    <row r="30" spans="1:4" x14ac:dyDescent="0.3">
      <c r="A30" s="1" t="s">
        <v>48</v>
      </c>
      <c r="B30">
        <v>0.5</v>
      </c>
      <c r="C30">
        <v>0</v>
      </c>
      <c r="D30">
        <v>0</v>
      </c>
    </row>
    <row r="31" spans="1:4" x14ac:dyDescent="0.3">
      <c r="A31" s="1" t="s">
        <v>49</v>
      </c>
      <c r="B31">
        <v>0.5</v>
      </c>
      <c r="C31">
        <v>0</v>
      </c>
      <c r="D31">
        <v>0</v>
      </c>
    </row>
    <row r="32" spans="1:4" x14ac:dyDescent="0.3">
      <c r="A32" s="1" t="s">
        <v>50</v>
      </c>
      <c r="B32">
        <v>3</v>
      </c>
      <c r="C32">
        <v>3</v>
      </c>
      <c r="D32">
        <v>3</v>
      </c>
    </row>
    <row r="33" spans="1:4" x14ac:dyDescent="0.3">
      <c r="A33" s="1" t="s">
        <v>51</v>
      </c>
      <c r="B33">
        <v>0.5</v>
      </c>
      <c r="C33">
        <v>0</v>
      </c>
      <c r="D33">
        <v>0</v>
      </c>
    </row>
    <row r="34" spans="1:4" x14ac:dyDescent="0.3">
      <c r="A34" s="1" t="s">
        <v>52</v>
      </c>
      <c r="B34">
        <v>1</v>
      </c>
      <c r="C34">
        <v>0</v>
      </c>
      <c r="D34">
        <v>0</v>
      </c>
    </row>
    <row r="35" spans="1:4" x14ac:dyDescent="0.3">
      <c r="A35" s="1" t="s">
        <v>53</v>
      </c>
      <c r="B35">
        <v>1</v>
      </c>
      <c r="C35">
        <v>0</v>
      </c>
      <c r="D35">
        <v>0</v>
      </c>
    </row>
    <row r="36" spans="1:4" x14ac:dyDescent="0.3">
      <c r="A36" s="1" t="s">
        <v>54</v>
      </c>
      <c r="B36">
        <v>1</v>
      </c>
      <c r="C36">
        <v>0</v>
      </c>
      <c r="D36">
        <v>0</v>
      </c>
    </row>
    <row r="37" spans="1:4" x14ac:dyDescent="0.3">
      <c r="A37" s="1" t="s">
        <v>55</v>
      </c>
      <c r="B37">
        <v>0</v>
      </c>
      <c r="C37">
        <v>0.5</v>
      </c>
      <c r="D37">
        <v>0</v>
      </c>
    </row>
    <row r="38" spans="1:4" x14ac:dyDescent="0.3">
      <c r="A38" s="1" t="s">
        <v>56</v>
      </c>
      <c r="B38">
        <v>0.5</v>
      </c>
      <c r="C38">
        <v>1</v>
      </c>
      <c r="D38">
        <v>1</v>
      </c>
    </row>
    <row r="39" spans="1:4" x14ac:dyDescent="0.3">
      <c r="A39" s="1" t="s">
        <v>57</v>
      </c>
      <c r="B39">
        <v>0</v>
      </c>
      <c r="C39">
        <v>0</v>
      </c>
      <c r="D39">
        <v>1</v>
      </c>
    </row>
    <row r="40" spans="1:4" x14ac:dyDescent="0.3">
      <c r="A40" s="1" t="s">
        <v>58</v>
      </c>
      <c r="B40">
        <v>0</v>
      </c>
      <c r="C40">
        <v>0.5</v>
      </c>
      <c r="D40">
        <v>0</v>
      </c>
    </row>
    <row r="41" spans="1:4" x14ac:dyDescent="0.3">
      <c r="A41" s="1" t="s">
        <v>59</v>
      </c>
      <c r="B41">
        <v>2</v>
      </c>
      <c r="C41">
        <v>2</v>
      </c>
      <c r="D41">
        <v>2.5</v>
      </c>
    </row>
    <row r="42" spans="1:4" x14ac:dyDescent="0.3">
      <c r="A42" s="1" t="s">
        <v>60</v>
      </c>
      <c r="B42">
        <v>0.5</v>
      </c>
      <c r="C42">
        <v>0</v>
      </c>
      <c r="D42">
        <v>0</v>
      </c>
    </row>
    <row r="43" spans="1:4" x14ac:dyDescent="0.3">
      <c r="A43" s="1" t="s">
        <v>61</v>
      </c>
      <c r="B43">
        <v>5</v>
      </c>
      <c r="C43">
        <v>0</v>
      </c>
      <c r="D43">
        <v>0</v>
      </c>
    </row>
    <row r="44" spans="1:4" x14ac:dyDescent="0.3">
      <c r="A44" s="1" t="s">
        <v>62</v>
      </c>
      <c r="B44">
        <v>0.5</v>
      </c>
      <c r="C44">
        <v>0</v>
      </c>
      <c r="D44">
        <v>0</v>
      </c>
    </row>
    <row r="45" spans="1:4" x14ac:dyDescent="0.3">
      <c r="A45" s="1" t="s">
        <v>63</v>
      </c>
      <c r="B45">
        <v>1.5</v>
      </c>
      <c r="C45">
        <v>0</v>
      </c>
      <c r="D45">
        <v>0</v>
      </c>
    </row>
    <row r="46" spans="1:4" x14ac:dyDescent="0.3">
      <c r="A46" s="1" t="s">
        <v>64</v>
      </c>
      <c r="B46">
        <v>0</v>
      </c>
      <c r="C46">
        <v>2.5</v>
      </c>
      <c r="D46">
        <v>0</v>
      </c>
    </row>
    <row r="47" spans="1:4" x14ac:dyDescent="0.3">
      <c r="A47" s="1" t="s">
        <v>65</v>
      </c>
      <c r="B47">
        <v>0</v>
      </c>
      <c r="C47">
        <v>0.5</v>
      </c>
      <c r="D47">
        <v>0</v>
      </c>
    </row>
    <row r="48" spans="1:4" x14ac:dyDescent="0.3">
      <c r="A48" s="1" t="s">
        <v>66</v>
      </c>
      <c r="B48">
        <v>0</v>
      </c>
      <c r="C48">
        <v>0.5</v>
      </c>
      <c r="D48">
        <v>0</v>
      </c>
    </row>
    <row r="49" spans="1:4" x14ac:dyDescent="0.3">
      <c r="A49" s="1" t="s">
        <v>67</v>
      </c>
      <c r="B49">
        <v>0</v>
      </c>
      <c r="C49">
        <v>0.5</v>
      </c>
      <c r="D49">
        <v>0</v>
      </c>
    </row>
    <row r="50" spans="1:4" x14ac:dyDescent="0.3">
      <c r="A50" s="1" t="s">
        <v>68</v>
      </c>
      <c r="B50">
        <v>0</v>
      </c>
      <c r="C50">
        <v>0</v>
      </c>
      <c r="D50">
        <v>6.5</v>
      </c>
    </row>
    <row r="51" spans="1:4" x14ac:dyDescent="0.3">
      <c r="A51" s="1" t="s">
        <v>69</v>
      </c>
      <c r="B51">
        <v>0</v>
      </c>
      <c r="C51">
        <v>0</v>
      </c>
      <c r="D51">
        <v>0.5</v>
      </c>
    </row>
    <row r="52" spans="1:4" x14ac:dyDescent="0.3">
      <c r="A52" s="1" t="s">
        <v>70</v>
      </c>
      <c r="B52">
        <v>0</v>
      </c>
      <c r="C52">
        <v>0</v>
      </c>
      <c r="D52">
        <v>0.5</v>
      </c>
    </row>
    <row r="53" spans="1:4" x14ac:dyDescent="0.3">
      <c r="A53" s="1" t="s">
        <v>71</v>
      </c>
      <c r="B53">
        <v>0</v>
      </c>
      <c r="C53">
        <v>0</v>
      </c>
      <c r="D53">
        <v>0.5</v>
      </c>
    </row>
    <row r="54" spans="1:4" x14ac:dyDescent="0.3">
      <c r="A54" s="1" t="s">
        <v>72</v>
      </c>
      <c r="B54">
        <v>2</v>
      </c>
      <c r="C54">
        <v>4.5</v>
      </c>
      <c r="D54">
        <v>7.5</v>
      </c>
    </row>
    <row r="55" spans="1:4" x14ac:dyDescent="0.3">
      <c r="A55" s="1" t="s">
        <v>73</v>
      </c>
      <c r="B55">
        <v>1</v>
      </c>
      <c r="C55">
        <v>0</v>
      </c>
      <c r="D55">
        <v>0</v>
      </c>
    </row>
    <row r="56" spans="1:4" x14ac:dyDescent="0.3">
      <c r="A56" s="1" t="s">
        <v>74</v>
      </c>
      <c r="B56">
        <v>0.5</v>
      </c>
      <c r="C56">
        <v>0</v>
      </c>
      <c r="D56">
        <v>0</v>
      </c>
    </row>
    <row r="57" spans="1:4" x14ac:dyDescent="0.3">
      <c r="A57" s="1" t="s">
        <v>75</v>
      </c>
      <c r="B57">
        <v>0.5</v>
      </c>
      <c r="C57">
        <v>0</v>
      </c>
      <c r="D57">
        <v>0</v>
      </c>
    </row>
    <row r="58" spans="1:4" x14ac:dyDescent="0.3">
      <c r="A58" s="1" t="s">
        <v>76</v>
      </c>
      <c r="B58">
        <v>0.5</v>
      </c>
      <c r="C58">
        <v>0</v>
      </c>
      <c r="D58">
        <v>0</v>
      </c>
    </row>
    <row r="59" spans="1:4" x14ac:dyDescent="0.3">
      <c r="A59" s="1" t="s">
        <v>77</v>
      </c>
      <c r="B59">
        <v>1</v>
      </c>
      <c r="C59">
        <v>1</v>
      </c>
      <c r="D59">
        <v>1</v>
      </c>
    </row>
    <row r="60" spans="1:4" x14ac:dyDescent="0.3">
      <c r="A60" s="1" t="s">
        <v>78</v>
      </c>
      <c r="B60">
        <v>1</v>
      </c>
      <c r="C60">
        <v>0</v>
      </c>
      <c r="D60">
        <v>0</v>
      </c>
    </row>
    <row r="61" spans="1:4" x14ac:dyDescent="0.3">
      <c r="A61" s="1" t="s">
        <v>79</v>
      </c>
      <c r="B61">
        <v>0.5</v>
      </c>
      <c r="C61">
        <v>0</v>
      </c>
      <c r="D61">
        <v>0</v>
      </c>
    </row>
    <row r="62" spans="1:4" x14ac:dyDescent="0.3">
      <c r="A62" s="1" t="s">
        <v>80</v>
      </c>
      <c r="B62">
        <v>0</v>
      </c>
      <c r="C62">
        <v>1</v>
      </c>
      <c r="D62">
        <v>0</v>
      </c>
    </row>
    <row r="63" spans="1:4" x14ac:dyDescent="0.3">
      <c r="A63" s="1" t="s">
        <v>81</v>
      </c>
      <c r="B63">
        <v>0</v>
      </c>
      <c r="C63">
        <v>1</v>
      </c>
      <c r="D63">
        <v>0</v>
      </c>
    </row>
    <row r="64" spans="1:4" x14ac:dyDescent="0.3">
      <c r="A64" s="1" t="s">
        <v>82</v>
      </c>
      <c r="B64">
        <v>20.5</v>
      </c>
      <c r="C64">
        <v>15</v>
      </c>
      <c r="D64">
        <v>23.5</v>
      </c>
    </row>
    <row r="65" spans="1:4" x14ac:dyDescent="0.3">
      <c r="A65" s="1" t="s">
        <v>83</v>
      </c>
      <c r="B65">
        <v>2</v>
      </c>
      <c r="C65">
        <v>1.5</v>
      </c>
      <c r="D65">
        <v>2</v>
      </c>
    </row>
    <row r="66" spans="1:4" x14ac:dyDescent="0.3">
      <c r="A66" s="1" t="s">
        <v>84</v>
      </c>
      <c r="B66">
        <v>0.5</v>
      </c>
      <c r="C66">
        <v>0</v>
      </c>
      <c r="D66">
        <v>0.5</v>
      </c>
    </row>
    <row r="67" spans="1:4" x14ac:dyDescent="0.3">
      <c r="A67" s="1" t="s">
        <v>85</v>
      </c>
      <c r="B67">
        <v>0</v>
      </c>
      <c r="C67">
        <v>2</v>
      </c>
      <c r="D67">
        <v>2</v>
      </c>
    </row>
    <row r="68" spans="1:4" x14ac:dyDescent="0.3">
      <c r="A68" s="1" t="s">
        <v>86</v>
      </c>
      <c r="B68">
        <v>0.5</v>
      </c>
      <c r="C68">
        <v>1.5</v>
      </c>
      <c r="D68">
        <v>0</v>
      </c>
    </row>
    <row r="69" spans="1:4" x14ac:dyDescent="0.3">
      <c r="A69" s="1" t="s">
        <v>87</v>
      </c>
      <c r="B69">
        <v>0.5</v>
      </c>
      <c r="C69">
        <v>0</v>
      </c>
      <c r="D69">
        <v>0</v>
      </c>
    </row>
    <row r="70" spans="1:4" x14ac:dyDescent="0.3">
      <c r="A70" s="1" t="s">
        <v>88</v>
      </c>
      <c r="B70">
        <v>1</v>
      </c>
      <c r="C70">
        <v>0</v>
      </c>
      <c r="D70">
        <v>0</v>
      </c>
    </row>
    <row r="71" spans="1:4" x14ac:dyDescent="0.3">
      <c r="A71" s="1" t="s">
        <v>89</v>
      </c>
      <c r="B71">
        <v>0.5</v>
      </c>
      <c r="C71">
        <v>1</v>
      </c>
      <c r="D71">
        <v>3</v>
      </c>
    </row>
    <row r="72" spans="1:4" x14ac:dyDescent="0.3">
      <c r="A72" s="1" t="s">
        <v>90</v>
      </c>
      <c r="B72">
        <v>1</v>
      </c>
      <c r="C72">
        <v>2</v>
      </c>
      <c r="D72">
        <v>2.5</v>
      </c>
    </row>
    <row r="73" spans="1:4" x14ac:dyDescent="0.3">
      <c r="A73" s="1" t="s">
        <v>91</v>
      </c>
      <c r="B73">
        <v>0</v>
      </c>
      <c r="C73">
        <v>1.5</v>
      </c>
      <c r="D73">
        <v>0</v>
      </c>
    </row>
    <row r="74" spans="1:4" x14ac:dyDescent="0.3">
      <c r="A74" s="1" t="s">
        <v>92</v>
      </c>
      <c r="B74">
        <v>1</v>
      </c>
      <c r="C74">
        <v>0</v>
      </c>
      <c r="D74">
        <v>0</v>
      </c>
    </row>
    <row r="75" spans="1:4" x14ac:dyDescent="0.3">
      <c r="A75" s="1" t="s">
        <v>93</v>
      </c>
      <c r="B75">
        <v>3</v>
      </c>
      <c r="C75">
        <v>2.5</v>
      </c>
      <c r="D75">
        <v>3.5</v>
      </c>
    </row>
    <row r="76" spans="1:4" x14ac:dyDescent="0.3">
      <c r="A76" s="1" t="s">
        <v>94</v>
      </c>
      <c r="B76">
        <v>0.5</v>
      </c>
      <c r="C76">
        <v>0.5</v>
      </c>
      <c r="D76">
        <v>0.5</v>
      </c>
    </row>
    <row r="77" spans="1:4" x14ac:dyDescent="0.3">
      <c r="A77" s="1" t="s">
        <v>95</v>
      </c>
      <c r="B77">
        <v>4.5</v>
      </c>
      <c r="C77">
        <v>6</v>
      </c>
      <c r="D77">
        <v>7.5</v>
      </c>
    </row>
    <row r="78" spans="1:4" x14ac:dyDescent="0.3">
      <c r="A78" s="1" t="s">
        <v>96</v>
      </c>
      <c r="B78">
        <v>0</v>
      </c>
      <c r="C78">
        <v>1</v>
      </c>
      <c r="D78">
        <v>0</v>
      </c>
    </row>
    <row r="79" spans="1:4" x14ac:dyDescent="0.3">
      <c r="A79" s="1" t="s">
        <v>97</v>
      </c>
      <c r="B79">
        <v>0</v>
      </c>
      <c r="C79">
        <v>2</v>
      </c>
      <c r="D79">
        <v>0</v>
      </c>
    </row>
    <row r="80" spans="1:4" x14ac:dyDescent="0.3">
      <c r="A80" s="1" t="s">
        <v>98</v>
      </c>
      <c r="B80">
        <v>1</v>
      </c>
      <c r="C80">
        <v>0</v>
      </c>
      <c r="D80">
        <v>0</v>
      </c>
    </row>
    <row r="81" spans="1:4" x14ac:dyDescent="0.3">
      <c r="A81" s="1" t="s">
        <v>99</v>
      </c>
      <c r="B81">
        <v>1.5</v>
      </c>
      <c r="C81">
        <v>0</v>
      </c>
      <c r="D81">
        <v>0</v>
      </c>
    </row>
    <row r="82" spans="1:4" x14ac:dyDescent="0.3">
      <c r="A82" s="1" t="s">
        <v>100</v>
      </c>
      <c r="B82">
        <v>1</v>
      </c>
      <c r="C82">
        <v>4</v>
      </c>
      <c r="D82">
        <v>0</v>
      </c>
    </row>
    <row r="83" spans="1:4" x14ac:dyDescent="0.3">
      <c r="A83" s="1" t="s">
        <v>101</v>
      </c>
      <c r="B83">
        <v>3</v>
      </c>
      <c r="C83">
        <v>7.5</v>
      </c>
      <c r="D83">
        <v>0</v>
      </c>
    </row>
    <row r="84" spans="1:4" x14ac:dyDescent="0.3">
      <c r="A84" s="1" t="s">
        <v>102</v>
      </c>
      <c r="B84">
        <v>0</v>
      </c>
      <c r="C84">
        <v>1</v>
      </c>
      <c r="D84">
        <v>0</v>
      </c>
    </row>
    <row r="85" spans="1:4" x14ac:dyDescent="0.3">
      <c r="A85" s="1" t="s">
        <v>103</v>
      </c>
      <c r="B85">
        <v>0.5</v>
      </c>
      <c r="C85">
        <v>1</v>
      </c>
      <c r="D85">
        <v>0</v>
      </c>
    </row>
    <row r="86" spans="1:4" x14ac:dyDescent="0.3">
      <c r="A86" s="1" t="s">
        <v>104</v>
      </c>
      <c r="B86">
        <v>2</v>
      </c>
      <c r="C86">
        <v>2.5</v>
      </c>
      <c r="D86">
        <v>0</v>
      </c>
    </row>
    <row r="87" spans="1:4" x14ac:dyDescent="0.3">
      <c r="A87" s="1" t="s">
        <v>105</v>
      </c>
      <c r="B87">
        <v>1.5</v>
      </c>
      <c r="C87">
        <v>1</v>
      </c>
      <c r="D87">
        <v>0</v>
      </c>
    </row>
    <row r="88" spans="1:4" x14ac:dyDescent="0.3">
      <c r="A88" s="1" t="s">
        <v>106</v>
      </c>
      <c r="B88">
        <v>0</v>
      </c>
      <c r="C88">
        <v>0</v>
      </c>
      <c r="D88">
        <v>1</v>
      </c>
    </row>
    <row r="89" spans="1:4" x14ac:dyDescent="0.3">
      <c r="B89" s="3">
        <f t="shared" ref="B89:D89" si="0">SUM(B2:B88)</f>
        <v>94.5</v>
      </c>
      <c r="C89" s="3">
        <f t="shared" si="0"/>
        <v>95</v>
      </c>
      <c r="D89" s="3">
        <f t="shared" si="0"/>
        <v>83.5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B24" sqref="B24"/>
    </sheetView>
  </sheetViews>
  <sheetFormatPr defaultRowHeight="14.4" x14ac:dyDescent="0.3"/>
  <cols>
    <col min="1" max="1" width="118.2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107</v>
      </c>
      <c r="B2">
        <v>1</v>
      </c>
      <c r="C2">
        <v>1</v>
      </c>
      <c r="D2">
        <v>1</v>
      </c>
    </row>
    <row r="3" spans="1:4" x14ac:dyDescent="0.3">
      <c r="A3" s="1" t="s">
        <v>108</v>
      </c>
      <c r="B3">
        <v>0</v>
      </c>
      <c r="C3">
        <v>0.5</v>
      </c>
      <c r="D3">
        <v>0.5</v>
      </c>
    </row>
    <row r="4" spans="1:4" x14ac:dyDescent="0.3">
      <c r="A4" s="1" t="s">
        <v>109</v>
      </c>
      <c r="B4">
        <v>0.5</v>
      </c>
      <c r="C4">
        <v>0</v>
      </c>
      <c r="D4">
        <v>1</v>
      </c>
    </row>
    <row r="5" spans="1:4" x14ac:dyDescent="0.3">
      <c r="A5" s="1" t="s">
        <v>110</v>
      </c>
      <c r="B5">
        <v>0</v>
      </c>
      <c r="C5">
        <v>1</v>
      </c>
      <c r="D5">
        <v>1</v>
      </c>
    </row>
    <row r="6" spans="1:4" x14ac:dyDescent="0.3">
      <c r="A6" s="1" t="s">
        <v>111</v>
      </c>
      <c r="B6">
        <v>0.5</v>
      </c>
      <c r="C6">
        <v>1</v>
      </c>
      <c r="D6">
        <v>0</v>
      </c>
    </row>
    <row r="7" spans="1:4" x14ac:dyDescent="0.3">
      <c r="A7" s="1" t="s">
        <v>112</v>
      </c>
      <c r="B7">
        <v>0.5</v>
      </c>
      <c r="C7">
        <v>0</v>
      </c>
      <c r="D7">
        <v>0</v>
      </c>
    </row>
    <row r="8" spans="1:4" x14ac:dyDescent="0.3">
      <c r="A8" s="1" t="s">
        <v>32</v>
      </c>
      <c r="B8">
        <v>11</v>
      </c>
      <c r="C8">
        <v>10</v>
      </c>
      <c r="D8">
        <v>11</v>
      </c>
    </row>
    <row r="9" spans="1:4" x14ac:dyDescent="0.3">
      <c r="A9" s="1" t="s">
        <v>113</v>
      </c>
      <c r="B9">
        <v>1</v>
      </c>
      <c r="C9">
        <v>0</v>
      </c>
      <c r="D9">
        <v>0</v>
      </c>
    </row>
    <row r="10" spans="1:4" x14ac:dyDescent="0.3">
      <c r="A10" s="1" t="s">
        <v>114</v>
      </c>
      <c r="B10">
        <v>0.5</v>
      </c>
      <c r="C10">
        <v>0</v>
      </c>
      <c r="D10">
        <v>0</v>
      </c>
    </row>
    <row r="11" spans="1:4" x14ac:dyDescent="0.3">
      <c r="A11" s="1" t="s">
        <v>115</v>
      </c>
      <c r="B11">
        <v>4</v>
      </c>
      <c r="C11">
        <v>5</v>
      </c>
      <c r="D11">
        <v>5.5</v>
      </c>
    </row>
    <row r="12" spans="1:4" x14ac:dyDescent="0.3">
      <c r="A12" s="1" t="s">
        <v>90</v>
      </c>
      <c r="B12">
        <v>1.5</v>
      </c>
      <c r="C12">
        <v>1.5</v>
      </c>
      <c r="D12">
        <v>2</v>
      </c>
    </row>
    <row r="13" spans="1:4" x14ac:dyDescent="0.3">
      <c r="A13" s="1" t="s">
        <v>116</v>
      </c>
      <c r="B13">
        <v>0.5</v>
      </c>
      <c r="C13">
        <v>0</v>
      </c>
      <c r="D13">
        <v>0</v>
      </c>
    </row>
    <row r="14" spans="1:4" x14ac:dyDescent="0.3">
      <c r="A14" s="1" t="s">
        <v>117</v>
      </c>
      <c r="B14">
        <v>0.5</v>
      </c>
      <c r="C14">
        <v>0</v>
      </c>
      <c r="D14">
        <v>0</v>
      </c>
    </row>
    <row r="15" spans="1:4" x14ac:dyDescent="0.3">
      <c r="A15" s="1" t="s">
        <v>97</v>
      </c>
      <c r="B15">
        <v>2</v>
      </c>
      <c r="C15">
        <v>4</v>
      </c>
      <c r="D15">
        <v>2</v>
      </c>
    </row>
    <row r="16" spans="1:4" x14ac:dyDescent="0.3">
      <c r="A16" s="1" t="s">
        <v>100</v>
      </c>
      <c r="B16">
        <v>2.5</v>
      </c>
      <c r="C16">
        <v>3</v>
      </c>
      <c r="D16">
        <v>0</v>
      </c>
    </row>
    <row r="17" spans="1:4" x14ac:dyDescent="0.3">
      <c r="A17" s="1" t="s">
        <v>101</v>
      </c>
      <c r="B17">
        <v>5</v>
      </c>
      <c r="C17">
        <v>10</v>
      </c>
      <c r="D17">
        <v>0</v>
      </c>
    </row>
    <row r="18" spans="1:4" x14ac:dyDescent="0.3">
      <c r="A18" s="1" t="s">
        <v>104</v>
      </c>
      <c r="B18">
        <v>4.5</v>
      </c>
      <c r="C18">
        <v>4</v>
      </c>
      <c r="D18">
        <v>0</v>
      </c>
    </row>
    <row r="19" spans="1:4" x14ac:dyDescent="0.3">
      <c r="A19" s="1" t="s">
        <v>105</v>
      </c>
      <c r="B19">
        <v>3</v>
      </c>
      <c r="C19">
        <v>2.5</v>
      </c>
      <c r="D19">
        <v>0</v>
      </c>
    </row>
    <row r="20" spans="1:4" x14ac:dyDescent="0.3">
      <c r="A20" s="1" t="s">
        <v>118</v>
      </c>
      <c r="B20">
        <v>1</v>
      </c>
      <c r="C20">
        <v>0</v>
      </c>
      <c r="D20">
        <v>0</v>
      </c>
    </row>
    <row r="21" spans="1:4" x14ac:dyDescent="0.3">
      <c r="A21" s="1" t="s">
        <v>106</v>
      </c>
      <c r="B21">
        <v>0</v>
      </c>
      <c r="C21">
        <v>0</v>
      </c>
      <c r="D21">
        <v>1</v>
      </c>
    </row>
    <row r="22" spans="1:4" x14ac:dyDescent="0.3">
      <c r="B22" s="3">
        <f t="shared" ref="B22:D22" si="0">SUM(B2:B21)</f>
        <v>39.5</v>
      </c>
      <c r="C22" s="3">
        <f t="shared" si="0"/>
        <v>43.5</v>
      </c>
      <c r="D22" s="3">
        <f t="shared" si="0"/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topLeftCell="A22" workbookViewId="0">
      <selection activeCell="B33" sqref="B33"/>
    </sheetView>
  </sheetViews>
  <sheetFormatPr defaultRowHeight="14.4" x14ac:dyDescent="0.3"/>
  <cols>
    <col min="1" max="1" width="129.8867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119</v>
      </c>
      <c r="B2">
        <v>0.5</v>
      </c>
      <c r="C2">
        <v>0</v>
      </c>
      <c r="D2">
        <v>0</v>
      </c>
    </row>
    <row r="3" spans="1:4" x14ac:dyDescent="0.3">
      <c r="A3" s="1" t="s">
        <v>120</v>
      </c>
      <c r="B3">
        <v>0.5</v>
      </c>
      <c r="C3">
        <v>0</v>
      </c>
      <c r="D3">
        <v>0</v>
      </c>
    </row>
    <row r="4" spans="1:4" x14ac:dyDescent="0.3">
      <c r="A4" s="1" t="s">
        <v>121</v>
      </c>
      <c r="B4">
        <v>0.5</v>
      </c>
      <c r="C4">
        <v>1</v>
      </c>
      <c r="D4">
        <v>1</v>
      </c>
    </row>
    <row r="5" spans="1:4" x14ac:dyDescent="0.3">
      <c r="A5" s="1" t="s">
        <v>122</v>
      </c>
      <c r="B5">
        <v>0.5</v>
      </c>
      <c r="C5">
        <v>0.5</v>
      </c>
      <c r="D5">
        <v>0.5</v>
      </c>
    </row>
    <row r="6" spans="1:4" x14ac:dyDescent="0.3">
      <c r="A6" s="1" t="s">
        <v>29</v>
      </c>
      <c r="B6">
        <v>0.5</v>
      </c>
      <c r="C6">
        <v>0</v>
      </c>
      <c r="D6">
        <v>0</v>
      </c>
    </row>
    <row r="7" spans="1:4" x14ac:dyDescent="0.3">
      <c r="A7" s="1" t="s">
        <v>32</v>
      </c>
      <c r="B7">
        <v>11</v>
      </c>
      <c r="C7">
        <v>10</v>
      </c>
      <c r="D7">
        <v>11</v>
      </c>
    </row>
    <row r="8" spans="1:4" x14ac:dyDescent="0.3">
      <c r="A8" s="1" t="s">
        <v>113</v>
      </c>
      <c r="B8">
        <v>1</v>
      </c>
      <c r="C8">
        <v>0</v>
      </c>
      <c r="D8">
        <v>0</v>
      </c>
    </row>
    <row r="9" spans="1:4" x14ac:dyDescent="0.3">
      <c r="A9" s="1" t="s">
        <v>123</v>
      </c>
      <c r="B9">
        <v>1</v>
      </c>
      <c r="C9">
        <v>1</v>
      </c>
      <c r="D9">
        <v>1</v>
      </c>
    </row>
    <row r="10" spans="1:4" x14ac:dyDescent="0.3">
      <c r="A10" s="1" t="s">
        <v>58</v>
      </c>
      <c r="B10">
        <v>0.5</v>
      </c>
      <c r="C10">
        <v>0.5</v>
      </c>
      <c r="D10">
        <v>0</v>
      </c>
    </row>
    <row r="11" spans="1:4" x14ac:dyDescent="0.3">
      <c r="A11" s="1" t="s">
        <v>124</v>
      </c>
      <c r="B11">
        <v>9</v>
      </c>
      <c r="C11">
        <v>8</v>
      </c>
      <c r="D11">
        <v>11</v>
      </c>
    </row>
    <row r="12" spans="1:4" x14ac:dyDescent="0.3">
      <c r="A12" s="1" t="s">
        <v>125</v>
      </c>
      <c r="B12">
        <v>1.5</v>
      </c>
      <c r="C12">
        <v>2</v>
      </c>
      <c r="D12">
        <v>0</v>
      </c>
    </row>
    <row r="13" spans="1:4" x14ac:dyDescent="0.3">
      <c r="A13" s="1" t="s">
        <v>77</v>
      </c>
      <c r="B13">
        <v>1</v>
      </c>
      <c r="C13">
        <v>1</v>
      </c>
      <c r="D13">
        <v>1</v>
      </c>
    </row>
    <row r="14" spans="1:4" x14ac:dyDescent="0.3">
      <c r="A14" s="1" t="s">
        <v>115</v>
      </c>
      <c r="B14">
        <v>4</v>
      </c>
      <c r="C14">
        <v>6</v>
      </c>
      <c r="D14">
        <v>6.5</v>
      </c>
    </row>
    <row r="15" spans="1:4" x14ac:dyDescent="0.3">
      <c r="A15" s="1" t="s">
        <v>90</v>
      </c>
      <c r="B15">
        <v>1.5</v>
      </c>
      <c r="C15">
        <v>2</v>
      </c>
      <c r="D15">
        <v>2.5</v>
      </c>
    </row>
    <row r="16" spans="1:4" x14ac:dyDescent="0.3">
      <c r="A16" s="1" t="s">
        <v>126</v>
      </c>
      <c r="B16">
        <v>1</v>
      </c>
      <c r="C16">
        <v>0</v>
      </c>
      <c r="D16">
        <v>0</v>
      </c>
    </row>
    <row r="17" spans="1:4" x14ac:dyDescent="0.3">
      <c r="A17" s="1" t="s">
        <v>127</v>
      </c>
      <c r="B17">
        <v>0.5</v>
      </c>
      <c r="C17">
        <v>0</v>
      </c>
      <c r="D17">
        <v>0</v>
      </c>
    </row>
    <row r="18" spans="1:4" x14ac:dyDescent="0.3">
      <c r="A18" s="1" t="s">
        <v>128</v>
      </c>
      <c r="B18">
        <v>0.5</v>
      </c>
      <c r="C18">
        <v>0</v>
      </c>
      <c r="D18">
        <v>0</v>
      </c>
    </row>
    <row r="19" spans="1:4" x14ac:dyDescent="0.3">
      <c r="A19" s="1" t="s">
        <v>97</v>
      </c>
      <c r="B19">
        <v>2</v>
      </c>
      <c r="C19">
        <v>4</v>
      </c>
      <c r="D19">
        <v>2</v>
      </c>
    </row>
    <row r="20" spans="1:4" x14ac:dyDescent="0.3">
      <c r="A20" s="1" t="s">
        <v>98</v>
      </c>
      <c r="B20">
        <v>1</v>
      </c>
      <c r="C20">
        <v>0</v>
      </c>
      <c r="D20">
        <v>0</v>
      </c>
    </row>
    <row r="21" spans="1:4" x14ac:dyDescent="0.3">
      <c r="A21" s="1" t="s">
        <v>99</v>
      </c>
      <c r="B21">
        <v>1</v>
      </c>
      <c r="C21">
        <v>0</v>
      </c>
      <c r="D21">
        <v>0</v>
      </c>
    </row>
    <row r="22" spans="1:4" x14ac:dyDescent="0.3">
      <c r="A22" s="1" t="s">
        <v>129</v>
      </c>
      <c r="B22">
        <v>0.5</v>
      </c>
      <c r="C22">
        <v>0</v>
      </c>
      <c r="D22">
        <v>0</v>
      </c>
    </row>
    <row r="23" spans="1:4" x14ac:dyDescent="0.3">
      <c r="A23" s="1" t="s">
        <v>100</v>
      </c>
      <c r="B23">
        <v>1.5</v>
      </c>
      <c r="C23">
        <v>2</v>
      </c>
      <c r="D23">
        <v>0</v>
      </c>
    </row>
    <row r="24" spans="1:4" x14ac:dyDescent="0.3">
      <c r="A24" s="1" t="s">
        <v>101</v>
      </c>
      <c r="B24">
        <v>5</v>
      </c>
      <c r="C24">
        <v>10</v>
      </c>
      <c r="D24">
        <v>0</v>
      </c>
    </row>
    <row r="25" spans="1:4" x14ac:dyDescent="0.3">
      <c r="A25" s="1" t="s">
        <v>104</v>
      </c>
      <c r="B25">
        <v>4.5</v>
      </c>
      <c r="C25">
        <v>4</v>
      </c>
      <c r="D25">
        <v>0</v>
      </c>
    </row>
    <row r="26" spans="1:4" x14ac:dyDescent="0.3">
      <c r="A26" s="1" t="s">
        <v>105</v>
      </c>
      <c r="B26">
        <v>3</v>
      </c>
      <c r="C26">
        <v>2.5</v>
      </c>
      <c r="D26">
        <v>0</v>
      </c>
    </row>
    <row r="27" spans="1:4" x14ac:dyDescent="0.3">
      <c r="A27" s="1" t="s">
        <v>118</v>
      </c>
      <c r="B27">
        <v>0.5</v>
      </c>
      <c r="C27">
        <v>0</v>
      </c>
      <c r="D27">
        <v>0</v>
      </c>
    </row>
    <row r="28" spans="1:4" x14ac:dyDescent="0.3">
      <c r="A28" s="1" t="s">
        <v>130</v>
      </c>
      <c r="B28">
        <v>0.5</v>
      </c>
      <c r="C28">
        <v>0</v>
      </c>
      <c r="D28">
        <v>0</v>
      </c>
    </row>
    <row r="29" spans="1:4" x14ac:dyDescent="0.3">
      <c r="A29" s="1" t="s">
        <v>131</v>
      </c>
      <c r="B29">
        <v>0.5</v>
      </c>
      <c r="C29">
        <v>0</v>
      </c>
      <c r="D29">
        <v>0</v>
      </c>
    </row>
    <row r="30" spans="1:4" x14ac:dyDescent="0.3">
      <c r="A30" s="1" t="s">
        <v>106</v>
      </c>
      <c r="B30">
        <v>0</v>
      </c>
      <c r="C30">
        <v>0</v>
      </c>
      <c r="D30">
        <v>1</v>
      </c>
    </row>
    <row r="31" spans="1:4" x14ac:dyDescent="0.3">
      <c r="B31" s="3">
        <f t="shared" ref="B31:D31" si="0">SUM(B2:B30)</f>
        <v>55</v>
      </c>
      <c r="C31" s="3">
        <f t="shared" si="0"/>
        <v>54.5</v>
      </c>
      <c r="D31" s="3">
        <f t="shared" si="0"/>
        <v>37.5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2"/>
  <sheetViews>
    <sheetView topLeftCell="A71" workbookViewId="0">
      <selection activeCell="C94" sqref="C94"/>
    </sheetView>
  </sheetViews>
  <sheetFormatPr defaultRowHeight="14.4" x14ac:dyDescent="0.3"/>
  <cols>
    <col min="1" max="1" width="118.2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132</v>
      </c>
      <c r="B2">
        <v>0.5</v>
      </c>
      <c r="C2">
        <v>0</v>
      </c>
      <c r="D2">
        <v>0</v>
      </c>
    </row>
    <row r="3" spans="1:4" x14ac:dyDescent="0.3">
      <c r="A3" s="1" t="s">
        <v>133</v>
      </c>
      <c r="B3">
        <v>0.5</v>
      </c>
      <c r="C3">
        <v>0</v>
      </c>
      <c r="D3">
        <v>0</v>
      </c>
    </row>
    <row r="4" spans="1:4" x14ac:dyDescent="0.3">
      <c r="A4" s="1" t="s">
        <v>134</v>
      </c>
      <c r="B4">
        <v>0.5</v>
      </c>
      <c r="C4">
        <v>0</v>
      </c>
      <c r="D4">
        <v>0</v>
      </c>
    </row>
    <row r="5" spans="1:4" x14ac:dyDescent="0.3">
      <c r="A5" s="1" t="s">
        <v>135</v>
      </c>
      <c r="B5">
        <v>0.5</v>
      </c>
      <c r="C5">
        <v>0</v>
      </c>
      <c r="D5">
        <v>0</v>
      </c>
    </row>
    <row r="6" spans="1:4" x14ac:dyDescent="0.3">
      <c r="A6" s="1" t="s">
        <v>136</v>
      </c>
      <c r="B6">
        <v>0.5</v>
      </c>
      <c r="C6">
        <v>0</v>
      </c>
      <c r="D6">
        <v>0</v>
      </c>
    </row>
    <row r="7" spans="1:4" x14ac:dyDescent="0.3">
      <c r="A7" s="1" t="s">
        <v>137</v>
      </c>
      <c r="B7">
        <v>0.5</v>
      </c>
      <c r="C7">
        <v>0</v>
      </c>
      <c r="D7">
        <v>0</v>
      </c>
    </row>
    <row r="8" spans="1:4" x14ac:dyDescent="0.3">
      <c r="A8" s="1" t="s">
        <v>138</v>
      </c>
      <c r="B8">
        <v>0.5</v>
      </c>
      <c r="C8">
        <v>0</v>
      </c>
      <c r="D8">
        <v>0</v>
      </c>
    </row>
    <row r="9" spans="1:4" x14ac:dyDescent="0.3">
      <c r="A9" s="1" t="s">
        <v>139</v>
      </c>
      <c r="B9">
        <v>1</v>
      </c>
      <c r="C9">
        <v>0</v>
      </c>
      <c r="D9">
        <v>0</v>
      </c>
    </row>
    <row r="10" spans="1:4" x14ac:dyDescent="0.3">
      <c r="A10" s="1" t="s">
        <v>140</v>
      </c>
      <c r="B10">
        <v>0.5</v>
      </c>
      <c r="C10">
        <v>0</v>
      </c>
      <c r="D10">
        <v>0</v>
      </c>
    </row>
    <row r="11" spans="1:4" x14ac:dyDescent="0.3">
      <c r="A11" s="1" t="s">
        <v>141</v>
      </c>
      <c r="B11">
        <v>1.5</v>
      </c>
      <c r="C11">
        <v>2</v>
      </c>
      <c r="D11">
        <v>1</v>
      </c>
    </row>
    <row r="12" spans="1:4" x14ac:dyDescent="0.3">
      <c r="A12" s="1" t="s">
        <v>142</v>
      </c>
      <c r="B12">
        <v>0.5</v>
      </c>
      <c r="C12">
        <v>0</v>
      </c>
      <c r="D12">
        <v>0</v>
      </c>
    </row>
    <row r="13" spans="1:4" x14ac:dyDescent="0.3">
      <c r="A13" s="1" t="s">
        <v>143</v>
      </c>
      <c r="B13">
        <v>1</v>
      </c>
      <c r="C13">
        <v>0</v>
      </c>
      <c r="D13">
        <v>0</v>
      </c>
    </row>
    <row r="14" spans="1:4" x14ac:dyDescent="0.3">
      <c r="A14" s="1" t="s">
        <v>144</v>
      </c>
      <c r="B14">
        <v>1</v>
      </c>
      <c r="C14">
        <v>0</v>
      </c>
      <c r="D14">
        <v>0</v>
      </c>
    </row>
    <row r="15" spans="1:4" x14ac:dyDescent="0.3">
      <c r="A15" s="1" t="s">
        <v>145</v>
      </c>
      <c r="B15">
        <v>0</v>
      </c>
      <c r="C15">
        <v>9</v>
      </c>
      <c r="D15">
        <v>0</v>
      </c>
    </row>
    <row r="16" spans="1:4" x14ac:dyDescent="0.3">
      <c r="A16" s="1" t="s">
        <v>146</v>
      </c>
      <c r="B16">
        <v>0.5</v>
      </c>
      <c r="C16">
        <v>0</v>
      </c>
      <c r="D16">
        <v>0</v>
      </c>
    </row>
    <row r="17" spans="1:4" x14ac:dyDescent="0.3">
      <c r="A17" s="1" t="s">
        <v>147</v>
      </c>
      <c r="B17">
        <v>3</v>
      </c>
      <c r="C17">
        <v>0</v>
      </c>
      <c r="D17">
        <v>0</v>
      </c>
    </row>
    <row r="18" spans="1:4" x14ac:dyDescent="0.3">
      <c r="A18" s="1" t="s">
        <v>148</v>
      </c>
      <c r="B18">
        <v>3</v>
      </c>
      <c r="C18">
        <v>0</v>
      </c>
      <c r="D18">
        <v>0</v>
      </c>
    </row>
    <row r="19" spans="1:4" x14ac:dyDescent="0.3">
      <c r="A19" s="1" t="s">
        <v>149</v>
      </c>
      <c r="B19">
        <v>2</v>
      </c>
      <c r="C19">
        <v>0</v>
      </c>
      <c r="D19">
        <v>0</v>
      </c>
    </row>
    <row r="20" spans="1:4" x14ac:dyDescent="0.3">
      <c r="A20" s="1" t="s">
        <v>150</v>
      </c>
      <c r="B20">
        <v>2.5</v>
      </c>
      <c r="C20">
        <v>0</v>
      </c>
      <c r="D20">
        <v>0</v>
      </c>
    </row>
    <row r="21" spans="1:4" x14ac:dyDescent="0.3">
      <c r="A21" s="1" t="s">
        <v>23</v>
      </c>
      <c r="B21">
        <v>0.5</v>
      </c>
      <c r="C21">
        <v>0</v>
      </c>
      <c r="D21">
        <v>0</v>
      </c>
    </row>
    <row r="22" spans="1:4" x14ac:dyDescent="0.3">
      <c r="A22" s="1" t="s">
        <v>24</v>
      </c>
      <c r="B22">
        <v>1</v>
      </c>
      <c r="C22">
        <v>0</v>
      </c>
      <c r="D22">
        <v>0</v>
      </c>
    </row>
    <row r="23" spans="1:4" x14ac:dyDescent="0.3">
      <c r="A23" s="1" t="s">
        <v>151</v>
      </c>
      <c r="B23">
        <v>1</v>
      </c>
      <c r="C23">
        <v>0</v>
      </c>
      <c r="D23">
        <v>0</v>
      </c>
    </row>
    <row r="24" spans="1:4" x14ac:dyDescent="0.3">
      <c r="A24" s="1" t="s">
        <v>152</v>
      </c>
      <c r="B24">
        <v>1</v>
      </c>
      <c r="C24">
        <v>0</v>
      </c>
      <c r="D24">
        <v>0</v>
      </c>
    </row>
    <row r="25" spans="1:4" x14ac:dyDescent="0.3">
      <c r="A25" s="1" t="s">
        <v>153</v>
      </c>
      <c r="B25">
        <v>0.5</v>
      </c>
      <c r="C25">
        <v>0</v>
      </c>
      <c r="D25">
        <v>0</v>
      </c>
    </row>
    <row r="26" spans="1:4" x14ac:dyDescent="0.3">
      <c r="A26" s="1" t="s">
        <v>154</v>
      </c>
      <c r="B26">
        <v>0.5</v>
      </c>
      <c r="C26">
        <v>0</v>
      </c>
      <c r="D26">
        <v>0</v>
      </c>
    </row>
    <row r="27" spans="1:4" x14ac:dyDescent="0.3">
      <c r="A27" s="1" t="s">
        <v>155</v>
      </c>
      <c r="B27">
        <v>1</v>
      </c>
      <c r="C27">
        <v>0</v>
      </c>
      <c r="D27">
        <v>0</v>
      </c>
    </row>
    <row r="28" spans="1:4" x14ac:dyDescent="0.3">
      <c r="A28" s="1" t="s">
        <v>156</v>
      </c>
      <c r="B28">
        <v>0.5</v>
      </c>
      <c r="C28">
        <v>0</v>
      </c>
      <c r="D28">
        <v>0</v>
      </c>
    </row>
    <row r="29" spans="1:4" x14ac:dyDescent="0.3">
      <c r="A29" s="1" t="s">
        <v>157</v>
      </c>
      <c r="B29">
        <v>1.5</v>
      </c>
      <c r="C29">
        <v>0</v>
      </c>
      <c r="D29">
        <v>0</v>
      </c>
    </row>
    <row r="30" spans="1:4" x14ac:dyDescent="0.3">
      <c r="A30" s="1" t="s">
        <v>32</v>
      </c>
      <c r="B30">
        <v>7.5</v>
      </c>
      <c r="C30">
        <v>10</v>
      </c>
      <c r="D30">
        <v>11</v>
      </c>
    </row>
    <row r="31" spans="1:4" x14ac:dyDescent="0.3">
      <c r="A31" s="1" t="s">
        <v>158</v>
      </c>
      <c r="B31">
        <v>0.5</v>
      </c>
      <c r="C31">
        <v>0</v>
      </c>
      <c r="D31">
        <v>0</v>
      </c>
    </row>
    <row r="32" spans="1:4" x14ac:dyDescent="0.3">
      <c r="A32" s="1" t="s">
        <v>159</v>
      </c>
      <c r="B32">
        <v>0.5</v>
      </c>
      <c r="C32">
        <v>0</v>
      </c>
      <c r="D32">
        <v>0</v>
      </c>
    </row>
    <row r="33" spans="1:4" x14ac:dyDescent="0.3">
      <c r="A33" s="1" t="s">
        <v>160</v>
      </c>
      <c r="B33">
        <v>0.5</v>
      </c>
      <c r="C33">
        <v>0</v>
      </c>
      <c r="D33">
        <v>0</v>
      </c>
    </row>
    <row r="34" spans="1:4" x14ac:dyDescent="0.3">
      <c r="A34" s="1" t="s">
        <v>161</v>
      </c>
      <c r="B34">
        <v>0.5</v>
      </c>
      <c r="C34">
        <v>0</v>
      </c>
      <c r="D34">
        <v>0</v>
      </c>
    </row>
    <row r="35" spans="1:4" x14ac:dyDescent="0.3">
      <c r="A35" s="1" t="s">
        <v>162</v>
      </c>
      <c r="B35">
        <v>0.5</v>
      </c>
      <c r="C35">
        <v>0</v>
      </c>
      <c r="D35">
        <v>0</v>
      </c>
    </row>
    <row r="36" spans="1:4" x14ac:dyDescent="0.3">
      <c r="A36" s="1" t="s">
        <v>163</v>
      </c>
      <c r="B36">
        <v>1</v>
      </c>
      <c r="C36">
        <v>0</v>
      </c>
      <c r="D36">
        <v>0</v>
      </c>
    </row>
    <row r="37" spans="1:4" x14ac:dyDescent="0.3">
      <c r="A37" s="1" t="s">
        <v>164</v>
      </c>
      <c r="B37">
        <v>0.5</v>
      </c>
      <c r="C37">
        <v>0</v>
      </c>
      <c r="D37">
        <v>0</v>
      </c>
    </row>
    <row r="38" spans="1:4" x14ac:dyDescent="0.3">
      <c r="A38" s="1" t="s">
        <v>165</v>
      </c>
      <c r="B38">
        <v>0.5</v>
      </c>
      <c r="C38">
        <v>0</v>
      </c>
      <c r="D38">
        <v>0</v>
      </c>
    </row>
    <row r="39" spans="1:4" x14ac:dyDescent="0.3">
      <c r="A39" s="1" t="s">
        <v>166</v>
      </c>
      <c r="B39">
        <v>0.5</v>
      </c>
      <c r="C39">
        <v>0</v>
      </c>
      <c r="D39">
        <v>0</v>
      </c>
    </row>
    <row r="40" spans="1:4" x14ac:dyDescent="0.3">
      <c r="A40" s="1" t="s">
        <v>167</v>
      </c>
      <c r="B40">
        <v>1</v>
      </c>
      <c r="C40">
        <v>1</v>
      </c>
      <c r="D40">
        <v>1</v>
      </c>
    </row>
    <row r="41" spans="1:4" x14ac:dyDescent="0.3">
      <c r="A41" s="1" t="s">
        <v>168</v>
      </c>
      <c r="B41">
        <v>5</v>
      </c>
      <c r="C41">
        <v>3</v>
      </c>
      <c r="D41">
        <v>0</v>
      </c>
    </row>
    <row r="42" spans="1:4" x14ac:dyDescent="0.3">
      <c r="A42" s="1" t="s">
        <v>40</v>
      </c>
      <c r="B42">
        <v>0</v>
      </c>
      <c r="C42">
        <v>1</v>
      </c>
      <c r="D42">
        <v>0</v>
      </c>
    </row>
    <row r="43" spans="1:4" x14ac:dyDescent="0.3">
      <c r="A43" s="1" t="s">
        <v>169</v>
      </c>
      <c r="B43">
        <v>0</v>
      </c>
      <c r="C43">
        <v>1</v>
      </c>
      <c r="D43">
        <v>0</v>
      </c>
    </row>
    <row r="44" spans="1:4" x14ac:dyDescent="0.3">
      <c r="A44" s="1" t="s">
        <v>170</v>
      </c>
      <c r="B44">
        <v>1</v>
      </c>
      <c r="C44">
        <v>0</v>
      </c>
      <c r="D44">
        <v>0</v>
      </c>
    </row>
    <row r="45" spans="1:4" x14ac:dyDescent="0.3">
      <c r="A45" s="1" t="s">
        <v>171</v>
      </c>
      <c r="B45">
        <v>0</v>
      </c>
      <c r="C45">
        <v>1</v>
      </c>
      <c r="D45">
        <v>1</v>
      </c>
    </row>
    <row r="46" spans="1:4" x14ac:dyDescent="0.3">
      <c r="A46" s="1" t="s">
        <v>172</v>
      </c>
      <c r="B46">
        <v>34</v>
      </c>
      <c r="C46">
        <v>72.5</v>
      </c>
      <c r="D46">
        <v>96</v>
      </c>
    </row>
    <row r="47" spans="1:4" x14ac:dyDescent="0.3">
      <c r="A47" s="1" t="s">
        <v>173</v>
      </c>
      <c r="B47">
        <v>1.5</v>
      </c>
      <c r="C47">
        <v>0</v>
      </c>
      <c r="D47">
        <v>0</v>
      </c>
    </row>
    <row r="48" spans="1:4" x14ac:dyDescent="0.3">
      <c r="A48" s="1" t="s">
        <v>174</v>
      </c>
      <c r="B48">
        <v>0</v>
      </c>
      <c r="C48">
        <v>10.5</v>
      </c>
      <c r="D48">
        <v>0</v>
      </c>
    </row>
    <row r="49" spans="1:4" x14ac:dyDescent="0.3">
      <c r="A49" s="1" t="s">
        <v>175</v>
      </c>
      <c r="B49">
        <v>0.5</v>
      </c>
      <c r="C49">
        <v>0</v>
      </c>
      <c r="D49">
        <v>0</v>
      </c>
    </row>
    <row r="50" spans="1:4" x14ac:dyDescent="0.3">
      <c r="A50" s="1" t="s">
        <v>176</v>
      </c>
      <c r="B50">
        <v>0.5</v>
      </c>
      <c r="C50">
        <v>0</v>
      </c>
      <c r="D50">
        <v>0</v>
      </c>
    </row>
    <row r="51" spans="1:4" x14ac:dyDescent="0.3">
      <c r="A51" s="1" t="s">
        <v>177</v>
      </c>
      <c r="B51">
        <v>0</v>
      </c>
      <c r="C51">
        <v>0</v>
      </c>
      <c r="D51">
        <v>4.5</v>
      </c>
    </row>
    <row r="52" spans="1:4" x14ac:dyDescent="0.3">
      <c r="A52" s="1" t="s">
        <v>178</v>
      </c>
      <c r="B52">
        <v>0</v>
      </c>
      <c r="C52">
        <v>0.5</v>
      </c>
      <c r="D52">
        <v>1</v>
      </c>
    </row>
    <row r="53" spans="1:4" x14ac:dyDescent="0.3">
      <c r="A53" s="1" t="s">
        <v>179</v>
      </c>
      <c r="B53">
        <v>0</v>
      </c>
      <c r="C53">
        <v>0.5</v>
      </c>
      <c r="D53">
        <v>0</v>
      </c>
    </row>
    <row r="54" spans="1:4" x14ac:dyDescent="0.3">
      <c r="A54" s="1" t="s">
        <v>180</v>
      </c>
      <c r="B54">
        <v>2</v>
      </c>
      <c r="C54">
        <v>4</v>
      </c>
      <c r="D54">
        <v>0</v>
      </c>
    </row>
    <row r="55" spans="1:4" x14ac:dyDescent="0.3">
      <c r="A55" s="1" t="s">
        <v>181</v>
      </c>
      <c r="B55">
        <v>1</v>
      </c>
      <c r="C55">
        <v>0</v>
      </c>
      <c r="D55">
        <v>0</v>
      </c>
    </row>
    <row r="56" spans="1:4" x14ac:dyDescent="0.3">
      <c r="A56" s="1" t="s">
        <v>182</v>
      </c>
      <c r="B56">
        <v>1</v>
      </c>
      <c r="C56">
        <v>0</v>
      </c>
      <c r="D56">
        <v>0</v>
      </c>
    </row>
    <row r="57" spans="1:4" x14ac:dyDescent="0.3">
      <c r="A57" s="1" t="s">
        <v>183</v>
      </c>
      <c r="B57">
        <v>0.5</v>
      </c>
      <c r="C57">
        <v>0</v>
      </c>
      <c r="D57">
        <v>0</v>
      </c>
    </row>
    <row r="58" spans="1:4" x14ac:dyDescent="0.3">
      <c r="A58" s="1" t="s">
        <v>184</v>
      </c>
      <c r="B58">
        <v>1</v>
      </c>
      <c r="C58">
        <v>0</v>
      </c>
      <c r="D58">
        <v>0</v>
      </c>
    </row>
    <row r="59" spans="1:4" x14ac:dyDescent="0.3">
      <c r="A59" s="1" t="s">
        <v>185</v>
      </c>
      <c r="B59">
        <v>0.5</v>
      </c>
      <c r="C59">
        <v>0</v>
      </c>
      <c r="D59">
        <v>0</v>
      </c>
    </row>
    <row r="60" spans="1:4" x14ac:dyDescent="0.3">
      <c r="A60" s="1" t="s">
        <v>123</v>
      </c>
      <c r="B60">
        <v>0</v>
      </c>
      <c r="C60">
        <v>0.5</v>
      </c>
      <c r="D60">
        <v>0.5</v>
      </c>
    </row>
    <row r="61" spans="1:4" x14ac:dyDescent="0.3">
      <c r="A61" s="1" t="s">
        <v>186</v>
      </c>
      <c r="B61">
        <v>0</v>
      </c>
      <c r="C61">
        <v>0.5</v>
      </c>
      <c r="D61">
        <v>0.5</v>
      </c>
    </row>
    <row r="62" spans="1:4" x14ac:dyDescent="0.3">
      <c r="A62" s="1" t="s">
        <v>187</v>
      </c>
      <c r="B62">
        <v>1</v>
      </c>
      <c r="C62">
        <v>0</v>
      </c>
      <c r="D62">
        <v>0</v>
      </c>
    </row>
    <row r="63" spans="1:4" x14ac:dyDescent="0.3">
      <c r="A63" s="1" t="s">
        <v>188</v>
      </c>
      <c r="B63">
        <v>0</v>
      </c>
      <c r="C63">
        <v>2.5</v>
      </c>
      <c r="D63">
        <v>11</v>
      </c>
    </row>
    <row r="64" spans="1:4" x14ac:dyDescent="0.3">
      <c r="A64" s="1" t="s">
        <v>189</v>
      </c>
      <c r="B64">
        <v>0</v>
      </c>
      <c r="C64">
        <v>0.5</v>
      </c>
      <c r="D64">
        <v>0</v>
      </c>
    </row>
    <row r="65" spans="1:4" x14ac:dyDescent="0.3">
      <c r="A65" s="1" t="s">
        <v>190</v>
      </c>
      <c r="B65">
        <v>0</v>
      </c>
      <c r="C65">
        <v>8.5</v>
      </c>
      <c r="D65">
        <v>0</v>
      </c>
    </row>
    <row r="66" spans="1:4" x14ac:dyDescent="0.3">
      <c r="A66" s="1" t="s">
        <v>191</v>
      </c>
      <c r="B66">
        <v>1</v>
      </c>
      <c r="C66">
        <v>0</v>
      </c>
      <c r="D66">
        <v>0</v>
      </c>
    </row>
    <row r="67" spans="1:4" x14ac:dyDescent="0.3">
      <c r="A67" s="1" t="s">
        <v>192</v>
      </c>
      <c r="B67">
        <v>2.5</v>
      </c>
      <c r="C67">
        <v>0</v>
      </c>
      <c r="D67">
        <v>0</v>
      </c>
    </row>
    <row r="68" spans="1:4" x14ac:dyDescent="0.3">
      <c r="A68" s="1" t="s">
        <v>193</v>
      </c>
      <c r="B68">
        <v>0.5</v>
      </c>
      <c r="C68">
        <v>0</v>
      </c>
      <c r="D68">
        <v>0</v>
      </c>
    </row>
    <row r="69" spans="1:4" x14ac:dyDescent="0.3">
      <c r="A69" s="1" t="s">
        <v>194</v>
      </c>
      <c r="B69">
        <v>0</v>
      </c>
      <c r="C69">
        <v>0.5</v>
      </c>
      <c r="D69">
        <v>1</v>
      </c>
    </row>
    <row r="70" spans="1:4" x14ac:dyDescent="0.3">
      <c r="A70" s="1" t="s">
        <v>195</v>
      </c>
      <c r="B70">
        <v>0</v>
      </c>
      <c r="C70">
        <v>0.5</v>
      </c>
      <c r="D70">
        <v>0</v>
      </c>
    </row>
    <row r="71" spans="1:4" x14ac:dyDescent="0.3">
      <c r="A71" s="1" t="s">
        <v>196</v>
      </c>
      <c r="B71">
        <v>1</v>
      </c>
      <c r="C71">
        <v>0</v>
      </c>
      <c r="D71">
        <v>0</v>
      </c>
    </row>
    <row r="72" spans="1:4" x14ac:dyDescent="0.3">
      <c r="A72" s="1" t="s">
        <v>197</v>
      </c>
      <c r="B72">
        <v>0.5</v>
      </c>
      <c r="C72">
        <v>0</v>
      </c>
      <c r="D72">
        <v>0</v>
      </c>
    </row>
    <row r="73" spans="1:4" x14ac:dyDescent="0.3">
      <c r="A73" s="1" t="s">
        <v>198</v>
      </c>
      <c r="B73">
        <v>0.5</v>
      </c>
      <c r="C73">
        <v>0</v>
      </c>
      <c r="D73">
        <v>0</v>
      </c>
    </row>
    <row r="74" spans="1:4" x14ac:dyDescent="0.3">
      <c r="A74" s="1" t="s">
        <v>199</v>
      </c>
      <c r="B74">
        <v>1</v>
      </c>
      <c r="C74">
        <v>1</v>
      </c>
      <c r="D74">
        <v>1</v>
      </c>
    </row>
    <row r="75" spans="1:4" x14ac:dyDescent="0.3">
      <c r="A75" s="1" t="s">
        <v>200</v>
      </c>
      <c r="B75">
        <v>1.5</v>
      </c>
      <c r="C75">
        <v>0</v>
      </c>
      <c r="D75">
        <v>0</v>
      </c>
    </row>
    <row r="76" spans="1:4" x14ac:dyDescent="0.3">
      <c r="A76" s="1" t="s">
        <v>201</v>
      </c>
      <c r="B76">
        <v>1.5</v>
      </c>
      <c r="C76">
        <v>0</v>
      </c>
      <c r="D76">
        <v>0</v>
      </c>
    </row>
    <row r="77" spans="1:4" x14ac:dyDescent="0.3">
      <c r="A77" s="1" t="s">
        <v>202</v>
      </c>
      <c r="B77">
        <v>0.5</v>
      </c>
      <c r="C77">
        <v>0</v>
      </c>
      <c r="D77">
        <v>0</v>
      </c>
    </row>
    <row r="78" spans="1:4" x14ac:dyDescent="0.3">
      <c r="A78" s="1" t="s">
        <v>203</v>
      </c>
      <c r="B78">
        <v>1</v>
      </c>
      <c r="C78">
        <v>0</v>
      </c>
      <c r="D78">
        <v>0</v>
      </c>
    </row>
    <row r="79" spans="1:4" x14ac:dyDescent="0.3">
      <c r="A79" s="1" t="s">
        <v>204</v>
      </c>
      <c r="B79">
        <v>0.5</v>
      </c>
      <c r="C79">
        <v>0</v>
      </c>
      <c r="D79">
        <v>0</v>
      </c>
    </row>
    <row r="80" spans="1:4" x14ac:dyDescent="0.3">
      <c r="A80" s="1" t="s">
        <v>205</v>
      </c>
      <c r="B80">
        <v>0.5</v>
      </c>
      <c r="C80">
        <v>0</v>
      </c>
      <c r="D80">
        <v>0</v>
      </c>
    </row>
    <row r="81" spans="1:4" x14ac:dyDescent="0.3">
      <c r="A81" s="1" t="s">
        <v>206</v>
      </c>
      <c r="B81">
        <v>0</v>
      </c>
      <c r="C81">
        <v>0</v>
      </c>
      <c r="D81">
        <v>3</v>
      </c>
    </row>
    <row r="82" spans="1:4" x14ac:dyDescent="0.3">
      <c r="A82" s="1" t="s">
        <v>207</v>
      </c>
      <c r="B82">
        <v>0</v>
      </c>
      <c r="C82">
        <v>1</v>
      </c>
      <c r="D82">
        <v>0</v>
      </c>
    </row>
    <row r="83" spans="1:4" x14ac:dyDescent="0.3">
      <c r="A83" s="1" t="s">
        <v>208</v>
      </c>
      <c r="B83">
        <v>1</v>
      </c>
      <c r="C83">
        <v>0</v>
      </c>
      <c r="D83">
        <v>0</v>
      </c>
    </row>
    <row r="84" spans="1:4" x14ac:dyDescent="0.3">
      <c r="A84" s="1" t="s">
        <v>126</v>
      </c>
      <c r="B84">
        <v>0.5</v>
      </c>
      <c r="C84">
        <v>0</v>
      </c>
      <c r="D84">
        <v>0</v>
      </c>
    </row>
    <row r="85" spans="1:4" x14ac:dyDescent="0.3">
      <c r="A85" s="1" t="s">
        <v>209</v>
      </c>
      <c r="B85">
        <v>0.5</v>
      </c>
      <c r="C85">
        <v>0</v>
      </c>
      <c r="D85">
        <v>0</v>
      </c>
    </row>
    <row r="86" spans="1:4" x14ac:dyDescent="0.3">
      <c r="A86" s="1" t="s">
        <v>210</v>
      </c>
      <c r="B86">
        <v>2</v>
      </c>
      <c r="C86">
        <v>0</v>
      </c>
      <c r="D86">
        <v>0</v>
      </c>
    </row>
    <row r="87" spans="1:4" x14ac:dyDescent="0.3">
      <c r="A87" s="1" t="s">
        <v>211</v>
      </c>
      <c r="B87">
        <v>0.5</v>
      </c>
      <c r="C87">
        <v>0</v>
      </c>
      <c r="D87">
        <v>0</v>
      </c>
    </row>
    <row r="88" spans="1:4" x14ac:dyDescent="0.3">
      <c r="A88" s="1" t="s">
        <v>97</v>
      </c>
      <c r="B88">
        <v>2</v>
      </c>
      <c r="C88">
        <v>2</v>
      </c>
      <c r="D88">
        <v>2</v>
      </c>
    </row>
    <row r="89" spans="1:4" x14ac:dyDescent="0.3">
      <c r="A89" s="1" t="s">
        <v>104</v>
      </c>
      <c r="B89">
        <v>1.5</v>
      </c>
      <c r="C89">
        <v>0</v>
      </c>
      <c r="D89">
        <v>0</v>
      </c>
    </row>
    <row r="90" spans="1:4" x14ac:dyDescent="0.3">
      <c r="A90" s="1" t="s">
        <v>212</v>
      </c>
      <c r="B90">
        <v>1</v>
      </c>
      <c r="C90">
        <v>0</v>
      </c>
      <c r="D90">
        <v>0</v>
      </c>
    </row>
    <row r="91" spans="1:4" x14ac:dyDescent="0.3">
      <c r="A91" s="1" t="s">
        <v>105</v>
      </c>
      <c r="B91">
        <v>1.5</v>
      </c>
      <c r="C91">
        <v>2.5</v>
      </c>
      <c r="D91">
        <v>0</v>
      </c>
    </row>
    <row r="92" spans="1:4" x14ac:dyDescent="0.3">
      <c r="B92" s="3">
        <f t="shared" ref="B92:D92" si="0">SUM(B2:B91)</f>
        <v>113.5</v>
      </c>
      <c r="C92" s="3">
        <f t="shared" si="0"/>
        <v>136</v>
      </c>
      <c r="D92" s="3">
        <f t="shared" si="0"/>
        <v>134.5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"/>
  <sheetViews>
    <sheetView topLeftCell="A40" workbookViewId="0">
      <selection activeCell="A57" sqref="A57"/>
    </sheetView>
  </sheetViews>
  <sheetFormatPr defaultRowHeight="14.4" x14ac:dyDescent="0.3"/>
  <cols>
    <col min="1" max="1" width="130.777343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213</v>
      </c>
      <c r="B2">
        <v>0</v>
      </c>
      <c r="C2">
        <v>1</v>
      </c>
      <c r="D2">
        <v>0</v>
      </c>
    </row>
    <row r="3" spans="1:4" x14ac:dyDescent="0.3">
      <c r="A3" s="1" t="s">
        <v>214</v>
      </c>
      <c r="B3">
        <v>0</v>
      </c>
      <c r="C3">
        <v>0.5</v>
      </c>
      <c r="D3">
        <v>0</v>
      </c>
    </row>
    <row r="4" spans="1:4" x14ac:dyDescent="0.3">
      <c r="A4" s="1" t="s">
        <v>215</v>
      </c>
      <c r="B4">
        <v>0</v>
      </c>
      <c r="C4">
        <v>0.5</v>
      </c>
      <c r="D4">
        <v>0</v>
      </c>
    </row>
    <row r="5" spans="1:4" x14ac:dyDescent="0.3">
      <c r="A5" s="1" t="s">
        <v>216</v>
      </c>
      <c r="B5">
        <v>0</v>
      </c>
      <c r="C5">
        <v>0.5</v>
      </c>
      <c r="D5">
        <v>0</v>
      </c>
    </row>
    <row r="6" spans="1:4" x14ac:dyDescent="0.3">
      <c r="A6" s="1" t="s">
        <v>217</v>
      </c>
      <c r="B6">
        <v>0</v>
      </c>
      <c r="C6">
        <v>3</v>
      </c>
      <c r="D6">
        <v>0</v>
      </c>
    </row>
    <row r="7" spans="1:4" x14ac:dyDescent="0.3">
      <c r="A7" s="1" t="s">
        <v>218</v>
      </c>
      <c r="B7">
        <v>0</v>
      </c>
      <c r="C7">
        <v>0.5</v>
      </c>
      <c r="D7">
        <v>0</v>
      </c>
    </row>
    <row r="8" spans="1:4" x14ac:dyDescent="0.3">
      <c r="A8" s="1" t="s">
        <v>219</v>
      </c>
      <c r="B8">
        <v>0</v>
      </c>
      <c r="C8">
        <v>1</v>
      </c>
      <c r="D8">
        <v>0</v>
      </c>
    </row>
    <row r="9" spans="1:4" x14ac:dyDescent="0.3">
      <c r="A9" s="1" t="s">
        <v>32</v>
      </c>
      <c r="B9">
        <v>10.5</v>
      </c>
      <c r="C9">
        <v>9.5</v>
      </c>
      <c r="D9">
        <v>10.5</v>
      </c>
    </row>
    <row r="10" spans="1:4" x14ac:dyDescent="0.3">
      <c r="A10" s="1" t="s">
        <v>220</v>
      </c>
      <c r="B10">
        <v>1</v>
      </c>
      <c r="C10">
        <v>0</v>
      </c>
      <c r="D10">
        <v>0</v>
      </c>
    </row>
    <row r="11" spans="1:4" x14ac:dyDescent="0.3">
      <c r="A11" s="1" t="s">
        <v>221</v>
      </c>
      <c r="B11">
        <v>0</v>
      </c>
      <c r="C11">
        <v>0.5</v>
      </c>
      <c r="D11">
        <v>0</v>
      </c>
    </row>
    <row r="12" spans="1:4" x14ac:dyDescent="0.3">
      <c r="A12" s="1" t="s">
        <v>222</v>
      </c>
      <c r="B12">
        <v>0</v>
      </c>
      <c r="C12">
        <v>0.5</v>
      </c>
      <c r="D12">
        <v>0</v>
      </c>
    </row>
    <row r="13" spans="1:4" x14ac:dyDescent="0.3">
      <c r="A13" s="1" t="s">
        <v>37</v>
      </c>
      <c r="B13">
        <v>2.5</v>
      </c>
      <c r="C13">
        <v>1.5</v>
      </c>
      <c r="D13">
        <v>2</v>
      </c>
    </row>
    <row r="14" spans="1:4" x14ac:dyDescent="0.3">
      <c r="A14" s="1" t="s">
        <v>40</v>
      </c>
      <c r="B14">
        <v>0</v>
      </c>
      <c r="C14">
        <v>1</v>
      </c>
      <c r="D14">
        <v>0</v>
      </c>
    </row>
    <row r="15" spans="1:4" x14ac:dyDescent="0.3">
      <c r="A15" s="1" t="s">
        <v>223</v>
      </c>
      <c r="B15">
        <v>0.5</v>
      </c>
      <c r="C15">
        <v>0</v>
      </c>
      <c r="D15">
        <v>0</v>
      </c>
    </row>
    <row r="16" spans="1:4" x14ac:dyDescent="0.3">
      <c r="A16" s="1" t="s">
        <v>224</v>
      </c>
      <c r="B16">
        <v>0.5</v>
      </c>
      <c r="C16">
        <v>1</v>
      </c>
      <c r="D16">
        <v>1</v>
      </c>
    </row>
    <row r="17" spans="1:4" x14ac:dyDescent="0.3">
      <c r="A17" s="1" t="s">
        <v>225</v>
      </c>
      <c r="B17">
        <v>0</v>
      </c>
      <c r="C17">
        <v>1</v>
      </c>
      <c r="D17">
        <v>0</v>
      </c>
    </row>
    <row r="18" spans="1:4" x14ac:dyDescent="0.3">
      <c r="A18" s="1" t="s">
        <v>123</v>
      </c>
      <c r="B18">
        <v>1</v>
      </c>
      <c r="C18">
        <v>0.5</v>
      </c>
      <c r="D18">
        <v>0.5</v>
      </c>
    </row>
    <row r="19" spans="1:4" x14ac:dyDescent="0.3">
      <c r="A19" s="1" t="s">
        <v>226</v>
      </c>
      <c r="B19">
        <v>0</v>
      </c>
      <c r="C19">
        <v>0.5</v>
      </c>
      <c r="D19">
        <v>0.5</v>
      </c>
    </row>
    <row r="20" spans="1:4" x14ac:dyDescent="0.3">
      <c r="A20" s="1" t="s">
        <v>56</v>
      </c>
      <c r="B20">
        <v>0.5</v>
      </c>
      <c r="C20">
        <v>1</v>
      </c>
      <c r="D20">
        <v>2</v>
      </c>
    </row>
    <row r="21" spans="1:4" x14ac:dyDescent="0.3">
      <c r="A21" s="1" t="s">
        <v>58</v>
      </c>
      <c r="B21">
        <v>0</v>
      </c>
      <c r="C21">
        <v>0.5</v>
      </c>
      <c r="D21">
        <v>0</v>
      </c>
    </row>
    <row r="22" spans="1:4" x14ac:dyDescent="0.3">
      <c r="A22" s="1" t="s">
        <v>227</v>
      </c>
      <c r="B22">
        <v>0</v>
      </c>
      <c r="C22">
        <v>0</v>
      </c>
      <c r="D22">
        <v>0.5</v>
      </c>
    </row>
    <row r="23" spans="1:4" x14ac:dyDescent="0.3">
      <c r="A23" s="1" t="s">
        <v>61</v>
      </c>
      <c r="B23">
        <v>5.5</v>
      </c>
      <c r="C23">
        <v>0</v>
      </c>
      <c r="D23">
        <v>0</v>
      </c>
    </row>
    <row r="24" spans="1:4" x14ac:dyDescent="0.3">
      <c r="A24" s="1" t="s">
        <v>62</v>
      </c>
      <c r="B24">
        <v>0.5</v>
      </c>
      <c r="C24">
        <v>0</v>
      </c>
      <c r="D24">
        <v>0</v>
      </c>
    </row>
    <row r="25" spans="1:4" x14ac:dyDescent="0.3">
      <c r="A25" s="1" t="s">
        <v>228</v>
      </c>
      <c r="B25">
        <v>0.5</v>
      </c>
      <c r="C25">
        <v>0</v>
      </c>
      <c r="D25">
        <v>0</v>
      </c>
    </row>
    <row r="26" spans="1:4" x14ac:dyDescent="0.3">
      <c r="A26" s="1" t="s">
        <v>63</v>
      </c>
      <c r="B26">
        <v>1.5</v>
      </c>
      <c r="C26">
        <v>0</v>
      </c>
      <c r="D26">
        <v>0</v>
      </c>
    </row>
    <row r="27" spans="1:4" x14ac:dyDescent="0.3">
      <c r="A27" s="1" t="s">
        <v>64</v>
      </c>
      <c r="B27">
        <v>0</v>
      </c>
      <c r="C27">
        <v>3.5</v>
      </c>
      <c r="D27">
        <v>0</v>
      </c>
    </row>
    <row r="28" spans="1:4" x14ac:dyDescent="0.3">
      <c r="A28" s="1" t="s">
        <v>67</v>
      </c>
      <c r="B28">
        <v>0</v>
      </c>
      <c r="C28">
        <v>0.5</v>
      </c>
      <c r="D28">
        <v>0</v>
      </c>
    </row>
    <row r="29" spans="1:4" x14ac:dyDescent="0.3">
      <c r="A29" s="1" t="s">
        <v>68</v>
      </c>
      <c r="B29">
        <v>0</v>
      </c>
      <c r="C29">
        <v>0</v>
      </c>
      <c r="D29">
        <v>7.5</v>
      </c>
    </row>
    <row r="30" spans="1:4" x14ac:dyDescent="0.3">
      <c r="A30" s="1" t="s">
        <v>70</v>
      </c>
      <c r="B30">
        <v>0</v>
      </c>
      <c r="C30">
        <v>0</v>
      </c>
      <c r="D30">
        <v>0.5</v>
      </c>
    </row>
    <row r="31" spans="1:4" x14ac:dyDescent="0.3">
      <c r="A31" s="1" t="s">
        <v>72</v>
      </c>
      <c r="B31">
        <v>1.5</v>
      </c>
      <c r="C31">
        <v>3</v>
      </c>
      <c r="D31">
        <v>6</v>
      </c>
    </row>
    <row r="32" spans="1:4" x14ac:dyDescent="0.3">
      <c r="A32" s="1" t="s">
        <v>229</v>
      </c>
      <c r="B32">
        <v>0.5</v>
      </c>
      <c r="C32">
        <v>0</v>
      </c>
      <c r="D32">
        <v>0</v>
      </c>
    </row>
    <row r="33" spans="1:4" x14ac:dyDescent="0.3">
      <c r="A33" s="1" t="s">
        <v>230</v>
      </c>
      <c r="B33">
        <v>0.5</v>
      </c>
      <c r="C33">
        <v>0</v>
      </c>
      <c r="D33">
        <v>0</v>
      </c>
    </row>
    <row r="34" spans="1:4" x14ac:dyDescent="0.3">
      <c r="A34" s="1" t="s">
        <v>77</v>
      </c>
      <c r="B34">
        <v>1</v>
      </c>
      <c r="C34">
        <v>1</v>
      </c>
      <c r="D34">
        <v>1</v>
      </c>
    </row>
    <row r="35" spans="1:4" x14ac:dyDescent="0.3">
      <c r="A35" s="1" t="s">
        <v>89</v>
      </c>
      <c r="B35">
        <v>1</v>
      </c>
      <c r="C35">
        <v>1</v>
      </c>
      <c r="D35">
        <v>3</v>
      </c>
    </row>
    <row r="36" spans="1:4" x14ac:dyDescent="0.3">
      <c r="A36" s="1" t="s">
        <v>90</v>
      </c>
      <c r="B36">
        <v>1</v>
      </c>
      <c r="C36">
        <v>2</v>
      </c>
      <c r="D36">
        <v>2.5</v>
      </c>
    </row>
    <row r="37" spans="1:4" x14ac:dyDescent="0.3">
      <c r="A37" s="1" t="s">
        <v>126</v>
      </c>
      <c r="B37">
        <v>1</v>
      </c>
      <c r="C37">
        <v>0</v>
      </c>
      <c r="D37">
        <v>0</v>
      </c>
    </row>
    <row r="38" spans="1:4" x14ac:dyDescent="0.3">
      <c r="A38" s="1" t="s">
        <v>231</v>
      </c>
      <c r="B38">
        <v>1</v>
      </c>
      <c r="C38">
        <v>0</v>
      </c>
      <c r="D38">
        <v>0</v>
      </c>
    </row>
    <row r="39" spans="1:4" x14ac:dyDescent="0.3">
      <c r="A39" s="1" t="s">
        <v>232</v>
      </c>
      <c r="B39">
        <v>1</v>
      </c>
      <c r="C39">
        <v>0</v>
      </c>
      <c r="D39">
        <v>0</v>
      </c>
    </row>
    <row r="40" spans="1:4" x14ac:dyDescent="0.3">
      <c r="A40" s="1" t="s">
        <v>95</v>
      </c>
      <c r="B40">
        <v>4.5</v>
      </c>
      <c r="C40">
        <v>5.5</v>
      </c>
      <c r="D40">
        <v>7.5</v>
      </c>
    </row>
    <row r="41" spans="1:4" x14ac:dyDescent="0.3">
      <c r="A41" s="1" t="s">
        <v>233</v>
      </c>
      <c r="B41">
        <v>0.5</v>
      </c>
      <c r="C41">
        <v>0</v>
      </c>
      <c r="D41">
        <v>0</v>
      </c>
    </row>
    <row r="42" spans="1:4" x14ac:dyDescent="0.3">
      <c r="A42" s="1" t="s">
        <v>97</v>
      </c>
      <c r="B42">
        <v>2</v>
      </c>
      <c r="C42">
        <v>4</v>
      </c>
      <c r="D42">
        <v>2</v>
      </c>
    </row>
    <row r="43" spans="1:4" x14ac:dyDescent="0.3">
      <c r="A43" s="1" t="s">
        <v>100</v>
      </c>
      <c r="B43">
        <v>3</v>
      </c>
      <c r="C43">
        <v>3</v>
      </c>
      <c r="D43">
        <v>0</v>
      </c>
    </row>
    <row r="44" spans="1:4" x14ac:dyDescent="0.3">
      <c r="A44" s="1" t="s">
        <v>101</v>
      </c>
      <c r="B44">
        <v>4.5</v>
      </c>
      <c r="C44">
        <v>9</v>
      </c>
      <c r="D44">
        <v>0</v>
      </c>
    </row>
    <row r="45" spans="1:4" x14ac:dyDescent="0.3">
      <c r="A45" s="1" t="s">
        <v>234</v>
      </c>
      <c r="B45">
        <v>0.5</v>
      </c>
      <c r="C45">
        <v>1</v>
      </c>
      <c r="D45">
        <v>0</v>
      </c>
    </row>
    <row r="46" spans="1:4" x14ac:dyDescent="0.3">
      <c r="A46" s="1" t="s">
        <v>104</v>
      </c>
      <c r="B46">
        <v>4</v>
      </c>
      <c r="C46">
        <v>3</v>
      </c>
      <c r="D46">
        <v>0</v>
      </c>
    </row>
    <row r="47" spans="1:4" x14ac:dyDescent="0.3">
      <c r="A47" s="1" t="s">
        <v>105</v>
      </c>
      <c r="B47">
        <v>1.5</v>
      </c>
      <c r="C47">
        <v>2</v>
      </c>
      <c r="D47">
        <v>0</v>
      </c>
    </row>
    <row r="48" spans="1:4" x14ac:dyDescent="0.3">
      <c r="A48" s="1" t="s">
        <v>235</v>
      </c>
      <c r="B48">
        <v>1</v>
      </c>
      <c r="C48">
        <v>0</v>
      </c>
      <c r="D48">
        <v>0</v>
      </c>
    </row>
    <row r="49" spans="1:4" x14ac:dyDescent="0.3">
      <c r="A49" s="1" t="s">
        <v>106</v>
      </c>
      <c r="B49">
        <v>0</v>
      </c>
      <c r="C49">
        <v>0</v>
      </c>
      <c r="D49">
        <v>1</v>
      </c>
    </row>
    <row r="50" spans="1:4" x14ac:dyDescent="0.3">
      <c r="B50" s="3">
        <f t="shared" ref="B50:D50" si="0">SUM(B2:B49)</f>
        <v>54.5</v>
      </c>
      <c r="C50" s="3">
        <f t="shared" si="0"/>
        <v>63</v>
      </c>
      <c r="D50" s="3">
        <f t="shared" si="0"/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4"/>
  <sheetViews>
    <sheetView topLeftCell="A2" workbookViewId="0">
      <selection activeCell="C26" sqref="C26"/>
    </sheetView>
  </sheetViews>
  <sheetFormatPr defaultRowHeight="14.4" x14ac:dyDescent="0.3"/>
  <cols>
    <col min="1" max="1" width="92.5546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109</v>
      </c>
      <c r="B2">
        <v>0.5</v>
      </c>
      <c r="C2">
        <v>1</v>
      </c>
      <c r="D2">
        <v>1</v>
      </c>
    </row>
    <row r="3" spans="1:4" x14ac:dyDescent="0.3">
      <c r="A3" s="1" t="s">
        <v>236</v>
      </c>
      <c r="B3">
        <v>1</v>
      </c>
      <c r="C3">
        <v>1</v>
      </c>
      <c r="D3">
        <v>1</v>
      </c>
    </row>
    <row r="4" spans="1:4" x14ac:dyDescent="0.3">
      <c r="A4" s="1" t="s">
        <v>237</v>
      </c>
      <c r="B4">
        <v>0.5</v>
      </c>
      <c r="C4">
        <v>0</v>
      </c>
      <c r="D4">
        <v>0</v>
      </c>
    </row>
    <row r="5" spans="1:4" x14ac:dyDescent="0.3">
      <c r="A5" s="1" t="s">
        <v>29</v>
      </c>
      <c r="B5">
        <v>17.5</v>
      </c>
      <c r="C5">
        <v>16</v>
      </c>
      <c r="D5">
        <v>17</v>
      </c>
    </row>
    <row r="6" spans="1:4" x14ac:dyDescent="0.3">
      <c r="A6" s="1" t="s">
        <v>238</v>
      </c>
      <c r="B6">
        <v>0.5</v>
      </c>
      <c r="C6">
        <v>0</v>
      </c>
      <c r="D6">
        <v>0</v>
      </c>
    </row>
    <row r="7" spans="1:4" x14ac:dyDescent="0.3">
      <c r="A7" s="1" t="s">
        <v>239</v>
      </c>
      <c r="B7">
        <v>0.5</v>
      </c>
      <c r="C7">
        <v>0</v>
      </c>
      <c r="D7">
        <v>0</v>
      </c>
    </row>
    <row r="8" spans="1:4" x14ac:dyDescent="0.3">
      <c r="A8" s="1" t="s">
        <v>240</v>
      </c>
      <c r="B8">
        <v>0.5</v>
      </c>
      <c r="C8">
        <v>0</v>
      </c>
      <c r="D8">
        <v>0</v>
      </c>
    </row>
    <row r="9" spans="1:4" x14ac:dyDescent="0.3">
      <c r="A9" s="1" t="s">
        <v>241</v>
      </c>
      <c r="B9">
        <v>0.5</v>
      </c>
      <c r="C9">
        <v>0</v>
      </c>
      <c r="D9">
        <v>0</v>
      </c>
    </row>
    <row r="10" spans="1:4" x14ac:dyDescent="0.3">
      <c r="A10" s="1" t="s">
        <v>242</v>
      </c>
      <c r="B10">
        <v>4</v>
      </c>
      <c r="C10">
        <v>4</v>
      </c>
      <c r="D10">
        <v>5</v>
      </c>
    </row>
    <row r="11" spans="1:4" x14ac:dyDescent="0.3">
      <c r="A11" s="1" t="s">
        <v>32</v>
      </c>
      <c r="B11">
        <v>9</v>
      </c>
      <c r="C11">
        <v>8</v>
      </c>
      <c r="D11">
        <v>8.5</v>
      </c>
    </row>
    <row r="12" spans="1:4" x14ac:dyDescent="0.3">
      <c r="A12" s="1" t="s">
        <v>35</v>
      </c>
      <c r="B12">
        <v>0.5</v>
      </c>
      <c r="C12">
        <v>0</v>
      </c>
      <c r="D12">
        <v>0</v>
      </c>
    </row>
    <row r="13" spans="1:4" x14ac:dyDescent="0.3">
      <c r="A13" s="1" t="s">
        <v>243</v>
      </c>
      <c r="B13">
        <v>25.5</v>
      </c>
      <c r="C13">
        <v>24</v>
      </c>
      <c r="D13">
        <v>26</v>
      </c>
    </row>
    <row r="14" spans="1:4" x14ac:dyDescent="0.3">
      <c r="A14" s="1" t="s">
        <v>244</v>
      </c>
      <c r="B14">
        <v>6</v>
      </c>
      <c r="C14">
        <v>6</v>
      </c>
      <c r="D14">
        <v>7.5</v>
      </c>
    </row>
    <row r="15" spans="1:4" x14ac:dyDescent="0.3">
      <c r="A15" s="1" t="s">
        <v>245</v>
      </c>
      <c r="B15">
        <v>2</v>
      </c>
      <c r="C15">
        <v>2</v>
      </c>
      <c r="D15">
        <v>2.5</v>
      </c>
    </row>
    <row r="16" spans="1:4" x14ac:dyDescent="0.3">
      <c r="A16" s="1" t="s">
        <v>246</v>
      </c>
      <c r="B16">
        <v>1</v>
      </c>
      <c r="C16">
        <v>1</v>
      </c>
      <c r="D16">
        <v>1</v>
      </c>
    </row>
    <row r="17" spans="1:4" x14ac:dyDescent="0.3">
      <c r="A17" s="1" t="s">
        <v>247</v>
      </c>
      <c r="B17">
        <v>17.5</v>
      </c>
      <c r="C17">
        <v>19</v>
      </c>
      <c r="D17">
        <v>21</v>
      </c>
    </row>
    <row r="18" spans="1:4" x14ac:dyDescent="0.3">
      <c r="A18" s="1" t="s">
        <v>248</v>
      </c>
      <c r="B18">
        <v>5.5</v>
      </c>
      <c r="C18">
        <v>0</v>
      </c>
      <c r="D18">
        <v>0</v>
      </c>
    </row>
    <row r="19" spans="1:4" x14ac:dyDescent="0.3">
      <c r="A19" s="1" t="s">
        <v>59</v>
      </c>
      <c r="B19">
        <v>2</v>
      </c>
      <c r="C19">
        <v>2</v>
      </c>
      <c r="D19">
        <v>2.5</v>
      </c>
    </row>
    <row r="20" spans="1:4" x14ac:dyDescent="0.3">
      <c r="A20" s="1" t="s">
        <v>126</v>
      </c>
      <c r="B20">
        <v>1</v>
      </c>
      <c r="C20">
        <v>0</v>
      </c>
      <c r="D20">
        <v>0</v>
      </c>
    </row>
    <row r="21" spans="1:4" x14ac:dyDescent="0.3">
      <c r="A21" s="1" t="s">
        <v>249</v>
      </c>
      <c r="B21">
        <v>0.5</v>
      </c>
      <c r="C21">
        <v>0</v>
      </c>
      <c r="D21">
        <v>0</v>
      </c>
    </row>
    <row r="22" spans="1:4" x14ac:dyDescent="0.3">
      <c r="A22" s="1" t="s">
        <v>250</v>
      </c>
      <c r="B22">
        <v>2</v>
      </c>
      <c r="C22">
        <v>2</v>
      </c>
      <c r="D22">
        <v>2</v>
      </c>
    </row>
    <row r="23" spans="1:4" x14ac:dyDescent="0.3">
      <c r="A23" s="1" t="s">
        <v>96</v>
      </c>
      <c r="B23">
        <v>0</v>
      </c>
      <c r="C23">
        <v>1</v>
      </c>
      <c r="D23">
        <v>0</v>
      </c>
    </row>
    <row r="24" spans="1:4" x14ac:dyDescent="0.3">
      <c r="B24" s="3">
        <f t="shared" ref="B24:D24" si="0">SUM(B2:B23)</f>
        <v>98</v>
      </c>
      <c r="C24" s="3">
        <f t="shared" si="0"/>
        <v>87</v>
      </c>
      <c r="D24" s="3">
        <f t="shared" si="0"/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8"/>
  <sheetViews>
    <sheetView topLeftCell="A15" workbookViewId="0">
      <selection activeCell="C34" sqref="C34"/>
    </sheetView>
  </sheetViews>
  <sheetFormatPr defaultRowHeight="14.4" x14ac:dyDescent="0.3"/>
  <cols>
    <col min="1" max="1" width="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122</v>
      </c>
      <c r="B2">
        <v>0.5</v>
      </c>
      <c r="C2">
        <v>0.5</v>
      </c>
      <c r="D2">
        <v>0.5</v>
      </c>
    </row>
    <row r="3" spans="1:4" x14ac:dyDescent="0.3">
      <c r="A3" s="1" t="s">
        <v>109</v>
      </c>
      <c r="B3">
        <v>2</v>
      </c>
      <c r="C3">
        <v>1</v>
      </c>
      <c r="D3">
        <v>1</v>
      </c>
    </row>
    <row r="4" spans="1:4" x14ac:dyDescent="0.3">
      <c r="A4" s="1" t="s">
        <v>110</v>
      </c>
      <c r="B4">
        <v>0</v>
      </c>
      <c r="C4">
        <v>1</v>
      </c>
      <c r="D4">
        <v>1</v>
      </c>
    </row>
    <row r="5" spans="1:4" x14ac:dyDescent="0.3">
      <c r="A5" s="1" t="s">
        <v>251</v>
      </c>
      <c r="B5">
        <v>1</v>
      </c>
      <c r="C5">
        <v>1</v>
      </c>
      <c r="D5">
        <v>1.5</v>
      </c>
    </row>
    <row r="6" spans="1:4" x14ac:dyDescent="0.3">
      <c r="A6" s="1" t="s">
        <v>252</v>
      </c>
      <c r="B6">
        <v>2</v>
      </c>
      <c r="C6">
        <v>2</v>
      </c>
      <c r="D6">
        <v>3</v>
      </c>
    </row>
    <row r="7" spans="1:4" x14ac:dyDescent="0.3">
      <c r="A7" s="1" t="s">
        <v>253</v>
      </c>
      <c r="B7">
        <v>1.5</v>
      </c>
      <c r="C7">
        <v>1.5</v>
      </c>
      <c r="D7">
        <v>1.5</v>
      </c>
    </row>
    <row r="8" spans="1:4" x14ac:dyDescent="0.3">
      <c r="A8" s="1" t="s">
        <v>254</v>
      </c>
      <c r="B8">
        <v>0.5</v>
      </c>
      <c r="C8">
        <v>0.5</v>
      </c>
      <c r="D8">
        <v>0.5</v>
      </c>
    </row>
    <row r="9" spans="1:4" x14ac:dyDescent="0.3">
      <c r="A9" s="1" t="s">
        <v>32</v>
      </c>
      <c r="B9">
        <v>2.5</v>
      </c>
      <c r="C9">
        <v>2</v>
      </c>
      <c r="D9">
        <v>2</v>
      </c>
    </row>
    <row r="10" spans="1:4" x14ac:dyDescent="0.3">
      <c r="A10" s="1" t="s">
        <v>35</v>
      </c>
      <c r="B10">
        <v>0.5</v>
      </c>
      <c r="C10">
        <v>0</v>
      </c>
      <c r="D10">
        <v>0</v>
      </c>
    </row>
    <row r="11" spans="1:4" x14ac:dyDescent="0.3">
      <c r="A11" s="1" t="s">
        <v>255</v>
      </c>
      <c r="B11">
        <v>0.5</v>
      </c>
      <c r="C11">
        <v>0</v>
      </c>
      <c r="D11">
        <v>0</v>
      </c>
    </row>
    <row r="12" spans="1:4" x14ac:dyDescent="0.3">
      <c r="A12" s="1" t="s">
        <v>256</v>
      </c>
      <c r="B12">
        <v>0.5</v>
      </c>
      <c r="C12">
        <v>0</v>
      </c>
      <c r="D12">
        <v>0</v>
      </c>
    </row>
    <row r="13" spans="1:4" x14ac:dyDescent="0.3">
      <c r="A13" s="1" t="s">
        <v>257</v>
      </c>
      <c r="B13">
        <v>1</v>
      </c>
      <c r="C13">
        <v>1</v>
      </c>
      <c r="D13">
        <v>1</v>
      </c>
    </row>
    <row r="14" spans="1:4" x14ac:dyDescent="0.3">
      <c r="A14" s="1" t="s">
        <v>258</v>
      </c>
      <c r="B14">
        <v>0.5</v>
      </c>
      <c r="C14">
        <v>0</v>
      </c>
      <c r="D14">
        <v>0</v>
      </c>
    </row>
    <row r="15" spans="1:4" x14ac:dyDescent="0.3">
      <c r="A15" s="1" t="s">
        <v>259</v>
      </c>
      <c r="B15">
        <v>1</v>
      </c>
      <c r="C15">
        <v>1</v>
      </c>
      <c r="D15">
        <v>1</v>
      </c>
    </row>
    <row r="16" spans="1:4" x14ac:dyDescent="0.3">
      <c r="A16" s="1" t="s">
        <v>260</v>
      </c>
      <c r="B16">
        <v>0.5</v>
      </c>
      <c r="C16">
        <v>0.5</v>
      </c>
      <c r="D16">
        <v>0.5</v>
      </c>
    </row>
    <row r="17" spans="1:4" x14ac:dyDescent="0.3">
      <c r="A17" s="1" t="s">
        <v>261</v>
      </c>
      <c r="B17">
        <v>0.5</v>
      </c>
      <c r="C17">
        <v>0.5</v>
      </c>
      <c r="D17">
        <v>0.5</v>
      </c>
    </row>
    <row r="18" spans="1:4" x14ac:dyDescent="0.3">
      <c r="A18" s="1" t="s">
        <v>123</v>
      </c>
      <c r="B18">
        <v>1</v>
      </c>
      <c r="C18">
        <v>1</v>
      </c>
      <c r="D18">
        <v>1</v>
      </c>
    </row>
    <row r="19" spans="1:4" x14ac:dyDescent="0.3">
      <c r="A19" s="1" t="s">
        <v>58</v>
      </c>
      <c r="B19">
        <v>0.5</v>
      </c>
      <c r="C19">
        <v>0.5</v>
      </c>
      <c r="D19">
        <v>0</v>
      </c>
    </row>
    <row r="20" spans="1:4" x14ac:dyDescent="0.3">
      <c r="A20" s="1" t="s">
        <v>59</v>
      </c>
      <c r="B20">
        <v>2</v>
      </c>
      <c r="C20">
        <v>2</v>
      </c>
      <c r="D20">
        <v>2.5</v>
      </c>
    </row>
    <row r="21" spans="1:4" x14ac:dyDescent="0.3">
      <c r="A21" s="1" t="s">
        <v>262</v>
      </c>
      <c r="B21">
        <v>6.5</v>
      </c>
      <c r="C21">
        <v>6</v>
      </c>
      <c r="D21">
        <v>6.5</v>
      </c>
    </row>
    <row r="22" spans="1:4" x14ac:dyDescent="0.3">
      <c r="A22" s="1" t="s">
        <v>115</v>
      </c>
      <c r="B22">
        <v>4</v>
      </c>
      <c r="C22">
        <v>5</v>
      </c>
      <c r="D22">
        <v>5.5</v>
      </c>
    </row>
    <row r="23" spans="1:4" x14ac:dyDescent="0.3">
      <c r="A23" s="1" t="s">
        <v>90</v>
      </c>
      <c r="B23">
        <v>1</v>
      </c>
      <c r="C23">
        <v>1.5</v>
      </c>
      <c r="D23">
        <v>2</v>
      </c>
    </row>
    <row r="24" spans="1:4" x14ac:dyDescent="0.3">
      <c r="A24" s="1" t="s">
        <v>126</v>
      </c>
      <c r="B24">
        <v>1</v>
      </c>
      <c r="C24">
        <v>0</v>
      </c>
      <c r="D24">
        <v>0</v>
      </c>
    </row>
    <row r="25" spans="1:4" x14ac:dyDescent="0.3">
      <c r="A25" s="1" t="s">
        <v>263</v>
      </c>
      <c r="B25">
        <v>1</v>
      </c>
      <c r="C25">
        <v>1</v>
      </c>
      <c r="D25">
        <v>1</v>
      </c>
    </row>
    <row r="26" spans="1:4" x14ac:dyDescent="0.3">
      <c r="A26" s="1" t="s">
        <v>96</v>
      </c>
      <c r="B26">
        <v>0</v>
      </c>
      <c r="C26">
        <v>1</v>
      </c>
      <c r="D26">
        <v>0</v>
      </c>
    </row>
    <row r="27" spans="1:4" x14ac:dyDescent="0.3">
      <c r="A27" s="1" t="s">
        <v>264</v>
      </c>
      <c r="B27">
        <v>1</v>
      </c>
      <c r="C27">
        <v>1</v>
      </c>
      <c r="D27">
        <v>1</v>
      </c>
    </row>
    <row r="28" spans="1:4" x14ac:dyDescent="0.3">
      <c r="B28" s="3">
        <f t="shared" ref="B28:D28" si="0">SUM(B2:B27)</f>
        <v>33</v>
      </c>
      <c r="C28" s="3">
        <f t="shared" si="0"/>
        <v>31.5</v>
      </c>
      <c r="D28" s="3">
        <f t="shared" si="0"/>
        <v>33.5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6"/>
  <sheetViews>
    <sheetView topLeftCell="A21" workbookViewId="0">
      <selection activeCell="A39" sqref="A39"/>
    </sheetView>
  </sheetViews>
  <sheetFormatPr defaultRowHeight="14.4" x14ac:dyDescent="0.3"/>
  <cols>
    <col min="1" max="1" width="129.8867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265</v>
      </c>
      <c r="B2">
        <v>0.5</v>
      </c>
      <c r="C2">
        <v>0</v>
      </c>
      <c r="D2">
        <v>0</v>
      </c>
    </row>
    <row r="3" spans="1:4" x14ac:dyDescent="0.3">
      <c r="A3" s="1" t="s">
        <v>266</v>
      </c>
      <c r="B3">
        <v>1</v>
      </c>
      <c r="C3">
        <v>0</v>
      </c>
      <c r="D3">
        <v>0</v>
      </c>
    </row>
    <row r="4" spans="1:4" x14ac:dyDescent="0.3">
      <c r="A4" s="1" t="s">
        <v>267</v>
      </c>
      <c r="B4">
        <v>1</v>
      </c>
      <c r="C4">
        <v>0</v>
      </c>
      <c r="D4">
        <v>0</v>
      </c>
    </row>
    <row r="5" spans="1:4" x14ac:dyDescent="0.3">
      <c r="A5" s="1" t="s">
        <v>268</v>
      </c>
      <c r="B5">
        <v>0.5</v>
      </c>
      <c r="C5">
        <v>0.5</v>
      </c>
      <c r="D5">
        <v>0</v>
      </c>
    </row>
    <row r="6" spans="1:4" x14ac:dyDescent="0.3">
      <c r="A6" s="1" t="s">
        <v>122</v>
      </c>
      <c r="B6">
        <v>0.5</v>
      </c>
      <c r="C6">
        <v>0.5</v>
      </c>
      <c r="D6">
        <v>0.5</v>
      </c>
    </row>
    <row r="7" spans="1:4" x14ac:dyDescent="0.3">
      <c r="A7" s="1" t="s">
        <v>32</v>
      </c>
      <c r="B7">
        <v>11</v>
      </c>
      <c r="C7">
        <v>10</v>
      </c>
      <c r="D7">
        <v>11</v>
      </c>
    </row>
    <row r="8" spans="1:4" x14ac:dyDescent="0.3">
      <c r="A8" s="1" t="s">
        <v>269</v>
      </c>
      <c r="B8">
        <v>1</v>
      </c>
      <c r="C8">
        <v>0</v>
      </c>
      <c r="D8">
        <v>0</v>
      </c>
    </row>
    <row r="9" spans="1:4" x14ac:dyDescent="0.3">
      <c r="A9" s="1" t="s">
        <v>270</v>
      </c>
      <c r="B9">
        <v>0.5</v>
      </c>
      <c r="C9">
        <v>0</v>
      </c>
      <c r="D9">
        <v>0</v>
      </c>
    </row>
    <row r="10" spans="1:4" x14ac:dyDescent="0.3">
      <c r="A10" s="1" t="s">
        <v>271</v>
      </c>
      <c r="B10">
        <v>0.5</v>
      </c>
      <c r="C10">
        <v>0</v>
      </c>
      <c r="D10">
        <v>0</v>
      </c>
    </row>
    <row r="11" spans="1:4" x14ac:dyDescent="0.3">
      <c r="A11" s="1" t="s">
        <v>272</v>
      </c>
      <c r="B11">
        <v>0.5</v>
      </c>
      <c r="C11">
        <v>0</v>
      </c>
      <c r="D11">
        <v>0</v>
      </c>
    </row>
    <row r="12" spans="1:4" x14ac:dyDescent="0.3">
      <c r="A12" s="1" t="s">
        <v>123</v>
      </c>
      <c r="B12">
        <v>1</v>
      </c>
      <c r="C12">
        <v>1</v>
      </c>
      <c r="D12">
        <v>1</v>
      </c>
    </row>
    <row r="13" spans="1:4" x14ac:dyDescent="0.3">
      <c r="A13" s="1" t="s">
        <v>273</v>
      </c>
      <c r="B13">
        <v>0.5</v>
      </c>
      <c r="C13">
        <v>1</v>
      </c>
      <c r="D13">
        <v>1</v>
      </c>
    </row>
    <row r="14" spans="1:4" x14ac:dyDescent="0.3">
      <c r="A14" s="1" t="s">
        <v>274</v>
      </c>
      <c r="B14">
        <v>0.5</v>
      </c>
      <c r="C14">
        <v>0</v>
      </c>
      <c r="D14">
        <v>0</v>
      </c>
    </row>
    <row r="15" spans="1:4" x14ac:dyDescent="0.3">
      <c r="A15" s="1" t="s">
        <v>58</v>
      </c>
      <c r="B15">
        <v>0.5</v>
      </c>
      <c r="C15">
        <v>0.5</v>
      </c>
      <c r="D15">
        <v>0</v>
      </c>
    </row>
    <row r="16" spans="1:4" x14ac:dyDescent="0.3">
      <c r="A16" s="1" t="s">
        <v>229</v>
      </c>
      <c r="B16">
        <v>0.5</v>
      </c>
      <c r="C16">
        <v>0</v>
      </c>
      <c r="D16">
        <v>0</v>
      </c>
    </row>
    <row r="17" spans="1:4" x14ac:dyDescent="0.3">
      <c r="A17" s="1" t="s">
        <v>230</v>
      </c>
      <c r="B17">
        <v>0.5</v>
      </c>
      <c r="C17">
        <v>0</v>
      </c>
      <c r="D17">
        <v>0</v>
      </c>
    </row>
    <row r="18" spans="1:4" x14ac:dyDescent="0.3">
      <c r="A18" s="1" t="s">
        <v>124</v>
      </c>
      <c r="B18">
        <v>9</v>
      </c>
      <c r="C18">
        <v>7.5</v>
      </c>
      <c r="D18">
        <v>11</v>
      </c>
    </row>
    <row r="19" spans="1:4" x14ac:dyDescent="0.3">
      <c r="A19" s="1" t="s">
        <v>275</v>
      </c>
      <c r="B19">
        <v>0.5</v>
      </c>
      <c r="C19">
        <v>0.5</v>
      </c>
      <c r="D19">
        <v>0</v>
      </c>
    </row>
    <row r="20" spans="1:4" x14ac:dyDescent="0.3">
      <c r="A20" s="1" t="s">
        <v>125</v>
      </c>
      <c r="B20">
        <v>1.5</v>
      </c>
      <c r="C20">
        <v>2</v>
      </c>
      <c r="D20">
        <v>0</v>
      </c>
    </row>
    <row r="21" spans="1:4" x14ac:dyDescent="0.3">
      <c r="A21" s="1" t="s">
        <v>76</v>
      </c>
      <c r="B21">
        <v>0.5</v>
      </c>
      <c r="C21">
        <v>0</v>
      </c>
      <c r="D21">
        <v>0</v>
      </c>
    </row>
    <row r="22" spans="1:4" x14ac:dyDescent="0.3">
      <c r="A22" s="1" t="s">
        <v>276</v>
      </c>
      <c r="B22">
        <v>1</v>
      </c>
      <c r="C22">
        <v>0</v>
      </c>
      <c r="D22">
        <v>0</v>
      </c>
    </row>
    <row r="23" spans="1:4" x14ac:dyDescent="0.3">
      <c r="A23" s="1" t="s">
        <v>277</v>
      </c>
      <c r="B23">
        <v>0.5</v>
      </c>
      <c r="C23">
        <v>0</v>
      </c>
      <c r="D23">
        <v>0</v>
      </c>
    </row>
    <row r="24" spans="1:4" x14ac:dyDescent="0.3">
      <c r="A24" s="1" t="s">
        <v>278</v>
      </c>
      <c r="B24">
        <v>1</v>
      </c>
      <c r="C24">
        <v>0</v>
      </c>
      <c r="D24">
        <v>0</v>
      </c>
    </row>
    <row r="25" spans="1:4" x14ac:dyDescent="0.3">
      <c r="A25" s="1" t="s">
        <v>126</v>
      </c>
      <c r="B25">
        <v>1</v>
      </c>
      <c r="C25">
        <v>0</v>
      </c>
      <c r="D25">
        <v>0</v>
      </c>
    </row>
    <row r="26" spans="1:4" x14ac:dyDescent="0.3">
      <c r="A26" s="1" t="s">
        <v>279</v>
      </c>
      <c r="B26">
        <v>0</v>
      </c>
      <c r="C26">
        <v>1.5</v>
      </c>
      <c r="D26">
        <v>0</v>
      </c>
    </row>
    <row r="27" spans="1:4" x14ac:dyDescent="0.3">
      <c r="A27" s="1" t="s">
        <v>280</v>
      </c>
      <c r="B27">
        <v>0.5</v>
      </c>
      <c r="C27">
        <v>0</v>
      </c>
      <c r="D27">
        <v>0</v>
      </c>
    </row>
    <row r="28" spans="1:4" x14ac:dyDescent="0.3">
      <c r="A28" s="1" t="s">
        <v>281</v>
      </c>
      <c r="B28">
        <v>1</v>
      </c>
      <c r="C28">
        <v>0</v>
      </c>
      <c r="D28">
        <v>0</v>
      </c>
    </row>
    <row r="29" spans="1:4" x14ac:dyDescent="0.3">
      <c r="A29" s="1" t="s">
        <v>282</v>
      </c>
      <c r="B29">
        <v>0.5</v>
      </c>
      <c r="C29">
        <v>0</v>
      </c>
      <c r="D29">
        <v>0</v>
      </c>
    </row>
    <row r="30" spans="1:4" x14ac:dyDescent="0.3">
      <c r="A30" s="1" t="s">
        <v>97</v>
      </c>
      <c r="B30">
        <v>2</v>
      </c>
      <c r="C30">
        <v>2</v>
      </c>
      <c r="D30">
        <v>0</v>
      </c>
    </row>
    <row r="31" spans="1:4" x14ac:dyDescent="0.3">
      <c r="A31" s="1" t="s">
        <v>100</v>
      </c>
      <c r="B31">
        <v>1.5</v>
      </c>
      <c r="C31">
        <v>2</v>
      </c>
      <c r="D31">
        <v>0</v>
      </c>
    </row>
    <row r="32" spans="1:4" x14ac:dyDescent="0.3">
      <c r="A32" s="1" t="s">
        <v>101</v>
      </c>
      <c r="B32">
        <v>5</v>
      </c>
      <c r="C32">
        <v>10</v>
      </c>
      <c r="D32">
        <v>0</v>
      </c>
    </row>
    <row r="33" spans="1:4" x14ac:dyDescent="0.3">
      <c r="A33" s="1" t="s">
        <v>104</v>
      </c>
      <c r="B33">
        <v>4</v>
      </c>
      <c r="C33">
        <v>4</v>
      </c>
      <c r="D33">
        <v>0</v>
      </c>
    </row>
    <row r="34" spans="1:4" x14ac:dyDescent="0.3">
      <c r="A34" s="1" t="s">
        <v>105</v>
      </c>
      <c r="B34">
        <v>3</v>
      </c>
      <c r="C34">
        <v>2.5</v>
      </c>
      <c r="D34">
        <v>0</v>
      </c>
    </row>
    <row r="35" spans="1:4" x14ac:dyDescent="0.3">
      <c r="A35" s="1" t="s">
        <v>106</v>
      </c>
      <c r="B35">
        <v>0</v>
      </c>
      <c r="C35">
        <v>0</v>
      </c>
      <c r="D35">
        <v>1</v>
      </c>
    </row>
    <row r="36" spans="1:4" x14ac:dyDescent="0.3">
      <c r="B36" s="3">
        <f t="shared" ref="B36:D36" si="0">SUM(B2:B35)</f>
        <v>53</v>
      </c>
      <c r="C36" s="3">
        <f t="shared" si="0"/>
        <v>45.5</v>
      </c>
      <c r="D36" s="3">
        <f t="shared" si="0"/>
        <v>25.5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6"/>
  <sheetViews>
    <sheetView topLeftCell="A20" workbookViewId="0">
      <selection activeCell="B39" sqref="B39"/>
    </sheetView>
  </sheetViews>
  <sheetFormatPr defaultRowHeight="14.4" x14ac:dyDescent="0.3"/>
  <cols>
    <col min="1" max="1" width="101.2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283</v>
      </c>
      <c r="B2">
        <v>1.5</v>
      </c>
      <c r="C2">
        <v>0</v>
      </c>
      <c r="D2">
        <v>0</v>
      </c>
    </row>
    <row r="3" spans="1:4" x14ac:dyDescent="0.3">
      <c r="A3" s="1" t="s">
        <v>284</v>
      </c>
      <c r="B3">
        <v>0.5</v>
      </c>
      <c r="C3">
        <v>0.5</v>
      </c>
      <c r="D3">
        <v>0.5</v>
      </c>
    </row>
    <row r="4" spans="1:4" x14ac:dyDescent="0.3">
      <c r="A4" s="1" t="s">
        <v>112</v>
      </c>
      <c r="B4">
        <v>0.5</v>
      </c>
      <c r="C4">
        <v>0</v>
      </c>
      <c r="D4">
        <v>0</v>
      </c>
    </row>
    <row r="5" spans="1:4" x14ac:dyDescent="0.3">
      <c r="A5" s="1" t="s">
        <v>285</v>
      </c>
      <c r="B5">
        <v>0.5</v>
      </c>
      <c r="C5">
        <v>0</v>
      </c>
      <c r="D5">
        <v>0</v>
      </c>
    </row>
    <row r="6" spans="1:4" x14ac:dyDescent="0.3">
      <c r="A6" s="1" t="s">
        <v>29</v>
      </c>
      <c r="B6">
        <v>0.5</v>
      </c>
      <c r="C6">
        <v>0</v>
      </c>
      <c r="D6">
        <v>0</v>
      </c>
    </row>
    <row r="7" spans="1:4" x14ac:dyDescent="0.3">
      <c r="A7" s="1" t="s">
        <v>286</v>
      </c>
      <c r="B7">
        <v>0.5</v>
      </c>
      <c r="C7">
        <v>0</v>
      </c>
      <c r="D7">
        <v>0</v>
      </c>
    </row>
    <row r="8" spans="1:4" x14ac:dyDescent="0.3">
      <c r="A8" s="1" t="s">
        <v>287</v>
      </c>
      <c r="B8">
        <v>0.5</v>
      </c>
      <c r="C8">
        <v>0</v>
      </c>
      <c r="D8">
        <v>0</v>
      </c>
    </row>
    <row r="9" spans="1:4" x14ac:dyDescent="0.3">
      <c r="A9" s="1" t="s">
        <v>30</v>
      </c>
      <c r="B9">
        <v>2</v>
      </c>
      <c r="C9">
        <v>2</v>
      </c>
      <c r="D9">
        <v>2</v>
      </c>
    </row>
    <row r="10" spans="1:4" x14ac:dyDescent="0.3">
      <c r="A10" s="1" t="s">
        <v>239</v>
      </c>
      <c r="B10">
        <v>1</v>
      </c>
      <c r="C10">
        <v>0</v>
      </c>
      <c r="D10">
        <v>0</v>
      </c>
    </row>
    <row r="11" spans="1:4" x14ac:dyDescent="0.3">
      <c r="A11" s="1" t="s">
        <v>288</v>
      </c>
      <c r="B11">
        <v>0.5</v>
      </c>
      <c r="C11">
        <v>0</v>
      </c>
      <c r="D11">
        <v>0</v>
      </c>
    </row>
    <row r="12" spans="1:4" x14ac:dyDescent="0.3">
      <c r="A12" s="1" t="s">
        <v>32</v>
      </c>
      <c r="B12">
        <v>11</v>
      </c>
      <c r="C12">
        <v>10</v>
      </c>
      <c r="D12">
        <v>11</v>
      </c>
    </row>
    <row r="13" spans="1:4" x14ac:dyDescent="0.3">
      <c r="A13" s="1" t="s">
        <v>289</v>
      </c>
      <c r="B13">
        <v>1.5</v>
      </c>
      <c r="C13">
        <v>0</v>
      </c>
      <c r="D13">
        <v>0</v>
      </c>
    </row>
    <row r="14" spans="1:4" x14ac:dyDescent="0.3">
      <c r="A14" s="1" t="s">
        <v>113</v>
      </c>
      <c r="B14">
        <v>1</v>
      </c>
      <c r="C14">
        <v>0</v>
      </c>
      <c r="D14">
        <v>0</v>
      </c>
    </row>
    <row r="15" spans="1:4" x14ac:dyDescent="0.3">
      <c r="A15" s="1" t="s">
        <v>290</v>
      </c>
      <c r="B15">
        <v>0.5</v>
      </c>
      <c r="C15">
        <v>0</v>
      </c>
      <c r="D15">
        <v>0</v>
      </c>
    </row>
    <row r="16" spans="1:4" x14ac:dyDescent="0.3">
      <c r="A16" s="1" t="s">
        <v>114</v>
      </c>
      <c r="B16">
        <v>0.5</v>
      </c>
      <c r="C16">
        <v>0</v>
      </c>
      <c r="D16">
        <v>0</v>
      </c>
    </row>
    <row r="17" spans="1:4" x14ac:dyDescent="0.3">
      <c r="A17" s="1" t="s">
        <v>56</v>
      </c>
      <c r="B17">
        <v>0</v>
      </c>
      <c r="C17">
        <v>1</v>
      </c>
      <c r="D17">
        <v>2</v>
      </c>
    </row>
    <row r="18" spans="1:4" x14ac:dyDescent="0.3">
      <c r="A18" s="1" t="s">
        <v>291</v>
      </c>
      <c r="B18">
        <v>1</v>
      </c>
      <c r="C18">
        <v>0</v>
      </c>
      <c r="D18">
        <v>0</v>
      </c>
    </row>
    <row r="19" spans="1:4" x14ac:dyDescent="0.3">
      <c r="A19" s="1" t="s">
        <v>292</v>
      </c>
      <c r="B19">
        <v>1</v>
      </c>
      <c r="C19">
        <v>1</v>
      </c>
      <c r="D19">
        <v>1</v>
      </c>
    </row>
    <row r="20" spans="1:4" x14ac:dyDescent="0.3">
      <c r="A20" s="1" t="s">
        <v>293</v>
      </c>
      <c r="B20">
        <v>0.5</v>
      </c>
      <c r="C20">
        <v>0</v>
      </c>
      <c r="D20">
        <v>0</v>
      </c>
    </row>
    <row r="21" spans="1:4" x14ac:dyDescent="0.3">
      <c r="A21" s="1" t="s">
        <v>276</v>
      </c>
      <c r="B21">
        <v>1</v>
      </c>
      <c r="C21">
        <v>0</v>
      </c>
      <c r="D21">
        <v>0</v>
      </c>
    </row>
    <row r="22" spans="1:4" x14ac:dyDescent="0.3">
      <c r="A22" s="1" t="s">
        <v>126</v>
      </c>
      <c r="B22">
        <v>1</v>
      </c>
      <c r="C22">
        <v>0</v>
      </c>
      <c r="D22">
        <v>0</v>
      </c>
    </row>
    <row r="23" spans="1:4" x14ac:dyDescent="0.3">
      <c r="A23" s="1" t="s">
        <v>127</v>
      </c>
      <c r="B23">
        <v>0.5</v>
      </c>
      <c r="C23">
        <v>0</v>
      </c>
      <c r="D23">
        <v>0</v>
      </c>
    </row>
    <row r="24" spans="1:4" x14ac:dyDescent="0.3">
      <c r="A24" s="1" t="s">
        <v>280</v>
      </c>
      <c r="B24">
        <v>0.5</v>
      </c>
      <c r="C24">
        <v>0</v>
      </c>
      <c r="D24">
        <v>0</v>
      </c>
    </row>
    <row r="25" spans="1:4" x14ac:dyDescent="0.3">
      <c r="A25" s="1" t="s">
        <v>294</v>
      </c>
      <c r="B25">
        <v>0.5</v>
      </c>
      <c r="C25">
        <v>0</v>
      </c>
      <c r="D25">
        <v>0</v>
      </c>
    </row>
    <row r="26" spans="1:4" x14ac:dyDescent="0.3">
      <c r="A26" s="1" t="s">
        <v>281</v>
      </c>
      <c r="B26">
        <v>1.5</v>
      </c>
      <c r="C26">
        <v>0</v>
      </c>
      <c r="D26">
        <v>0</v>
      </c>
    </row>
    <row r="27" spans="1:4" x14ac:dyDescent="0.3">
      <c r="A27" s="1" t="s">
        <v>97</v>
      </c>
      <c r="B27">
        <v>2</v>
      </c>
      <c r="C27">
        <v>4</v>
      </c>
      <c r="D27">
        <v>2</v>
      </c>
    </row>
    <row r="28" spans="1:4" x14ac:dyDescent="0.3">
      <c r="A28" s="1" t="s">
        <v>98</v>
      </c>
      <c r="B28">
        <v>1</v>
      </c>
      <c r="C28">
        <v>0</v>
      </c>
      <c r="D28">
        <v>0</v>
      </c>
    </row>
    <row r="29" spans="1:4" x14ac:dyDescent="0.3">
      <c r="A29" s="1" t="s">
        <v>99</v>
      </c>
      <c r="B29">
        <v>1.5</v>
      </c>
      <c r="C29">
        <v>0</v>
      </c>
      <c r="D29">
        <v>0</v>
      </c>
    </row>
    <row r="30" spans="1:4" x14ac:dyDescent="0.3">
      <c r="A30" s="1" t="s">
        <v>100</v>
      </c>
      <c r="B30">
        <v>3</v>
      </c>
      <c r="C30">
        <v>4</v>
      </c>
      <c r="D30">
        <v>0</v>
      </c>
    </row>
    <row r="31" spans="1:4" x14ac:dyDescent="0.3">
      <c r="A31" s="1" t="s">
        <v>101</v>
      </c>
      <c r="B31">
        <v>4.5</v>
      </c>
      <c r="C31">
        <v>9</v>
      </c>
      <c r="D31">
        <v>0</v>
      </c>
    </row>
    <row r="32" spans="1:4" x14ac:dyDescent="0.3">
      <c r="A32" s="1" t="s">
        <v>234</v>
      </c>
      <c r="B32">
        <v>0.5</v>
      </c>
      <c r="C32">
        <v>1</v>
      </c>
      <c r="D32">
        <v>0</v>
      </c>
    </row>
    <row r="33" spans="1:4" x14ac:dyDescent="0.3">
      <c r="A33" s="1" t="s">
        <v>104</v>
      </c>
      <c r="B33">
        <v>4.5</v>
      </c>
      <c r="C33">
        <v>4</v>
      </c>
      <c r="D33">
        <v>0</v>
      </c>
    </row>
    <row r="34" spans="1:4" x14ac:dyDescent="0.3">
      <c r="A34" s="1" t="s">
        <v>105</v>
      </c>
      <c r="B34">
        <v>3</v>
      </c>
      <c r="C34">
        <v>2.5</v>
      </c>
      <c r="D34">
        <v>0</v>
      </c>
    </row>
    <row r="35" spans="1:4" x14ac:dyDescent="0.3">
      <c r="A35" s="1" t="s">
        <v>131</v>
      </c>
      <c r="B35">
        <v>0.5</v>
      </c>
      <c r="C35">
        <v>0</v>
      </c>
      <c r="D35">
        <v>0</v>
      </c>
    </row>
    <row r="36" spans="1:4" x14ac:dyDescent="0.3">
      <c r="B36" s="3">
        <f t="shared" ref="B36:D36" si="0">SUM(B2:B35)</f>
        <v>50.5</v>
      </c>
      <c r="C36" s="3">
        <f t="shared" si="0"/>
        <v>39</v>
      </c>
      <c r="D36" s="3">
        <f t="shared" si="0"/>
        <v>18.5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7"/>
  <sheetViews>
    <sheetView topLeftCell="A61" workbookViewId="0">
      <selection activeCell="B79" sqref="B79"/>
    </sheetView>
  </sheetViews>
  <sheetFormatPr defaultRowHeight="14.4" x14ac:dyDescent="0.3"/>
  <cols>
    <col min="1" max="1" width="152.5546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295</v>
      </c>
      <c r="B2">
        <v>0.5</v>
      </c>
      <c r="C2">
        <v>0</v>
      </c>
      <c r="D2">
        <v>0</v>
      </c>
    </row>
    <row r="3" spans="1:4" x14ac:dyDescent="0.3">
      <c r="A3" s="1" t="s">
        <v>265</v>
      </c>
      <c r="B3">
        <v>0.5</v>
      </c>
      <c r="C3">
        <v>0</v>
      </c>
      <c r="D3">
        <v>0</v>
      </c>
    </row>
    <row r="4" spans="1:4" x14ac:dyDescent="0.3">
      <c r="A4" s="1" t="s">
        <v>296</v>
      </c>
      <c r="B4">
        <v>0.5</v>
      </c>
      <c r="C4">
        <v>0</v>
      </c>
      <c r="D4">
        <v>0</v>
      </c>
    </row>
    <row r="5" spans="1:4" x14ac:dyDescent="0.3">
      <c r="A5" s="1" t="s">
        <v>297</v>
      </c>
      <c r="B5">
        <v>0.5</v>
      </c>
      <c r="C5">
        <v>0</v>
      </c>
      <c r="D5">
        <v>0</v>
      </c>
    </row>
    <row r="6" spans="1:4" x14ac:dyDescent="0.3">
      <c r="A6" s="1" t="s">
        <v>298</v>
      </c>
      <c r="B6">
        <v>0.5</v>
      </c>
      <c r="C6">
        <v>0</v>
      </c>
      <c r="D6">
        <v>0</v>
      </c>
    </row>
    <row r="7" spans="1:4" x14ac:dyDescent="0.3">
      <c r="A7" s="1" t="s">
        <v>299</v>
      </c>
      <c r="B7">
        <v>0.5</v>
      </c>
      <c r="C7">
        <v>0</v>
      </c>
      <c r="D7">
        <v>0</v>
      </c>
    </row>
    <row r="8" spans="1:4" x14ac:dyDescent="0.3">
      <c r="A8" s="1" t="s">
        <v>300</v>
      </c>
      <c r="B8">
        <v>0.5</v>
      </c>
      <c r="C8">
        <v>0</v>
      </c>
      <c r="D8">
        <v>0</v>
      </c>
    </row>
    <row r="9" spans="1:4" x14ac:dyDescent="0.3">
      <c r="A9" s="1" t="s">
        <v>301</v>
      </c>
      <c r="B9">
        <v>0.5</v>
      </c>
      <c r="C9">
        <v>0</v>
      </c>
      <c r="D9">
        <v>0</v>
      </c>
    </row>
    <row r="10" spans="1:4" x14ac:dyDescent="0.3">
      <c r="A10" s="1" t="s">
        <v>302</v>
      </c>
      <c r="B10">
        <v>1</v>
      </c>
      <c r="C10">
        <v>0</v>
      </c>
      <c r="D10">
        <v>0</v>
      </c>
    </row>
    <row r="11" spans="1:4" x14ac:dyDescent="0.3">
      <c r="A11" s="1" t="s">
        <v>303</v>
      </c>
      <c r="B11">
        <v>0.5</v>
      </c>
      <c r="C11">
        <v>0</v>
      </c>
      <c r="D11">
        <v>0</v>
      </c>
    </row>
    <row r="12" spans="1:4" x14ac:dyDescent="0.3">
      <c r="A12" s="1" t="s">
        <v>304</v>
      </c>
      <c r="B12">
        <v>0.5</v>
      </c>
      <c r="C12">
        <v>0</v>
      </c>
      <c r="D12">
        <v>0</v>
      </c>
    </row>
    <row r="13" spans="1:4" x14ac:dyDescent="0.3">
      <c r="A13" s="1" t="s">
        <v>305</v>
      </c>
      <c r="B13">
        <v>0.5</v>
      </c>
      <c r="C13">
        <v>0</v>
      </c>
      <c r="D13">
        <v>0</v>
      </c>
    </row>
    <row r="14" spans="1:4" x14ac:dyDescent="0.3">
      <c r="A14" s="1" t="s">
        <v>32</v>
      </c>
      <c r="B14">
        <v>11</v>
      </c>
      <c r="C14">
        <v>10</v>
      </c>
      <c r="D14">
        <v>11</v>
      </c>
    </row>
    <row r="15" spans="1:4" x14ac:dyDescent="0.3">
      <c r="A15" s="1" t="s">
        <v>306</v>
      </c>
      <c r="B15">
        <v>0.5</v>
      </c>
      <c r="C15">
        <v>0</v>
      </c>
      <c r="D15">
        <v>0</v>
      </c>
    </row>
    <row r="16" spans="1:4" x14ac:dyDescent="0.3">
      <c r="A16" s="1" t="s">
        <v>307</v>
      </c>
      <c r="B16">
        <v>0.5</v>
      </c>
      <c r="C16">
        <v>0</v>
      </c>
      <c r="D16">
        <v>0</v>
      </c>
    </row>
    <row r="17" spans="1:4" x14ac:dyDescent="0.3">
      <c r="A17" s="1" t="s">
        <v>269</v>
      </c>
      <c r="B17">
        <v>1</v>
      </c>
      <c r="C17">
        <v>0</v>
      </c>
      <c r="D17">
        <v>0</v>
      </c>
    </row>
    <row r="18" spans="1:4" x14ac:dyDescent="0.3">
      <c r="A18" s="1" t="s">
        <v>308</v>
      </c>
      <c r="B18">
        <v>0.5</v>
      </c>
      <c r="C18">
        <v>0</v>
      </c>
      <c r="D18">
        <v>0</v>
      </c>
    </row>
    <row r="19" spans="1:4" x14ac:dyDescent="0.3">
      <c r="A19" s="1" t="s">
        <v>309</v>
      </c>
      <c r="B19">
        <v>0.5</v>
      </c>
      <c r="C19">
        <v>0</v>
      </c>
      <c r="D19">
        <v>0</v>
      </c>
    </row>
    <row r="20" spans="1:4" x14ac:dyDescent="0.3">
      <c r="A20" s="1" t="s">
        <v>271</v>
      </c>
      <c r="B20">
        <v>0.5</v>
      </c>
      <c r="C20">
        <v>0</v>
      </c>
      <c r="D20">
        <v>0</v>
      </c>
    </row>
    <row r="21" spans="1:4" x14ac:dyDescent="0.3">
      <c r="A21" s="1" t="s">
        <v>310</v>
      </c>
      <c r="B21">
        <v>0.5</v>
      </c>
      <c r="C21">
        <v>0</v>
      </c>
      <c r="D21">
        <v>0</v>
      </c>
    </row>
    <row r="22" spans="1:4" x14ac:dyDescent="0.3">
      <c r="A22" s="1" t="s">
        <v>311</v>
      </c>
      <c r="B22">
        <v>0.5</v>
      </c>
      <c r="C22">
        <v>0</v>
      </c>
      <c r="D22">
        <v>0</v>
      </c>
    </row>
    <row r="23" spans="1:4" x14ac:dyDescent="0.3">
      <c r="A23" s="1" t="s">
        <v>312</v>
      </c>
      <c r="B23">
        <v>0.5</v>
      </c>
      <c r="C23">
        <v>0</v>
      </c>
      <c r="D23">
        <v>0</v>
      </c>
    </row>
    <row r="24" spans="1:4" x14ac:dyDescent="0.3">
      <c r="A24" s="1" t="s">
        <v>313</v>
      </c>
      <c r="B24">
        <v>2</v>
      </c>
      <c r="C24">
        <v>0</v>
      </c>
      <c r="D24">
        <v>0</v>
      </c>
    </row>
    <row r="25" spans="1:4" x14ac:dyDescent="0.3">
      <c r="A25" s="1" t="s">
        <v>314</v>
      </c>
      <c r="B25">
        <v>0.5</v>
      </c>
      <c r="C25">
        <v>0</v>
      </c>
      <c r="D25">
        <v>0</v>
      </c>
    </row>
    <row r="26" spans="1:4" x14ac:dyDescent="0.3">
      <c r="A26" s="1" t="s">
        <v>315</v>
      </c>
      <c r="B26">
        <v>0.5</v>
      </c>
      <c r="C26">
        <v>0</v>
      </c>
      <c r="D26">
        <v>0</v>
      </c>
    </row>
    <row r="27" spans="1:4" x14ac:dyDescent="0.3">
      <c r="A27" s="1" t="s">
        <v>316</v>
      </c>
      <c r="B27">
        <v>1</v>
      </c>
      <c r="C27">
        <v>0</v>
      </c>
      <c r="D27">
        <v>0</v>
      </c>
    </row>
    <row r="28" spans="1:4" x14ac:dyDescent="0.3">
      <c r="A28" s="1" t="s">
        <v>317</v>
      </c>
      <c r="B28">
        <v>1</v>
      </c>
      <c r="C28">
        <v>0</v>
      </c>
      <c r="D28">
        <v>0</v>
      </c>
    </row>
    <row r="29" spans="1:4" x14ac:dyDescent="0.3">
      <c r="A29" s="1" t="s">
        <v>318</v>
      </c>
      <c r="B29">
        <v>0.5</v>
      </c>
      <c r="C29">
        <v>0</v>
      </c>
      <c r="D29">
        <v>0</v>
      </c>
    </row>
    <row r="30" spans="1:4" x14ac:dyDescent="0.3">
      <c r="A30" s="1" t="s">
        <v>319</v>
      </c>
      <c r="B30">
        <v>1</v>
      </c>
      <c r="C30">
        <v>0</v>
      </c>
      <c r="D30">
        <v>0</v>
      </c>
    </row>
    <row r="31" spans="1:4" x14ac:dyDescent="0.3">
      <c r="A31" s="1" t="s">
        <v>320</v>
      </c>
      <c r="B31">
        <v>1</v>
      </c>
      <c r="C31">
        <v>0</v>
      </c>
      <c r="D31">
        <v>0</v>
      </c>
    </row>
    <row r="32" spans="1:4" x14ac:dyDescent="0.3">
      <c r="A32" s="1" t="s">
        <v>321</v>
      </c>
      <c r="B32">
        <v>0.5</v>
      </c>
      <c r="C32">
        <v>0</v>
      </c>
      <c r="D32">
        <v>0</v>
      </c>
    </row>
    <row r="33" spans="1:4" x14ac:dyDescent="0.3">
      <c r="A33" s="1" t="s">
        <v>322</v>
      </c>
      <c r="B33">
        <v>0.5</v>
      </c>
      <c r="C33">
        <v>0</v>
      </c>
      <c r="D33">
        <v>0</v>
      </c>
    </row>
    <row r="34" spans="1:4" x14ac:dyDescent="0.3">
      <c r="A34" s="1" t="s">
        <v>323</v>
      </c>
      <c r="B34">
        <v>1.5</v>
      </c>
      <c r="C34">
        <v>0</v>
      </c>
      <c r="D34">
        <v>0</v>
      </c>
    </row>
    <row r="35" spans="1:4" x14ac:dyDescent="0.3">
      <c r="A35" s="1" t="s">
        <v>324</v>
      </c>
      <c r="B35">
        <v>0.5</v>
      </c>
      <c r="C35">
        <v>0</v>
      </c>
      <c r="D35">
        <v>0</v>
      </c>
    </row>
    <row r="36" spans="1:4" x14ac:dyDescent="0.3">
      <c r="A36" s="1" t="s">
        <v>325</v>
      </c>
      <c r="B36">
        <v>0.5</v>
      </c>
      <c r="C36">
        <v>0</v>
      </c>
      <c r="D36">
        <v>0</v>
      </c>
    </row>
    <row r="37" spans="1:4" x14ac:dyDescent="0.3">
      <c r="A37" s="1" t="s">
        <v>326</v>
      </c>
      <c r="B37">
        <v>0.5</v>
      </c>
      <c r="C37">
        <v>0</v>
      </c>
      <c r="D37">
        <v>0</v>
      </c>
    </row>
    <row r="38" spans="1:4" x14ac:dyDescent="0.3">
      <c r="A38" s="1" t="s">
        <v>327</v>
      </c>
      <c r="B38">
        <v>1</v>
      </c>
      <c r="C38">
        <v>0</v>
      </c>
      <c r="D38">
        <v>0</v>
      </c>
    </row>
    <row r="39" spans="1:4" x14ac:dyDescent="0.3">
      <c r="A39" s="1" t="s">
        <v>328</v>
      </c>
      <c r="B39">
        <v>1</v>
      </c>
      <c r="C39">
        <v>0</v>
      </c>
      <c r="D39">
        <v>0</v>
      </c>
    </row>
    <row r="40" spans="1:4" x14ac:dyDescent="0.3">
      <c r="A40" s="1" t="s">
        <v>329</v>
      </c>
      <c r="B40">
        <v>1</v>
      </c>
      <c r="C40">
        <v>1.5</v>
      </c>
      <c r="D40">
        <v>1.5</v>
      </c>
    </row>
    <row r="41" spans="1:4" x14ac:dyDescent="0.3">
      <c r="A41" s="1" t="s">
        <v>330</v>
      </c>
      <c r="B41">
        <v>0.5</v>
      </c>
      <c r="C41">
        <v>0</v>
      </c>
      <c r="D41">
        <v>0</v>
      </c>
    </row>
    <row r="42" spans="1:4" x14ac:dyDescent="0.3">
      <c r="A42" s="1" t="s">
        <v>331</v>
      </c>
      <c r="B42">
        <v>0.5</v>
      </c>
      <c r="C42">
        <v>0</v>
      </c>
      <c r="D42">
        <v>0</v>
      </c>
    </row>
    <row r="43" spans="1:4" x14ac:dyDescent="0.3">
      <c r="A43" s="1" t="s">
        <v>332</v>
      </c>
      <c r="B43">
        <v>0.5</v>
      </c>
      <c r="C43">
        <v>0</v>
      </c>
      <c r="D43">
        <v>0</v>
      </c>
    </row>
    <row r="44" spans="1:4" x14ac:dyDescent="0.3">
      <c r="A44" s="1" t="s">
        <v>333</v>
      </c>
      <c r="B44">
        <v>0.5</v>
      </c>
      <c r="C44">
        <v>0</v>
      </c>
      <c r="D44">
        <v>0</v>
      </c>
    </row>
    <row r="45" spans="1:4" x14ac:dyDescent="0.3">
      <c r="A45" s="1" t="s">
        <v>334</v>
      </c>
      <c r="B45">
        <v>0.5</v>
      </c>
      <c r="C45">
        <v>0</v>
      </c>
      <c r="D45">
        <v>0</v>
      </c>
    </row>
    <row r="46" spans="1:4" x14ac:dyDescent="0.3">
      <c r="A46" s="1" t="s">
        <v>335</v>
      </c>
      <c r="B46">
        <v>0.5</v>
      </c>
      <c r="C46">
        <v>0</v>
      </c>
      <c r="D46">
        <v>0</v>
      </c>
    </row>
    <row r="47" spans="1:4" x14ac:dyDescent="0.3">
      <c r="A47" s="1" t="s">
        <v>336</v>
      </c>
      <c r="B47">
        <v>0.5</v>
      </c>
      <c r="C47">
        <v>1</v>
      </c>
      <c r="D47">
        <v>1</v>
      </c>
    </row>
    <row r="48" spans="1:4" x14ac:dyDescent="0.3">
      <c r="A48" s="1" t="s">
        <v>337</v>
      </c>
      <c r="B48">
        <v>0.5</v>
      </c>
      <c r="C48">
        <v>0</v>
      </c>
      <c r="D48">
        <v>0</v>
      </c>
    </row>
    <row r="49" spans="1:4" x14ac:dyDescent="0.3">
      <c r="A49" s="1" t="s">
        <v>338</v>
      </c>
      <c r="B49">
        <v>0.5</v>
      </c>
      <c r="C49">
        <v>0</v>
      </c>
      <c r="D49">
        <v>0</v>
      </c>
    </row>
    <row r="50" spans="1:4" x14ac:dyDescent="0.3">
      <c r="A50" s="1" t="s">
        <v>339</v>
      </c>
      <c r="B50">
        <v>0.5</v>
      </c>
      <c r="C50">
        <v>0</v>
      </c>
      <c r="D50">
        <v>0</v>
      </c>
    </row>
    <row r="51" spans="1:4" x14ac:dyDescent="0.3">
      <c r="A51" s="1" t="s">
        <v>340</v>
      </c>
      <c r="B51">
        <v>0.5</v>
      </c>
      <c r="C51">
        <v>0</v>
      </c>
      <c r="D51">
        <v>0</v>
      </c>
    </row>
    <row r="52" spans="1:4" x14ac:dyDescent="0.3">
      <c r="A52" s="1" t="s">
        <v>341</v>
      </c>
      <c r="B52">
        <v>0.5</v>
      </c>
      <c r="C52">
        <v>0</v>
      </c>
      <c r="D52">
        <v>0</v>
      </c>
    </row>
    <row r="53" spans="1:4" x14ac:dyDescent="0.3">
      <c r="A53" s="1" t="s">
        <v>342</v>
      </c>
      <c r="B53">
        <v>1</v>
      </c>
      <c r="C53">
        <v>0</v>
      </c>
      <c r="D53">
        <v>0</v>
      </c>
    </row>
    <row r="54" spans="1:4" x14ac:dyDescent="0.3">
      <c r="A54" s="1" t="s">
        <v>77</v>
      </c>
      <c r="B54">
        <v>1</v>
      </c>
      <c r="C54">
        <v>1</v>
      </c>
      <c r="D54">
        <v>1</v>
      </c>
    </row>
    <row r="55" spans="1:4" x14ac:dyDescent="0.3">
      <c r="A55" s="1" t="s">
        <v>343</v>
      </c>
      <c r="B55">
        <v>0.5</v>
      </c>
      <c r="C55">
        <v>0</v>
      </c>
      <c r="D55">
        <v>0</v>
      </c>
    </row>
    <row r="56" spans="1:4" x14ac:dyDescent="0.3">
      <c r="A56" s="1" t="s">
        <v>277</v>
      </c>
      <c r="B56">
        <v>0.5</v>
      </c>
      <c r="C56">
        <v>0</v>
      </c>
      <c r="D56">
        <v>0</v>
      </c>
    </row>
    <row r="57" spans="1:4" x14ac:dyDescent="0.3">
      <c r="A57" s="1" t="s">
        <v>89</v>
      </c>
      <c r="B57">
        <v>1</v>
      </c>
      <c r="C57">
        <v>1</v>
      </c>
      <c r="D57">
        <v>3</v>
      </c>
    </row>
    <row r="58" spans="1:4" x14ac:dyDescent="0.3">
      <c r="A58" s="1" t="s">
        <v>126</v>
      </c>
      <c r="B58">
        <v>1</v>
      </c>
      <c r="C58">
        <v>0</v>
      </c>
      <c r="D58">
        <v>0</v>
      </c>
    </row>
    <row r="59" spans="1:4" x14ac:dyDescent="0.3">
      <c r="A59" s="1" t="s">
        <v>344</v>
      </c>
      <c r="B59">
        <v>16.5</v>
      </c>
      <c r="C59">
        <v>10</v>
      </c>
      <c r="D59">
        <v>0</v>
      </c>
    </row>
    <row r="60" spans="1:4" x14ac:dyDescent="0.3">
      <c r="A60" s="1" t="s">
        <v>345</v>
      </c>
      <c r="B60">
        <v>5</v>
      </c>
      <c r="C60">
        <v>10</v>
      </c>
      <c r="D60">
        <v>0</v>
      </c>
    </row>
    <row r="61" spans="1:4" x14ac:dyDescent="0.3">
      <c r="A61" s="1" t="s">
        <v>346</v>
      </c>
      <c r="B61">
        <v>0.5</v>
      </c>
      <c r="C61">
        <v>0</v>
      </c>
      <c r="D61">
        <v>0</v>
      </c>
    </row>
    <row r="62" spans="1:4" x14ac:dyDescent="0.3">
      <c r="A62" s="1" t="s">
        <v>233</v>
      </c>
      <c r="B62">
        <v>0.5</v>
      </c>
      <c r="C62">
        <v>0</v>
      </c>
      <c r="D62">
        <v>0</v>
      </c>
    </row>
    <row r="63" spans="1:4" x14ac:dyDescent="0.3">
      <c r="A63" s="1" t="s">
        <v>117</v>
      </c>
      <c r="B63">
        <v>0.5</v>
      </c>
      <c r="C63">
        <v>0</v>
      </c>
      <c r="D63">
        <v>0</v>
      </c>
    </row>
    <row r="64" spans="1:4" x14ac:dyDescent="0.3">
      <c r="A64" s="1" t="s">
        <v>347</v>
      </c>
      <c r="B64">
        <v>0.5</v>
      </c>
      <c r="C64">
        <v>0</v>
      </c>
      <c r="D64">
        <v>0</v>
      </c>
    </row>
    <row r="65" spans="1:4" x14ac:dyDescent="0.3">
      <c r="A65" s="1" t="s">
        <v>348</v>
      </c>
      <c r="B65">
        <v>0.5</v>
      </c>
      <c r="C65">
        <v>0</v>
      </c>
      <c r="D65">
        <v>0</v>
      </c>
    </row>
    <row r="66" spans="1:4" x14ac:dyDescent="0.3">
      <c r="A66" s="1" t="s">
        <v>349</v>
      </c>
      <c r="B66">
        <v>0.5</v>
      </c>
      <c r="C66">
        <v>0</v>
      </c>
      <c r="D66">
        <v>0</v>
      </c>
    </row>
    <row r="67" spans="1:4" x14ac:dyDescent="0.3">
      <c r="A67" s="1" t="s">
        <v>350</v>
      </c>
      <c r="B67">
        <v>2</v>
      </c>
      <c r="C67">
        <v>0</v>
      </c>
      <c r="D67">
        <v>0</v>
      </c>
    </row>
    <row r="68" spans="1:4" x14ac:dyDescent="0.3">
      <c r="A68" s="1" t="s">
        <v>351</v>
      </c>
      <c r="B68">
        <v>22</v>
      </c>
      <c r="C68">
        <v>32</v>
      </c>
      <c r="D68">
        <v>0</v>
      </c>
    </row>
    <row r="69" spans="1:4" x14ac:dyDescent="0.3">
      <c r="A69" s="1" t="s">
        <v>352</v>
      </c>
      <c r="B69">
        <v>6</v>
      </c>
      <c r="C69">
        <v>0</v>
      </c>
      <c r="D69">
        <v>0</v>
      </c>
    </row>
    <row r="70" spans="1:4" x14ac:dyDescent="0.3">
      <c r="A70" s="1" t="s">
        <v>353</v>
      </c>
      <c r="B70">
        <v>2</v>
      </c>
      <c r="C70">
        <v>4</v>
      </c>
      <c r="D70">
        <v>0</v>
      </c>
    </row>
    <row r="71" spans="1:4" x14ac:dyDescent="0.3">
      <c r="A71" s="1" t="s">
        <v>354</v>
      </c>
      <c r="B71">
        <v>1</v>
      </c>
      <c r="C71">
        <v>4</v>
      </c>
      <c r="D71">
        <v>0</v>
      </c>
    </row>
    <row r="72" spans="1:4" x14ac:dyDescent="0.3">
      <c r="A72" s="1" t="s">
        <v>97</v>
      </c>
      <c r="B72">
        <v>2</v>
      </c>
      <c r="C72">
        <v>3.5</v>
      </c>
      <c r="D72">
        <v>1.5</v>
      </c>
    </row>
    <row r="73" spans="1:4" x14ac:dyDescent="0.3">
      <c r="A73" s="1" t="s">
        <v>355</v>
      </c>
      <c r="B73">
        <v>0</v>
      </c>
      <c r="C73">
        <v>0.5</v>
      </c>
      <c r="D73">
        <v>0.5</v>
      </c>
    </row>
    <row r="74" spans="1:4" x14ac:dyDescent="0.3">
      <c r="A74" s="1" t="s">
        <v>356</v>
      </c>
      <c r="B74">
        <v>2</v>
      </c>
      <c r="C74">
        <v>0</v>
      </c>
      <c r="D74">
        <v>0</v>
      </c>
    </row>
    <row r="75" spans="1:4" x14ac:dyDescent="0.3">
      <c r="A75" s="1" t="s">
        <v>105</v>
      </c>
      <c r="B75">
        <v>3</v>
      </c>
      <c r="C75">
        <v>2.5</v>
      </c>
      <c r="D75">
        <v>0</v>
      </c>
    </row>
    <row r="76" spans="1:4" x14ac:dyDescent="0.3">
      <c r="A76" s="1" t="s">
        <v>106</v>
      </c>
      <c r="B76">
        <v>0</v>
      </c>
      <c r="C76">
        <v>0</v>
      </c>
      <c r="D76">
        <v>1</v>
      </c>
    </row>
    <row r="77" spans="1:4" x14ac:dyDescent="0.3">
      <c r="B77" s="3">
        <f t="shared" ref="B77:D77" si="0">SUM(B2:B76)</f>
        <v>112.5</v>
      </c>
      <c r="C77" s="3">
        <f t="shared" si="0"/>
        <v>81</v>
      </c>
      <c r="D77" s="3">
        <f t="shared" si="0"/>
        <v>20.5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5"/>
  <sheetViews>
    <sheetView topLeftCell="A39" workbookViewId="0">
      <selection activeCell="C58" sqref="C58"/>
    </sheetView>
  </sheetViews>
  <sheetFormatPr defaultRowHeight="14.4" x14ac:dyDescent="0.3"/>
  <cols>
    <col min="1" max="1" width="255.777343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29</v>
      </c>
      <c r="B2">
        <v>0.5</v>
      </c>
      <c r="C2">
        <v>0</v>
      </c>
      <c r="D2">
        <v>0</v>
      </c>
    </row>
    <row r="3" spans="1:4" x14ac:dyDescent="0.3">
      <c r="A3" s="1" t="s">
        <v>30</v>
      </c>
      <c r="B3">
        <v>1</v>
      </c>
      <c r="C3">
        <v>0</v>
      </c>
      <c r="D3">
        <v>2</v>
      </c>
    </row>
    <row r="4" spans="1:4" x14ac:dyDescent="0.3">
      <c r="A4" s="1" t="s">
        <v>357</v>
      </c>
      <c r="B4">
        <v>0.5</v>
      </c>
      <c r="C4">
        <v>2</v>
      </c>
      <c r="D4">
        <v>0</v>
      </c>
    </row>
    <row r="5" spans="1:4" x14ac:dyDescent="0.3">
      <c r="A5" s="1" t="s">
        <v>32</v>
      </c>
      <c r="B5">
        <v>7.5</v>
      </c>
      <c r="C5">
        <v>10</v>
      </c>
      <c r="D5">
        <v>11</v>
      </c>
    </row>
    <row r="6" spans="1:4" x14ac:dyDescent="0.3">
      <c r="A6" s="1" t="s">
        <v>358</v>
      </c>
      <c r="B6">
        <v>1.5</v>
      </c>
      <c r="C6">
        <v>0</v>
      </c>
      <c r="D6">
        <v>0</v>
      </c>
    </row>
    <row r="7" spans="1:4" x14ac:dyDescent="0.3">
      <c r="A7" s="1" t="s">
        <v>359</v>
      </c>
      <c r="B7">
        <v>1</v>
      </c>
      <c r="C7">
        <v>0</v>
      </c>
      <c r="D7">
        <v>0</v>
      </c>
    </row>
    <row r="8" spans="1:4" x14ac:dyDescent="0.3">
      <c r="A8" s="1" t="s">
        <v>360</v>
      </c>
      <c r="B8">
        <v>1</v>
      </c>
      <c r="C8">
        <v>0</v>
      </c>
      <c r="D8">
        <v>1</v>
      </c>
    </row>
    <row r="9" spans="1:4" x14ac:dyDescent="0.3">
      <c r="A9" s="1" t="s">
        <v>361</v>
      </c>
      <c r="B9">
        <v>0</v>
      </c>
      <c r="C9">
        <v>0.5</v>
      </c>
      <c r="D9">
        <v>0</v>
      </c>
    </row>
    <row r="10" spans="1:4" x14ac:dyDescent="0.3">
      <c r="A10" s="1" t="s">
        <v>362</v>
      </c>
      <c r="B10">
        <v>0</v>
      </c>
      <c r="C10">
        <v>1.5</v>
      </c>
      <c r="D10">
        <v>0</v>
      </c>
    </row>
    <row r="11" spans="1:4" x14ac:dyDescent="0.3">
      <c r="A11" s="1" t="s">
        <v>329</v>
      </c>
      <c r="B11">
        <v>1</v>
      </c>
      <c r="C11">
        <v>0</v>
      </c>
      <c r="D11">
        <v>0</v>
      </c>
    </row>
    <row r="12" spans="1:4" x14ac:dyDescent="0.3">
      <c r="A12" s="1" t="s">
        <v>363</v>
      </c>
      <c r="B12">
        <v>0.5</v>
      </c>
      <c r="C12">
        <v>0</v>
      </c>
      <c r="D12">
        <v>0</v>
      </c>
    </row>
    <row r="13" spans="1:4" x14ac:dyDescent="0.3">
      <c r="A13" s="1" t="s">
        <v>364</v>
      </c>
      <c r="B13">
        <v>0</v>
      </c>
      <c r="C13">
        <v>0.5</v>
      </c>
      <c r="D13">
        <v>0.5</v>
      </c>
    </row>
    <row r="14" spans="1:4" x14ac:dyDescent="0.3">
      <c r="A14" s="1" t="s">
        <v>365</v>
      </c>
      <c r="B14">
        <v>1</v>
      </c>
      <c r="C14">
        <v>0</v>
      </c>
      <c r="D14">
        <v>0</v>
      </c>
    </row>
    <row r="15" spans="1:4" x14ac:dyDescent="0.3">
      <c r="A15" s="1" t="s">
        <v>366</v>
      </c>
      <c r="B15">
        <v>1</v>
      </c>
      <c r="C15">
        <v>2</v>
      </c>
      <c r="D15">
        <v>2</v>
      </c>
    </row>
    <row r="16" spans="1:4" x14ac:dyDescent="0.3">
      <c r="A16" s="1" t="s">
        <v>367</v>
      </c>
      <c r="B16">
        <v>0</v>
      </c>
      <c r="C16">
        <v>0</v>
      </c>
      <c r="D16">
        <v>0.5</v>
      </c>
    </row>
    <row r="17" spans="1:4" x14ac:dyDescent="0.3">
      <c r="A17" s="1" t="s">
        <v>368</v>
      </c>
      <c r="B17">
        <v>0.5</v>
      </c>
      <c r="C17">
        <v>0</v>
      </c>
      <c r="D17">
        <v>2</v>
      </c>
    </row>
    <row r="18" spans="1:4" x14ac:dyDescent="0.3">
      <c r="A18" s="1" t="s">
        <v>369</v>
      </c>
      <c r="B18">
        <v>0.5</v>
      </c>
      <c r="C18">
        <v>0</v>
      </c>
      <c r="D18">
        <v>0</v>
      </c>
    </row>
    <row r="19" spans="1:4" x14ac:dyDescent="0.3">
      <c r="A19" s="1" t="s">
        <v>370</v>
      </c>
      <c r="B19">
        <v>0.5</v>
      </c>
      <c r="C19">
        <v>0</v>
      </c>
      <c r="D19">
        <v>0</v>
      </c>
    </row>
    <row r="20" spans="1:4" x14ac:dyDescent="0.3">
      <c r="A20" s="1" t="s">
        <v>371</v>
      </c>
      <c r="B20">
        <v>0.5</v>
      </c>
      <c r="C20">
        <v>0</v>
      </c>
      <c r="D20">
        <v>0</v>
      </c>
    </row>
    <row r="21" spans="1:4" x14ac:dyDescent="0.3">
      <c r="A21" s="1" t="s">
        <v>372</v>
      </c>
      <c r="B21">
        <v>6</v>
      </c>
      <c r="C21">
        <v>6.5</v>
      </c>
      <c r="D21">
        <v>8</v>
      </c>
    </row>
    <row r="22" spans="1:4" x14ac:dyDescent="0.3">
      <c r="A22" s="1" t="s">
        <v>373</v>
      </c>
      <c r="B22">
        <v>0</v>
      </c>
      <c r="C22">
        <v>2</v>
      </c>
      <c r="D22">
        <v>2</v>
      </c>
    </row>
    <row r="23" spans="1:4" x14ac:dyDescent="0.3">
      <c r="A23" s="1" t="s">
        <v>374</v>
      </c>
      <c r="B23">
        <v>27</v>
      </c>
      <c r="C23">
        <v>35.5</v>
      </c>
      <c r="D23">
        <v>41.5</v>
      </c>
    </row>
    <row r="24" spans="1:4" x14ac:dyDescent="0.3">
      <c r="A24" s="1" t="s">
        <v>375</v>
      </c>
      <c r="B24">
        <v>0.5</v>
      </c>
      <c r="C24">
        <v>1.5</v>
      </c>
      <c r="D24">
        <v>1.5</v>
      </c>
    </row>
    <row r="25" spans="1:4" x14ac:dyDescent="0.3">
      <c r="A25" s="1" t="s">
        <v>376</v>
      </c>
      <c r="B25">
        <v>0.5</v>
      </c>
      <c r="C25">
        <v>0</v>
      </c>
      <c r="D25">
        <v>0</v>
      </c>
    </row>
    <row r="26" spans="1:4" x14ac:dyDescent="0.3">
      <c r="A26" s="1" t="s">
        <v>377</v>
      </c>
      <c r="B26">
        <v>7.5</v>
      </c>
      <c r="C26">
        <v>9.5</v>
      </c>
      <c r="D26">
        <v>10.5</v>
      </c>
    </row>
    <row r="27" spans="1:4" x14ac:dyDescent="0.3">
      <c r="A27" s="1" t="s">
        <v>115</v>
      </c>
      <c r="B27">
        <v>3.5</v>
      </c>
      <c r="C27">
        <v>5.5</v>
      </c>
      <c r="D27">
        <v>6.5</v>
      </c>
    </row>
    <row r="28" spans="1:4" x14ac:dyDescent="0.3">
      <c r="A28" s="1" t="s">
        <v>378</v>
      </c>
      <c r="B28">
        <v>0.5</v>
      </c>
      <c r="C28">
        <v>0</v>
      </c>
      <c r="D28">
        <v>0</v>
      </c>
    </row>
    <row r="29" spans="1:4" x14ac:dyDescent="0.3">
      <c r="A29" s="1" t="s">
        <v>90</v>
      </c>
      <c r="B29">
        <v>0</v>
      </c>
      <c r="C29">
        <v>0</v>
      </c>
      <c r="D29">
        <v>2.5</v>
      </c>
    </row>
    <row r="30" spans="1:4" x14ac:dyDescent="0.3">
      <c r="A30" s="1" t="s">
        <v>95</v>
      </c>
      <c r="B30">
        <v>4.5</v>
      </c>
      <c r="C30">
        <v>6</v>
      </c>
      <c r="D30">
        <v>7.5</v>
      </c>
    </row>
    <row r="31" spans="1:4" x14ac:dyDescent="0.3">
      <c r="A31" s="1" t="s">
        <v>379</v>
      </c>
      <c r="B31">
        <v>16</v>
      </c>
      <c r="C31">
        <v>22.5</v>
      </c>
      <c r="D31">
        <v>0</v>
      </c>
    </row>
    <row r="32" spans="1:4" x14ac:dyDescent="0.3">
      <c r="A32" s="1" t="s">
        <v>380</v>
      </c>
      <c r="B32">
        <v>0.5</v>
      </c>
      <c r="C32">
        <v>0</v>
      </c>
      <c r="D32">
        <v>0</v>
      </c>
    </row>
    <row r="33" spans="1:4" x14ac:dyDescent="0.3">
      <c r="A33" s="1" t="s">
        <v>381</v>
      </c>
      <c r="B33">
        <v>0.5</v>
      </c>
      <c r="C33">
        <v>2</v>
      </c>
      <c r="D33">
        <v>0</v>
      </c>
    </row>
    <row r="34" spans="1:4" x14ac:dyDescent="0.3">
      <c r="A34" s="1" t="s">
        <v>382</v>
      </c>
      <c r="B34">
        <v>0.5</v>
      </c>
      <c r="C34">
        <v>0</v>
      </c>
      <c r="D34">
        <v>0</v>
      </c>
    </row>
    <row r="35" spans="1:4" x14ac:dyDescent="0.3">
      <c r="A35" s="1" t="s">
        <v>383</v>
      </c>
      <c r="B35">
        <v>0.5</v>
      </c>
      <c r="C35">
        <v>0</v>
      </c>
      <c r="D35">
        <v>0</v>
      </c>
    </row>
    <row r="36" spans="1:4" x14ac:dyDescent="0.3">
      <c r="A36" s="1" t="s">
        <v>384</v>
      </c>
      <c r="B36">
        <v>1.5</v>
      </c>
      <c r="C36">
        <v>2</v>
      </c>
      <c r="D36">
        <v>0</v>
      </c>
    </row>
    <row r="37" spans="1:4" x14ac:dyDescent="0.3">
      <c r="A37" s="1" t="s">
        <v>97</v>
      </c>
      <c r="B37">
        <v>2</v>
      </c>
      <c r="C37">
        <v>0.5</v>
      </c>
      <c r="D37">
        <v>0</v>
      </c>
    </row>
    <row r="38" spans="1:4" x14ac:dyDescent="0.3">
      <c r="A38" s="1" t="s">
        <v>385</v>
      </c>
      <c r="B38">
        <v>0</v>
      </c>
      <c r="C38">
        <v>0.5</v>
      </c>
      <c r="D38">
        <v>0.5</v>
      </c>
    </row>
    <row r="39" spans="1:4" x14ac:dyDescent="0.3">
      <c r="A39" s="1" t="s">
        <v>386</v>
      </c>
      <c r="B39">
        <v>0</v>
      </c>
      <c r="C39">
        <v>0.5</v>
      </c>
      <c r="D39">
        <v>0.5</v>
      </c>
    </row>
    <row r="40" spans="1:4" x14ac:dyDescent="0.3">
      <c r="A40" s="1" t="s">
        <v>387</v>
      </c>
      <c r="B40">
        <v>0</v>
      </c>
      <c r="C40">
        <v>0.5</v>
      </c>
      <c r="D40">
        <v>0.5</v>
      </c>
    </row>
    <row r="41" spans="1:4" x14ac:dyDescent="0.3">
      <c r="A41" s="1" t="s">
        <v>388</v>
      </c>
      <c r="B41">
        <v>0</v>
      </c>
      <c r="C41">
        <v>0.5</v>
      </c>
      <c r="D41">
        <v>0.5</v>
      </c>
    </row>
    <row r="42" spans="1:4" x14ac:dyDescent="0.3">
      <c r="A42" s="1" t="s">
        <v>389</v>
      </c>
      <c r="B42">
        <v>0</v>
      </c>
      <c r="C42">
        <v>1.5</v>
      </c>
      <c r="D42">
        <v>0</v>
      </c>
    </row>
    <row r="43" spans="1:4" x14ac:dyDescent="0.3">
      <c r="A43" s="1" t="s">
        <v>98</v>
      </c>
      <c r="B43">
        <v>0.5</v>
      </c>
      <c r="C43">
        <v>0</v>
      </c>
      <c r="D43">
        <v>0</v>
      </c>
    </row>
    <row r="44" spans="1:4" x14ac:dyDescent="0.3">
      <c r="A44" s="1" t="s">
        <v>390</v>
      </c>
      <c r="B44">
        <v>0.5</v>
      </c>
      <c r="C44">
        <v>0</v>
      </c>
      <c r="D44">
        <v>0</v>
      </c>
    </row>
    <row r="45" spans="1:4" x14ac:dyDescent="0.3">
      <c r="A45" s="1" t="s">
        <v>391</v>
      </c>
      <c r="B45">
        <v>0.5</v>
      </c>
      <c r="C45">
        <v>0</v>
      </c>
      <c r="D45">
        <v>0</v>
      </c>
    </row>
    <row r="46" spans="1:4" x14ac:dyDescent="0.3">
      <c r="A46" s="1" t="s">
        <v>392</v>
      </c>
      <c r="B46">
        <v>1</v>
      </c>
      <c r="C46">
        <v>0</v>
      </c>
      <c r="D46">
        <v>0</v>
      </c>
    </row>
    <row r="47" spans="1:4" x14ac:dyDescent="0.3">
      <c r="A47" s="1" t="s">
        <v>100</v>
      </c>
      <c r="B47">
        <v>3</v>
      </c>
      <c r="C47">
        <v>2.5</v>
      </c>
      <c r="D47">
        <v>0</v>
      </c>
    </row>
    <row r="48" spans="1:4" x14ac:dyDescent="0.3">
      <c r="A48" s="1" t="s">
        <v>393</v>
      </c>
      <c r="B48">
        <v>0.5</v>
      </c>
      <c r="C48">
        <v>0</v>
      </c>
      <c r="D48">
        <v>0</v>
      </c>
    </row>
    <row r="49" spans="1:4" x14ac:dyDescent="0.3">
      <c r="A49" s="1" t="s">
        <v>101</v>
      </c>
      <c r="B49">
        <v>5</v>
      </c>
      <c r="C49">
        <v>10</v>
      </c>
      <c r="D49">
        <v>0</v>
      </c>
    </row>
    <row r="50" spans="1:4" x14ac:dyDescent="0.3">
      <c r="A50" s="1" t="s">
        <v>104</v>
      </c>
      <c r="B50">
        <v>4</v>
      </c>
      <c r="C50">
        <v>4</v>
      </c>
      <c r="D50">
        <v>0</v>
      </c>
    </row>
    <row r="51" spans="1:4" x14ac:dyDescent="0.3">
      <c r="A51" s="1" t="s">
        <v>105</v>
      </c>
      <c r="B51">
        <v>1</v>
      </c>
      <c r="C51">
        <v>0</v>
      </c>
      <c r="D51">
        <v>0</v>
      </c>
    </row>
    <row r="52" spans="1:4" x14ac:dyDescent="0.3">
      <c r="A52" s="1" t="s">
        <v>394</v>
      </c>
      <c r="B52">
        <v>1</v>
      </c>
      <c r="C52">
        <v>0.5</v>
      </c>
      <c r="D52">
        <v>0</v>
      </c>
    </row>
    <row r="53" spans="1:4" x14ac:dyDescent="0.3">
      <c r="A53" s="1" t="s">
        <v>395</v>
      </c>
      <c r="B53">
        <v>1</v>
      </c>
      <c r="C53">
        <v>2</v>
      </c>
      <c r="D53">
        <v>0</v>
      </c>
    </row>
    <row r="54" spans="1:4" x14ac:dyDescent="0.3">
      <c r="A54" s="1" t="s">
        <v>106</v>
      </c>
      <c r="B54">
        <v>0</v>
      </c>
      <c r="C54">
        <v>0</v>
      </c>
      <c r="D54">
        <v>0.5</v>
      </c>
    </row>
    <row r="55" spans="1:4" x14ac:dyDescent="0.3">
      <c r="B55" s="3">
        <f t="shared" ref="B55:D55" si="0">SUM(B2:B54)</f>
        <v>108</v>
      </c>
      <c r="C55" s="3">
        <f t="shared" si="0"/>
        <v>132.5</v>
      </c>
      <c r="D55" s="3">
        <f t="shared" si="0"/>
        <v>101.5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>
      <selection activeCell="A18" sqref="A18"/>
    </sheetView>
  </sheetViews>
  <sheetFormatPr defaultRowHeight="14.4" x14ac:dyDescent="0.3"/>
  <cols>
    <col min="1" max="1" width="135.109375" bestFit="1" customWidth="1"/>
    <col min="2" max="2" width="12" bestFit="1" customWidth="1"/>
    <col min="3" max="3" width="12.88671875" bestFit="1" customWidth="1"/>
    <col min="4" max="4" width="10.8867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396</v>
      </c>
      <c r="B2">
        <v>0</v>
      </c>
      <c r="C2">
        <v>2</v>
      </c>
      <c r="D2">
        <v>2</v>
      </c>
    </row>
    <row r="3" spans="1:4" x14ac:dyDescent="0.3">
      <c r="A3" s="1" t="s">
        <v>20</v>
      </c>
      <c r="B3">
        <v>2</v>
      </c>
      <c r="C3">
        <v>2</v>
      </c>
      <c r="D3">
        <v>1</v>
      </c>
    </row>
    <row r="4" spans="1:4" x14ac:dyDescent="0.3">
      <c r="A4" s="1" t="s">
        <v>397</v>
      </c>
      <c r="B4">
        <v>0.5</v>
      </c>
      <c r="C4">
        <v>0.5</v>
      </c>
      <c r="D4">
        <v>0.5</v>
      </c>
    </row>
    <row r="5" spans="1:4" x14ac:dyDescent="0.3">
      <c r="A5" s="1" t="s">
        <v>26</v>
      </c>
      <c r="B5">
        <v>1</v>
      </c>
      <c r="C5">
        <v>1</v>
      </c>
      <c r="D5">
        <v>0</v>
      </c>
    </row>
    <row r="6" spans="1:4" x14ac:dyDescent="0.3">
      <c r="A6" s="1" t="s">
        <v>32</v>
      </c>
      <c r="B6">
        <v>11</v>
      </c>
      <c r="C6">
        <v>10</v>
      </c>
      <c r="D6">
        <v>11</v>
      </c>
    </row>
    <row r="7" spans="1:4" x14ac:dyDescent="0.3">
      <c r="A7" s="1" t="s">
        <v>33</v>
      </c>
      <c r="B7">
        <v>4</v>
      </c>
      <c r="C7">
        <v>4</v>
      </c>
      <c r="D7">
        <v>4</v>
      </c>
    </row>
    <row r="8" spans="1:4" x14ac:dyDescent="0.3">
      <c r="A8" s="1" t="s">
        <v>123</v>
      </c>
      <c r="B8">
        <v>1</v>
      </c>
      <c r="C8">
        <v>1</v>
      </c>
      <c r="D8">
        <v>1</v>
      </c>
    </row>
    <row r="9" spans="1:4" x14ac:dyDescent="0.3">
      <c r="A9" s="1" t="s">
        <v>58</v>
      </c>
      <c r="B9">
        <v>0.5</v>
      </c>
      <c r="C9">
        <v>0.5</v>
      </c>
      <c r="D9">
        <v>0</v>
      </c>
    </row>
    <row r="10" spans="1:4" x14ac:dyDescent="0.3">
      <c r="A10" s="1" t="s">
        <v>398</v>
      </c>
      <c r="B10">
        <v>1</v>
      </c>
      <c r="C10">
        <v>1</v>
      </c>
      <c r="D10">
        <v>1</v>
      </c>
    </row>
    <row r="11" spans="1:4" x14ac:dyDescent="0.3">
      <c r="A11" s="1" t="s">
        <v>89</v>
      </c>
      <c r="B11">
        <v>1</v>
      </c>
      <c r="C11">
        <v>1</v>
      </c>
      <c r="D11">
        <v>3</v>
      </c>
    </row>
    <row r="12" spans="1:4" x14ac:dyDescent="0.3">
      <c r="B12" s="3">
        <f t="shared" ref="B12:D12" si="0">SUM(B2:B11)</f>
        <v>22</v>
      </c>
      <c r="C12" s="3">
        <f t="shared" si="0"/>
        <v>23</v>
      </c>
      <c r="D12" s="3">
        <f t="shared" si="0"/>
        <v>23.5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1"/>
  <sheetViews>
    <sheetView tabSelected="1" topLeftCell="A6" workbookViewId="0">
      <selection activeCell="F26" sqref="F26"/>
    </sheetView>
  </sheetViews>
  <sheetFormatPr defaultRowHeight="14.4" x14ac:dyDescent="0.3"/>
  <cols>
    <col min="1" max="1" width="90.44140625" bestFit="1" customWidth="1"/>
    <col min="2" max="2" width="12" bestFit="1" customWidth="1"/>
    <col min="3" max="3" width="12.88671875" bestFit="1" customWidth="1"/>
    <col min="4" max="4" width="10.8867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295</v>
      </c>
      <c r="B2">
        <v>0.5</v>
      </c>
      <c r="C2">
        <v>0</v>
      </c>
      <c r="D2">
        <v>0</v>
      </c>
    </row>
    <row r="3" spans="1:4" x14ac:dyDescent="0.3">
      <c r="A3" s="1" t="s">
        <v>298</v>
      </c>
      <c r="B3">
        <v>0.5</v>
      </c>
      <c r="C3">
        <v>0</v>
      </c>
      <c r="D3">
        <v>0</v>
      </c>
    </row>
    <row r="4" spans="1:4" x14ac:dyDescent="0.3">
      <c r="A4" s="1" t="s">
        <v>283</v>
      </c>
      <c r="B4">
        <v>1.5</v>
      </c>
      <c r="C4">
        <v>0</v>
      </c>
      <c r="D4">
        <v>0</v>
      </c>
    </row>
    <row r="5" spans="1:4" x14ac:dyDescent="0.3">
      <c r="A5" s="1" t="s">
        <v>399</v>
      </c>
      <c r="B5">
        <v>2.5</v>
      </c>
      <c r="C5">
        <v>0</v>
      </c>
      <c r="D5">
        <v>0</v>
      </c>
    </row>
    <row r="6" spans="1:4" x14ac:dyDescent="0.3">
      <c r="A6" s="1" t="s">
        <v>26</v>
      </c>
      <c r="B6">
        <v>1</v>
      </c>
      <c r="C6">
        <v>1</v>
      </c>
      <c r="D6">
        <v>0</v>
      </c>
    </row>
    <row r="7" spans="1:4" x14ac:dyDescent="0.3">
      <c r="A7" s="1" t="s">
        <v>400</v>
      </c>
      <c r="B7">
        <v>1</v>
      </c>
      <c r="C7">
        <v>0</v>
      </c>
      <c r="D7">
        <v>0</v>
      </c>
    </row>
    <row r="8" spans="1:4" x14ac:dyDescent="0.3">
      <c r="A8" s="1" t="s">
        <v>32</v>
      </c>
      <c r="B8">
        <v>11</v>
      </c>
      <c r="C8">
        <v>10</v>
      </c>
      <c r="D8">
        <v>11</v>
      </c>
    </row>
    <row r="9" spans="1:4" x14ac:dyDescent="0.3">
      <c r="A9" s="1" t="s">
        <v>113</v>
      </c>
      <c r="B9">
        <v>1</v>
      </c>
      <c r="C9">
        <v>0</v>
      </c>
      <c r="D9">
        <v>0</v>
      </c>
    </row>
    <row r="10" spans="1:4" x14ac:dyDescent="0.3">
      <c r="A10" s="1" t="s">
        <v>401</v>
      </c>
      <c r="B10">
        <v>8.5</v>
      </c>
      <c r="C10">
        <v>0</v>
      </c>
      <c r="D10">
        <v>0</v>
      </c>
    </row>
    <row r="11" spans="1:4" x14ac:dyDescent="0.3">
      <c r="A11" s="1" t="s">
        <v>402</v>
      </c>
      <c r="B11">
        <v>13.5</v>
      </c>
      <c r="C11">
        <v>16</v>
      </c>
      <c r="D11">
        <v>18</v>
      </c>
    </row>
    <row r="12" spans="1:4" x14ac:dyDescent="0.3">
      <c r="A12" s="1" t="s">
        <v>290</v>
      </c>
      <c r="B12">
        <v>0.5</v>
      </c>
      <c r="C12">
        <v>0</v>
      </c>
      <c r="D12">
        <v>0</v>
      </c>
    </row>
    <row r="13" spans="1:4" x14ac:dyDescent="0.3">
      <c r="A13" s="1" t="s">
        <v>403</v>
      </c>
      <c r="B13">
        <v>0.5</v>
      </c>
      <c r="C13">
        <v>0</v>
      </c>
      <c r="D13">
        <v>0</v>
      </c>
    </row>
    <row r="14" spans="1:4" x14ac:dyDescent="0.3">
      <c r="A14" s="1" t="s">
        <v>404</v>
      </c>
      <c r="B14">
        <v>0.5</v>
      </c>
      <c r="C14">
        <v>0</v>
      </c>
      <c r="D14">
        <v>0</v>
      </c>
    </row>
    <row r="15" spans="1:4" x14ac:dyDescent="0.3">
      <c r="A15" s="1" t="s">
        <v>405</v>
      </c>
      <c r="B15">
        <v>0.5</v>
      </c>
      <c r="C15">
        <v>0</v>
      </c>
      <c r="D15">
        <v>0</v>
      </c>
    </row>
    <row r="16" spans="1:4" x14ac:dyDescent="0.3">
      <c r="A16" s="1" t="s">
        <v>291</v>
      </c>
      <c r="B16">
        <v>1</v>
      </c>
      <c r="C16">
        <v>0</v>
      </c>
      <c r="D16">
        <v>0</v>
      </c>
    </row>
    <row r="17" spans="1:4" x14ac:dyDescent="0.3">
      <c r="A17" s="1" t="s">
        <v>343</v>
      </c>
      <c r="B17">
        <v>0.5</v>
      </c>
      <c r="C17">
        <v>0</v>
      </c>
      <c r="D17">
        <v>0</v>
      </c>
    </row>
    <row r="18" spans="1:4" x14ac:dyDescent="0.3">
      <c r="A18" s="1" t="s">
        <v>89</v>
      </c>
      <c r="B18">
        <v>1</v>
      </c>
      <c r="C18">
        <v>1</v>
      </c>
      <c r="D18">
        <v>3</v>
      </c>
    </row>
    <row r="19" spans="1:4" x14ac:dyDescent="0.3">
      <c r="A19" s="1" t="s">
        <v>126</v>
      </c>
      <c r="B19">
        <v>1</v>
      </c>
      <c r="C19">
        <v>0</v>
      </c>
      <c r="D19">
        <v>0</v>
      </c>
    </row>
    <row r="20" spans="1:4" x14ac:dyDescent="0.3">
      <c r="A20" s="1" t="s">
        <v>344</v>
      </c>
      <c r="B20">
        <v>12</v>
      </c>
      <c r="C20">
        <v>8</v>
      </c>
      <c r="D20">
        <v>18</v>
      </c>
    </row>
    <row r="21" spans="1:4" x14ac:dyDescent="0.3">
      <c r="A21" s="1" t="s">
        <v>345</v>
      </c>
      <c r="B21">
        <v>4</v>
      </c>
      <c r="C21">
        <v>8</v>
      </c>
      <c r="D21">
        <v>0</v>
      </c>
    </row>
    <row r="22" spans="1:4" x14ac:dyDescent="0.3">
      <c r="A22" s="1" t="s">
        <v>346</v>
      </c>
      <c r="B22">
        <v>0.5</v>
      </c>
      <c r="C22">
        <v>0</v>
      </c>
      <c r="D22">
        <v>0</v>
      </c>
    </row>
    <row r="23" spans="1:4" x14ac:dyDescent="0.3">
      <c r="A23" s="1" t="s">
        <v>117</v>
      </c>
      <c r="B23">
        <v>0.5</v>
      </c>
      <c r="C23">
        <v>0</v>
      </c>
      <c r="D23">
        <v>0</v>
      </c>
    </row>
    <row r="24" spans="1:4" x14ac:dyDescent="0.3">
      <c r="A24" s="1" t="s">
        <v>406</v>
      </c>
      <c r="B24">
        <v>0.5</v>
      </c>
      <c r="C24">
        <v>0</v>
      </c>
      <c r="D24">
        <v>0</v>
      </c>
    </row>
    <row r="25" spans="1:4" x14ac:dyDescent="0.3">
      <c r="A25" s="1" t="s">
        <v>97</v>
      </c>
      <c r="B25">
        <v>0</v>
      </c>
      <c r="C25">
        <v>2</v>
      </c>
      <c r="D25">
        <v>0</v>
      </c>
    </row>
    <row r="26" spans="1:4" x14ac:dyDescent="0.3">
      <c r="A26" s="1" t="s">
        <v>100</v>
      </c>
      <c r="B26">
        <v>3</v>
      </c>
      <c r="C26">
        <v>4</v>
      </c>
      <c r="D26">
        <v>0</v>
      </c>
    </row>
    <row r="27" spans="1:4" x14ac:dyDescent="0.3">
      <c r="A27" s="1" t="s">
        <v>101</v>
      </c>
      <c r="B27">
        <v>1</v>
      </c>
      <c r="C27">
        <v>2</v>
      </c>
      <c r="D27">
        <v>0</v>
      </c>
    </row>
    <row r="28" spans="1:4" x14ac:dyDescent="0.3">
      <c r="A28" s="1" t="s">
        <v>104</v>
      </c>
      <c r="B28">
        <v>4.5</v>
      </c>
      <c r="C28">
        <v>4</v>
      </c>
      <c r="D28">
        <v>0</v>
      </c>
    </row>
    <row r="29" spans="1:4" x14ac:dyDescent="0.3">
      <c r="A29" s="1" t="s">
        <v>105</v>
      </c>
      <c r="B29">
        <v>3</v>
      </c>
      <c r="C29">
        <v>2.5</v>
      </c>
      <c r="D29">
        <v>0</v>
      </c>
    </row>
    <row r="30" spans="1:4" x14ac:dyDescent="0.3">
      <c r="A30" s="1" t="s">
        <v>407</v>
      </c>
      <c r="B30">
        <v>0.5</v>
      </c>
      <c r="C30">
        <v>1</v>
      </c>
      <c r="D30">
        <v>1</v>
      </c>
    </row>
    <row r="31" spans="1:4" x14ac:dyDescent="0.3">
      <c r="B31" s="3">
        <f t="shared" ref="B31:D31" si="0">SUM(B2:B30)</f>
        <v>76</v>
      </c>
      <c r="C31" s="3">
        <f t="shared" si="0"/>
        <v>59.5</v>
      </c>
      <c r="D31" s="3">
        <f t="shared" si="0"/>
        <v>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workbookViewId="0">
      <selection activeCell="F23" sqref="F23"/>
    </sheetView>
  </sheetViews>
  <sheetFormatPr defaultRowHeight="14.4" x14ac:dyDescent="0.3"/>
  <cols>
    <col min="2" max="2" width="12" bestFit="1" customWidth="1"/>
    <col min="3" max="3" width="12.88671875" bestFit="1" customWidth="1"/>
    <col min="4" max="4" width="10.88671875" bestFit="1" customWidth="1"/>
  </cols>
  <sheetData>
    <row r="1" spans="1:4" x14ac:dyDescent="0.3">
      <c r="A1" s="1" t="s">
        <v>19</v>
      </c>
      <c r="B1" s="1" t="s">
        <v>16</v>
      </c>
      <c r="C1" s="1" t="s">
        <v>17</v>
      </c>
      <c r="D1" s="1" t="s">
        <v>18</v>
      </c>
    </row>
    <row r="2" spans="1:4" x14ac:dyDescent="0.3">
      <c r="A2" s="1" t="s">
        <v>408</v>
      </c>
      <c r="B2">
        <v>27.5</v>
      </c>
      <c r="C2">
        <v>26</v>
      </c>
      <c r="D2">
        <v>24</v>
      </c>
    </row>
    <row r="3" spans="1:4" x14ac:dyDescent="0.3">
      <c r="A3" s="1" t="s">
        <v>409</v>
      </c>
      <c r="B3">
        <v>3</v>
      </c>
      <c r="C3">
        <v>2.5</v>
      </c>
      <c r="D3">
        <v>0</v>
      </c>
    </row>
    <row r="4" spans="1:4" x14ac:dyDescent="0.3">
      <c r="A4" s="1" t="s">
        <v>410</v>
      </c>
      <c r="B4">
        <v>0.5</v>
      </c>
      <c r="C4">
        <v>0</v>
      </c>
      <c r="D4">
        <v>0</v>
      </c>
    </row>
    <row r="5" spans="1:4" x14ac:dyDescent="0.3">
      <c r="A5" s="1" t="s">
        <v>26</v>
      </c>
      <c r="B5">
        <v>0</v>
      </c>
      <c r="C5">
        <v>1</v>
      </c>
      <c r="D5">
        <v>0</v>
      </c>
    </row>
    <row r="6" spans="1:4" x14ac:dyDescent="0.3">
      <c r="A6" s="1" t="s">
        <v>109</v>
      </c>
      <c r="B6">
        <v>1</v>
      </c>
      <c r="C6">
        <v>2</v>
      </c>
      <c r="D6">
        <v>2</v>
      </c>
    </row>
    <row r="7" spans="1:4" x14ac:dyDescent="0.3">
      <c r="A7" s="1" t="s">
        <v>411</v>
      </c>
      <c r="B7">
        <v>1</v>
      </c>
      <c r="C7">
        <v>0</v>
      </c>
      <c r="D7">
        <v>0</v>
      </c>
    </row>
    <row r="8" spans="1:4" x14ac:dyDescent="0.3">
      <c r="A8" s="1" t="s">
        <v>412</v>
      </c>
      <c r="B8">
        <v>22</v>
      </c>
      <c r="C8">
        <v>20</v>
      </c>
      <c r="D8">
        <v>16</v>
      </c>
    </row>
    <row r="9" spans="1:4" x14ac:dyDescent="0.3">
      <c r="A9" s="1" t="s">
        <v>32</v>
      </c>
      <c r="B9">
        <v>11</v>
      </c>
      <c r="C9">
        <v>10</v>
      </c>
      <c r="D9">
        <v>11</v>
      </c>
    </row>
    <row r="10" spans="1:4" x14ac:dyDescent="0.3">
      <c r="A10" s="1" t="s">
        <v>309</v>
      </c>
      <c r="B10">
        <v>0.5</v>
      </c>
      <c r="C10">
        <v>0</v>
      </c>
      <c r="D10">
        <v>0</v>
      </c>
    </row>
    <row r="11" spans="1:4" x14ac:dyDescent="0.3">
      <c r="A11" s="1" t="s">
        <v>401</v>
      </c>
      <c r="B11">
        <v>7.5</v>
      </c>
      <c r="C11">
        <v>0</v>
      </c>
      <c r="D11">
        <v>0</v>
      </c>
    </row>
    <row r="12" spans="1:4" x14ac:dyDescent="0.3">
      <c r="A12" s="1" t="s">
        <v>413</v>
      </c>
      <c r="B12">
        <v>0.5</v>
      </c>
      <c r="C12">
        <v>0</v>
      </c>
      <c r="D12">
        <v>0</v>
      </c>
    </row>
    <row r="13" spans="1:4" x14ac:dyDescent="0.3">
      <c r="A13" s="1" t="s">
        <v>414</v>
      </c>
      <c r="B13">
        <v>53.5</v>
      </c>
      <c r="C13">
        <v>49.5</v>
      </c>
      <c r="D13">
        <v>40</v>
      </c>
    </row>
    <row r="14" spans="1:4" x14ac:dyDescent="0.3">
      <c r="A14" s="1" t="s">
        <v>415</v>
      </c>
      <c r="B14">
        <v>0.5</v>
      </c>
      <c r="C14">
        <v>0</v>
      </c>
      <c r="D14">
        <v>0</v>
      </c>
    </row>
    <row r="15" spans="1:4" x14ac:dyDescent="0.3">
      <c r="A15" s="1" t="s">
        <v>416</v>
      </c>
      <c r="B15">
        <v>0.5</v>
      </c>
      <c r="C15">
        <v>0</v>
      </c>
      <c r="D15">
        <v>0</v>
      </c>
    </row>
    <row r="16" spans="1:4" x14ac:dyDescent="0.3">
      <c r="A16" s="1" t="s">
        <v>89</v>
      </c>
      <c r="B16">
        <v>1</v>
      </c>
      <c r="C16">
        <v>1</v>
      </c>
      <c r="D16">
        <v>3</v>
      </c>
    </row>
    <row r="17" spans="1:4" x14ac:dyDescent="0.3">
      <c r="A17" s="1" t="s">
        <v>126</v>
      </c>
      <c r="B17">
        <v>0.5</v>
      </c>
      <c r="C17">
        <v>0</v>
      </c>
      <c r="D17">
        <v>0</v>
      </c>
    </row>
    <row r="18" spans="1:4" x14ac:dyDescent="0.3">
      <c r="A18" s="1" t="s">
        <v>417</v>
      </c>
      <c r="B18">
        <v>0.5</v>
      </c>
      <c r="C18">
        <v>0</v>
      </c>
      <c r="D18">
        <v>0</v>
      </c>
    </row>
    <row r="19" spans="1:4" x14ac:dyDescent="0.3">
      <c r="A19" s="1" t="s">
        <v>418</v>
      </c>
      <c r="B19">
        <v>1</v>
      </c>
      <c r="C19">
        <v>1</v>
      </c>
      <c r="D19">
        <v>1</v>
      </c>
    </row>
    <row r="20" spans="1:4" x14ac:dyDescent="0.3">
      <c r="A20" s="1" t="s">
        <v>97</v>
      </c>
      <c r="B20">
        <v>0</v>
      </c>
      <c r="C20">
        <v>0</v>
      </c>
      <c r="D20">
        <v>2</v>
      </c>
    </row>
    <row r="21" spans="1:4" x14ac:dyDescent="0.3">
      <c r="A21" s="1" t="s">
        <v>419</v>
      </c>
      <c r="B21">
        <v>1.5</v>
      </c>
      <c r="C21">
        <v>1.5</v>
      </c>
      <c r="D21">
        <v>0</v>
      </c>
    </row>
    <row r="22" spans="1:4" x14ac:dyDescent="0.3">
      <c r="A22" s="1" t="s">
        <v>420</v>
      </c>
      <c r="B22">
        <v>0.5</v>
      </c>
      <c r="C22">
        <v>0.5</v>
      </c>
      <c r="D22">
        <v>0</v>
      </c>
    </row>
    <row r="23" spans="1:4" x14ac:dyDescent="0.3">
      <c r="A23" s="1" t="s">
        <v>104</v>
      </c>
      <c r="B23">
        <v>4.5</v>
      </c>
      <c r="C23">
        <v>4</v>
      </c>
      <c r="D23">
        <v>0</v>
      </c>
    </row>
    <row r="24" spans="1:4" x14ac:dyDescent="0.3">
      <c r="B24" s="3">
        <f t="shared" ref="B24:D24" si="0">SUM(B2:B23)</f>
        <v>138.5</v>
      </c>
      <c r="C24" s="3">
        <f t="shared" si="0"/>
        <v>119</v>
      </c>
      <c r="D24" s="3">
        <f t="shared" si="0"/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Names</vt:lpstr>
      <vt:lpstr>Daily Loads</vt:lpstr>
      <vt:lpstr>Monthly Aggregation</vt:lpstr>
      <vt:lpstr>Andrew</vt:lpstr>
      <vt:lpstr>Azabenathi Pupuma</vt:lpstr>
      <vt:lpstr>Ben Brooker</vt:lpstr>
      <vt:lpstr>Flora Kundaeli</vt:lpstr>
      <vt:lpstr>Mark</vt:lpstr>
      <vt:lpstr>Michael Malia</vt:lpstr>
      <vt:lpstr>Ntsako Mavuyangwa</vt:lpstr>
      <vt:lpstr>Palesa Maboeei</vt:lpstr>
      <vt:lpstr>Riyadh Leonard</vt:lpstr>
      <vt:lpstr>Robin April</vt:lpstr>
      <vt:lpstr>Sandisiwe Manquma</vt:lpstr>
      <vt:lpstr>Suzanne Edlmann</vt:lpstr>
      <vt:lpstr>Thando Calana</vt:lpstr>
      <vt:lpstr>Thembani Faleni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Thando Calana - Slipstream Data – JNR Data Engineer</cp:lastModifiedBy>
  <dcterms:created xsi:type="dcterms:W3CDTF">2026-01-28T11:22:10Z</dcterms:created>
  <dcterms:modified xsi:type="dcterms:W3CDTF">2026-01-28T13:01:28Z</dcterms:modified>
</cp:coreProperties>
</file>