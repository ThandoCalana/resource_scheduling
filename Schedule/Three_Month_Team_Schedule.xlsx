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slipstreamconsulting-my.sharepoint.com/personal/thando_calana_slipstreamdata_co_za/Documents/Documents/Slipstream/resource_scheduling/Schedule/"/>
    </mc:Choice>
  </mc:AlternateContent>
  <xr:revisionPtr revIDLastSave="10" documentId="11_2672DA74A8439117A4044216CA1C8814BF3DF084" xr6:coauthVersionLast="47" xr6:coauthVersionMax="47" xr10:uidLastSave="{65219CDC-D61A-4315-9D43-8D7642846F83}"/>
  <bookViews>
    <workbookView xWindow="-108" yWindow="-108" windowWidth="23256" windowHeight="12456" activeTab="3" xr2:uid="{00000000-000D-0000-FFFF-FFFF00000000}"/>
  </bookViews>
  <sheets>
    <sheet name="Monday 2025-12-01" sheetId="1" r:id="rId1"/>
    <sheet name="Tuesday 2025-12-02" sheetId="2" r:id="rId2"/>
    <sheet name="Wednesday 2025-12-03" sheetId="3" r:id="rId3"/>
    <sheet name="Thursday 2025-12-04" sheetId="4" r:id="rId4"/>
    <sheet name="Friday 2025-12-05" sheetId="5" r:id="rId5"/>
    <sheet name="Saturday 2025-12-06" sheetId="6" r:id="rId6"/>
    <sheet name="Sunday 2025-12-07" sheetId="7" r:id="rId7"/>
    <sheet name="Monday 2025-12-08" sheetId="8" r:id="rId8"/>
    <sheet name="Tuesday 2025-12-09" sheetId="9" r:id="rId9"/>
    <sheet name="Wednesday 2025-12-10" sheetId="10" r:id="rId10"/>
    <sheet name="Thursday 2025-12-11" sheetId="11" r:id="rId11"/>
    <sheet name="Friday 2025-12-12" sheetId="12" r:id="rId12"/>
    <sheet name="Saturday 2025-12-13" sheetId="13" r:id="rId13"/>
    <sheet name="Sunday 2025-12-14" sheetId="14" r:id="rId14"/>
    <sheet name="Monday 2025-12-15" sheetId="15" r:id="rId15"/>
    <sheet name="Tuesday 2025-12-16" sheetId="16" r:id="rId16"/>
    <sheet name="Wednesday 2025-12-17" sheetId="17" r:id="rId17"/>
    <sheet name="Thursday 2025-12-18" sheetId="18" r:id="rId18"/>
    <sheet name="Friday 2025-12-19" sheetId="19" r:id="rId19"/>
    <sheet name="Saturday 2025-12-20" sheetId="20" r:id="rId20"/>
    <sheet name="Sunday 2025-12-21" sheetId="21" r:id="rId21"/>
    <sheet name="Monday 2025-12-22" sheetId="22" r:id="rId22"/>
    <sheet name="Tuesday 2025-12-23" sheetId="23" r:id="rId23"/>
    <sheet name="Wednesday 2025-12-24" sheetId="24" r:id="rId24"/>
    <sheet name="Thursday 2025-12-25" sheetId="25" r:id="rId25"/>
    <sheet name="Friday 2025-12-26" sheetId="26" r:id="rId26"/>
    <sheet name="Saturday 2025-12-27" sheetId="27" r:id="rId27"/>
    <sheet name="Sunday 2025-12-28" sheetId="28" r:id="rId28"/>
    <sheet name="Monday 2025-12-29" sheetId="29" r:id="rId29"/>
    <sheet name="Tuesday 2025-12-30" sheetId="30" r:id="rId30"/>
    <sheet name="Wednesday 2025-12-31" sheetId="31" r:id="rId31"/>
    <sheet name="Thursday 2026-01-01" sheetId="32" r:id="rId32"/>
    <sheet name="Friday 2026-01-02" sheetId="33" r:id="rId33"/>
    <sheet name="Saturday 2026-01-03" sheetId="34" r:id="rId34"/>
    <sheet name="Sunday 2026-01-04" sheetId="35" r:id="rId35"/>
    <sheet name="Monday 2026-01-05" sheetId="36" r:id="rId36"/>
    <sheet name="Tuesday 2026-01-06" sheetId="37" r:id="rId37"/>
    <sheet name="Wednesday 2026-01-07" sheetId="38" r:id="rId38"/>
    <sheet name="Thursday 2026-01-08" sheetId="39" r:id="rId39"/>
    <sheet name="Friday 2026-01-09" sheetId="40" r:id="rId40"/>
    <sheet name="Saturday 2026-01-10" sheetId="41" r:id="rId41"/>
    <sheet name="Sunday 2026-01-11" sheetId="42" r:id="rId42"/>
    <sheet name="Monday 2026-01-12" sheetId="43" r:id="rId43"/>
    <sheet name="Tuesday 2026-01-13" sheetId="44" r:id="rId44"/>
    <sheet name="Wednesday 2026-01-14" sheetId="45" r:id="rId45"/>
    <sheet name="Thursday 2026-01-15" sheetId="46" r:id="rId46"/>
    <sheet name="Friday 2026-01-16" sheetId="47" r:id="rId47"/>
    <sheet name="Saturday 2026-01-17" sheetId="48" r:id="rId48"/>
    <sheet name="Sunday 2026-01-18" sheetId="49" r:id="rId49"/>
    <sheet name="Monday 2026-01-19" sheetId="50" r:id="rId50"/>
    <sheet name="Tuesday 2026-01-20" sheetId="51" r:id="rId51"/>
    <sheet name="Wednesday 2026-01-21" sheetId="52" r:id="rId52"/>
    <sheet name="Thursday 2026-01-22" sheetId="53" r:id="rId53"/>
    <sheet name="Friday 2026-01-23" sheetId="54" r:id="rId54"/>
    <sheet name="Saturday 2026-01-24" sheetId="55" r:id="rId55"/>
    <sheet name="Sunday 2026-01-25" sheetId="56" r:id="rId56"/>
    <sheet name="Monday 2026-01-26" sheetId="57" r:id="rId57"/>
    <sheet name="Tuesday 2026-01-27" sheetId="58" r:id="rId58"/>
    <sheet name="Wednesday 2026-01-28" sheetId="59" r:id="rId59"/>
    <sheet name="Thursday 2026-01-29" sheetId="60" r:id="rId60"/>
    <sheet name="Friday 2026-01-30" sheetId="61" r:id="rId61"/>
    <sheet name="Saturday 2026-01-31" sheetId="62" r:id="rId62"/>
    <sheet name="Sunday 2026-02-01" sheetId="63" r:id="rId63"/>
    <sheet name="Monday 2026-02-02" sheetId="64" r:id="rId64"/>
    <sheet name="Tuesday 2026-02-03" sheetId="65" r:id="rId65"/>
    <sheet name="Wednesday 2026-02-04" sheetId="66" r:id="rId66"/>
    <sheet name="Thursday 2026-02-05" sheetId="67" r:id="rId67"/>
    <sheet name="Friday 2026-02-06" sheetId="68" r:id="rId68"/>
    <sheet name="Saturday 2026-02-07" sheetId="69" r:id="rId69"/>
    <sheet name="Sunday 2026-02-08" sheetId="70" r:id="rId70"/>
    <sheet name="Monday 2026-02-09" sheetId="71" r:id="rId71"/>
    <sheet name="Tuesday 2026-02-10" sheetId="72" r:id="rId72"/>
    <sheet name="Wednesday 2026-02-11" sheetId="73" r:id="rId73"/>
    <sheet name="Thursday 2026-02-12" sheetId="74" r:id="rId74"/>
    <sheet name="Friday 2026-02-13" sheetId="75" r:id="rId75"/>
    <sheet name="Saturday 2026-02-14" sheetId="76" r:id="rId76"/>
    <sheet name="Sunday 2026-02-15" sheetId="77" r:id="rId77"/>
    <sheet name="Monday 2026-02-16" sheetId="78" r:id="rId78"/>
    <sheet name="Tuesday 2026-02-17" sheetId="79" r:id="rId79"/>
    <sheet name="Wednesday 2026-02-18" sheetId="80" r:id="rId80"/>
    <sheet name="Thursday 2026-02-19" sheetId="81" r:id="rId81"/>
    <sheet name="Friday 2026-02-20" sheetId="82" r:id="rId82"/>
    <sheet name="Saturday 2026-02-21" sheetId="83" r:id="rId83"/>
    <sheet name="Sunday 2026-02-22" sheetId="84" r:id="rId84"/>
    <sheet name="Monday 2026-02-23" sheetId="85" r:id="rId85"/>
    <sheet name="Tuesday 2026-02-24" sheetId="86" r:id="rId86"/>
    <sheet name="Wednesday 2026-02-25" sheetId="87" r:id="rId87"/>
    <sheet name="Thursday 2026-02-26" sheetId="88" r:id="rId88"/>
    <sheet name="Friday 2026-02-27" sheetId="89" r:id="rId89"/>
    <sheet name="Saturday 2026-02-28" sheetId="90" r:id="rId90"/>
    <sheet name="Sunday 2026-03-01" sheetId="91" r:id="rId91"/>
    <sheet name="Monday 2026-03-02" sheetId="92" r:id="rId9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" i="92" l="1"/>
  <c r="R67" i="92"/>
  <c r="R66" i="92"/>
  <c r="R65" i="92"/>
  <c r="R64" i="92"/>
  <c r="R63" i="92"/>
  <c r="R62" i="92"/>
  <c r="R61" i="92"/>
  <c r="R60" i="92"/>
  <c r="R59" i="92"/>
  <c r="R58" i="92"/>
  <c r="R57" i="92"/>
  <c r="R56" i="92"/>
  <c r="R55" i="92"/>
  <c r="R54" i="92"/>
  <c r="R53" i="92"/>
  <c r="R52" i="92"/>
  <c r="R51" i="92"/>
  <c r="R50" i="92"/>
  <c r="K50" i="92"/>
  <c r="R49" i="92"/>
  <c r="K49" i="92"/>
  <c r="R48" i="92"/>
  <c r="K48" i="92"/>
  <c r="R47" i="92"/>
  <c r="K47" i="92"/>
  <c r="R46" i="92"/>
  <c r="K46" i="92"/>
  <c r="R45" i="92"/>
  <c r="K45" i="92"/>
  <c r="R44" i="92"/>
  <c r="L44" i="92"/>
  <c r="K44" i="92"/>
  <c r="R43" i="92"/>
  <c r="L43" i="92"/>
  <c r="K43" i="92"/>
  <c r="R42" i="92"/>
  <c r="L42" i="92"/>
  <c r="K42" i="92"/>
  <c r="R41" i="92"/>
  <c r="L41" i="92"/>
  <c r="K41" i="92"/>
  <c r="R40" i="92"/>
  <c r="O40" i="92"/>
  <c r="L40" i="92"/>
  <c r="K40" i="92"/>
  <c r="C40" i="92"/>
  <c r="R39" i="92"/>
  <c r="O39" i="92"/>
  <c r="L39" i="92"/>
  <c r="K39" i="92"/>
  <c r="C39" i="92"/>
  <c r="R38" i="92"/>
  <c r="O38" i="92"/>
  <c r="L38" i="92"/>
  <c r="K38" i="92"/>
  <c r="C38" i="92"/>
  <c r="R37" i="92"/>
  <c r="P37" i="92"/>
  <c r="O37" i="92"/>
  <c r="L37" i="92"/>
  <c r="K37" i="92"/>
  <c r="C37" i="92"/>
  <c r="R36" i="92"/>
  <c r="P36" i="92"/>
  <c r="L36" i="92"/>
  <c r="K36" i="92"/>
  <c r="D36" i="92"/>
  <c r="C36" i="92"/>
  <c r="B36" i="92"/>
  <c r="R35" i="92"/>
  <c r="P35" i="92"/>
  <c r="O35" i="92"/>
  <c r="L35" i="92"/>
  <c r="K35" i="92"/>
  <c r="F35" i="92"/>
  <c r="D35" i="92"/>
  <c r="C35" i="92"/>
  <c r="B35" i="92"/>
  <c r="R34" i="92"/>
  <c r="P34" i="92"/>
  <c r="O34" i="92"/>
  <c r="L34" i="92"/>
  <c r="K34" i="92"/>
  <c r="J34" i="92"/>
  <c r="F34" i="92"/>
  <c r="D34" i="92"/>
  <c r="C34" i="92"/>
  <c r="B34" i="92"/>
  <c r="R33" i="92"/>
  <c r="P33" i="92"/>
  <c r="O33" i="92"/>
  <c r="L33" i="92"/>
  <c r="K33" i="92"/>
  <c r="J33" i="92"/>
  <c r="F33" i="92"/>
  <c r="D33" i="92"/>
  <c r="C33" i="92"/>
  <c r="B33" i="92"/>
  <c r="R32" i="92"/>
  <c r="P32" i="92"/>
  <c r="O32" i="92"/>
  <c r="L32" i="92"/>
  <c r="K32" i="92"/>
  <c r="J32" i="92"/>
  <c r="F32" i="92"/>
  <c r="D32" i="92"/>
  <c r="C32" i="92"/>
  <c r="B32" i="92"/>
  <c r="R31" i="92"/>
  <c r="P31" i="92"/>
  <c r="O31" i="92"/>
  <c r="L31" i="92"/>
  <c r="K31" i="92"/>
  <c r="J31" i="92"/>
  <c r="H31" i="92"/>
  <c r="G31" i="92"/>
  <c r="F31" i="92"/>
  <c r="D31" i="92"/>
  <c r="C31" i="92"/>
  <c r="B31" i="92"/>
  <c r="R30" i="92"/>
  <c r="P30" i="92"/>
  <c r="O30" i="92"/>
  <c r="L30" i="92"/>
  <c r="K30" i="92"/>
  <c r="J30" i="92"/>
  <c r="H30" i="92"/>
  <c r="G30" i="92"/>
  <c r="F30" i="92"/>
  <c r="D30" i="92"/>
  <c r="C30" i="92"/>
  <c r="B30" i="92"/>
  <c r="R29" i="92"/>
  <c r="P29" i="92"/>
  <c r="O29" i="92"/>
  <c r="L29" i="92"/>
  <c r="K29" i="92"/>
  <c r="J29" i="92"/>
  <c r="I29" i="92"/>
  <c r="H29" i="92"/>
  <c r="G29" i="92"/>
  <c r="F29" i="92"/>
  <c r="D29" i="92"/>
  <c r="C29" i="92"/>
  <c r="B29" i="92"/>
  <c r="R28" i="92"/>
  <c r="P28" i="92"/>
  <c r="O28" i="92"/>
  <c r="L28" i="92"/>
  <c r="K28" i="92"/>
  <c r="J28" i="92"/>
  <c r="I28" i="92"/>
  <c r="H28" i="92"/>
  <c r="G28" i="92"/>
  <c r="F28" i="92"/>
  <c r="D28" i="92"/>
  <c r="C28" i="92"/>
  <c r="B28" i="92"/>
  <c r="Q24" i="92"/>
  <c r="P24" i="92"/>
  <c r="O24" i="92"/>
  <c r="N24" i="92"/>
  <c r="M24" i="92"/>
  <c r="L24" i="92"/>
  <c r="K24" i="92"/>
  <c r="J24" i="92"/>
  <c r="I24" i="92"/>
  <c r="H24" i="92"/>
  <c r="G24" i="92"/>
  <c r="F24" i="92"/>
  <c r="E24" i="92"/>
  <c r="D24" i="92"/>
  <c r="C24" i="92"/>
  <c r="B24" i="92"/>
  <c r="R68" i="91"/>
  <c r="R67" i="91"/>
  <c r="R66" i="91"/>
  <c r="R65" i="91"/>
  <c r="R64" i="91"/>
  <c r="R63" i="91"/>
  <c r="R62" i="91"/>
  <c r="R61" i="91"/>
  <c r="R60" i="91"/>
  <c r="R59" i="91"/>
  <c r="R58" i="91"/>
  <c r="R57" i="91"/>
  <c r="R56" i="91"/>
  <c r="R55" i="91"/>
  <c r="R54" i="91"/>
  <c r="R53" i="91"/>
  <c r="R52" i="91"/>
  <c r="R51" i="91"/>
  <c r="R50" i="91"/>
  <c r="K50" i="91"/>
  <c r="R49" i="91"/>
  <c r="K49" i="91"/>
  <c r="R48" i="91"/>
  <c r="K48" i="91"/>
  <c r="R47" i="91"/>
  <c r="K47" i="91"/>
  <c r="R46" i="91"/>
  <c r="K46" i="91"/>
  <c r="R45" i="91"/>
  <c r="K45" i="91"/>
  <c r="R44" i="91"/>
  <c r="L44" i="91"/>
  <c r="K44" i="91"/>
  <c r="R43" i="91"/>
  <c r="L43" i="91"/>
  <c r="K43" i="91"/>
  <c r="R42" i="91"/>
  <c r="L42" i="91"/>
  <c r="K42" i="91"/>
  <c r="R41" i="91"/>
  <c r="L41" i="91"/>
  <c r="K41" i="91"/>
  <c r="R40" i="91"/>
  <c r="O40" i="91"/>
  <c r="L40" i="91"/>
  <c r="K40" i="91"/>
  <c r="C40" i="91"/>
  <c r="R39" i="91"/>
  <c r="O39" i="91"/>
  <c r="L39" i="91"/>
  <c r="K39" i="91"/>
  <c r="C39" i="91"/>
  <c r="R38" i="91"/>
  <c r="O38" i="91"/>
  <c r="L38" i="91"/>
  <c r="K38" i="91"/>
  <c r="C38" i="91"/>
  <c r="R37" i="91"/>
  <c r="P37" i="91"/>
  <c r="O37" i="91"/>
  <c r="L37" i="91"/>
  <c r="K37" i="91"/>
  <c r="C37" i="91"/>
  <c r="R36" i="91"/>
  <c r="P36" i="91"/>
  <c r="L36" i="91"/>
  <c r="K36" i="91"/>
  <c r="D36" i="91"/>
  <c r="C36" i="91"/>
  <c r="B36" i="91"/>
  <c r="R35" i="91"/>
  <c r="P35" i="91"/>
  <c r="O35" i="91"/>
  <c r="L35" i="91"/>
  <c r="K35" i="91"/>
  <c r="F35" i="91"/>
  <c r="D35" i="91"/>
  <c r="C35" i="91"/>
  <c r="B35" i="91"/>
  <c r="R34" i="91"/>
  <c r="P34" i="91"/>
  <c r="O34" i="91"/>
  <c r="L34" i="91"/>
  <c r="K34" i="91"/>
  <c r="J34" i="91"/>
  <c r="F34" i="91"/>
  <c r="D34" i="91"/>
  <c r="C34" i="91"/>
  <c r="B34" i="91"/>
  <c r="R33" i="91"/>
  <c r="P33" i="91"/>
  <c r="O33" i="91"/>
  <c r="L33" i="91"/>
  <c r="K33" i="91"/>
  <c r="J33" i="91"/>
  <c r="F33" i="91"/>
  <c r="D33" i="91"/>
  <c r="C33" i="91"/>
  <c r="B33" i="91"/>
  <c r="R32" i="91"/>
  <c r="P32" i="91"/>
  <c r="O32" i="91"/>
  <c r="L32" i="91"/>
  <c r="K32" i="91"/>
  <c r="J32" i="91"/>
  <c r="F32" i="91"/>
  <c r="D32" i="91"/>
  <c r="C32" i="91"/>
  <c r="B32" i="91"/>
  <c r="R31" i="91"/>
  <c r="P31" i="91"/>
  <c r="O31" i="91"/>
  <c r="L31" i="91"/>
  <c r="K31" i="91"/>
  <c r="J31" i="91"/>
  <c r="H31" i="91"/>
  <c r="G31" i="91"/>
  <c r="F31" i="91"/>
  <c r="D31" i="91"/>
  <c r="C31" i="91"/>
  <c r="B31" i="91"/>
  <c r="R30" i="91"/>
  <c r="P30" i="91"/>
  <c r="O30" i="91"/>
  <c r="L30" i="91"/>
  <c r="K30" i="91"/>
  <c r="J30" i="91"/>
  <c r="H30" i="91"/>
  <c r="G30" i="91"/>
  <c r="F30" i="91"/>
  <c r="D30" i="91"/>
  <c r="C30" i="91"/>
  <c r="B30" i="91"/>
  <c r="R29" i="91"/>
  <c r="P29" i="91"/>
  <c r="O29" i="91"/>
  <c r="L29" i="91"/>
  <c r="K29" i="91"/>
  <c r="J29" i="91"/>
  <c r="I29" i="91"/>
  <c r="H29" i="91"/>
  <c r="G29" i="91"/>
  <c r="F29" i="91"/>
  <c r="D29" i="91"/>
  <c r="C29" i="91"/>
  <c r="B29" i="91"/>
  <c r="R28" i="91"/>
  <c r="P28" i="91"/>
  <c r="O28" i="91"/>
  <c r="L28" i="91"/>
  <c r="K28" i="91"/>
  <c r="J28" i="91"/>
  <c r="I28" i="91"/>
  <c r="H28" i="91"/>
  <c r="G28" i="91"/>
  <c r="F28" i="91"/>
  <c r="D28" i="91"/>
  <c r="C28" i="91"/>
  <c r="B28" i="91"/>
  <c r="Q24" i="91"/>
  <c r="P24" i="91"/>
  <c r="O24" i="91"/>
  <c r="N24" i="91"/>
  <c r="M24" i="91"/>
  <c r="L24" i="91"/>
  <c r="K24" i="91"/>
  <c r="J24" i="91"/>
  <c r="I24" i="91"/>
  <c r="H24" i="91"/>
  <c r="G24" i="91"/>
  <c r="F24" i="91"/>
  <c r="E24" i="91"/>
  <c r="D24" i="91"/>
  <c r="C24" i="91"/>
  <c r="B24" i="91"/>
  <c r="R68" i="90"/>
  <c r="R67" i="90"/>
  <c r="R66" i="90"/>
  <c r="R65" i="90"/>
  <c r="R64" i="90"/>
  <c r="R63" i="90"/>
  <c r="R62" i="90"/>
  <c r="R61" i="90"/>
  <c r="R60" i="90"/>
  <c r="R59" i="90"/>
  <c r="R58" i="90"/>
  <c r="R57" i="90"/>
  <c r="R56" i="90"/>
  <c r="R55" i="90"/>
  <c r="R54" i="90"/>
  <c r="R53" i="90"/>
  <c r="R52" i="90"/>
  <c r="R51" i="90"/>
  <c r="R50" i="90"/>
  <c r="K50" i="90"/>
  <c r="R49" i="90"/>
  <c r="K49" i="90"/>
  <c r="R48" i="90"/>
  <c r="K48" i="90"/>
  <c r="R47" i="90"/>
  <c r="K47" i="90"/>
  <c r="R46" i="90"/>
  <c r="K46" i="90"/>
  <c r="R45" i="90"/>
  <c r="K45" i="90"/>
  <c r="R44" i="90"/>
  <c r="L44" i="90"/>
  <c r="K44" i="90"/>
  <c r="R43" i="90"/>
  <c r="L43" i="90"/>
  <c r="K43" i="90"/>
  <c r="R42" i="90"/>
  <c r="L42" i="90"/>
  <c r="K42" i="90"/>
  <c r="R41" i="90"/>
  <c r="L41" i="90"/>
  <c r="K41" i="90"/>
  <c r="R40" i="90"/>
  <c r="O40" i="90"/>
  <c r="L40" i="90"/>
  <c r="K40" i="90"/>
  <c r="C40" i="90"/>
  <c r="R39" i="90"/>
  <c r="O39" i="90"/>
  <c r="L39" i="90"/>
  <c r="K39" i="90"/>
  <c r="C39" i="90"/>
  <c r="R38" i="90"/>
  <c r="O38" i="90"/>
  <c r="L38" i="90"/>
  <c r="K38" i="90"/>
  <c r="C38" i="90"/>
  <c r="R37" i="90"/>
  <c r="P37" i="90"/>
  <c r="O37" i="90"/>
  <c r="L37" i="90"/>
  <c r="K37" i="90"/>
  <c r="C37" i="90"/>
  <c r="R36" i="90"/>
  <c r="P36" i="90"/>
  <c r="L36" i="90"/>
  <c r="K36" i="90"/>
  <c r="D36" i="90"/>
  <c r="C36" i="90"/>
  <c r="B36" i="90"/>
  <c r="R35" i="90"/>
  <c r="P35" i="90"/>
  <c r="O35" i="90"/>
  <c r="L35" i="90"/>
  <c r="K35" i="90"/>
  <c r="F35" i="90"/>
  <c r="D35" i="90"/>
  <c r="C35" i="90"/>
  <c r="B35" i="90"/>
  <c r="R34" i="90"/>
  <c r="P34" i="90"/>
  <c r="O34" i="90"/>
  <c r="L34" i="90"/>
  <c r="K34" i="90"/>
  <c r="J34" i="90"/>
  <c r="F34" i="90"/>
  <c r="D34" i="90"/>
  <c r="C34" i="90"/>
  <c r="B34" i="90"/>
  <c r="R33" i="90"/>
  <c r="P33" i="90"/>
  <c r="O33" i="90"/>
  <c r="L33" i="90"/>
  <c r="K33" i="90"/>
  <c r="J33" i="90"/>
  <c r="F33" i="90"/>
  <c r="D33" i="90"/>
  <c r="C33" i="90"/>
  <c r="B33" i="90"/>
  <c r="R32" i="90"/>
  <c r="P32" i="90"/>
  <c r="O32" i="90"/>
  <c r="L32" i="90"/>
  <c r="K32" i="90"/>
  <c r="J32" i="90"/>
  <c r="F32" i="90"/>
  <c r="D32" i="90"/>
  <c r="C32" i="90"/>
  <c r="B32" i="90"/>
  <c r="R31" i="90"/>
  <c r="P31" i="90"/>
  <c r="O31" i="90"/>
  <c r="L31" i="90"/>
  <c r="K31" i="90"/>
  <c r="J31" i="90"/>
  <c r="H31" i="90"/>
  <c r="G31" i="90"/>
  <c r="F31" i="90"/>
  <c r="D31" i="90"/>
  <c r="C31" i="90"/>
  <c r="B31" i="90"/>
  <c r="R30" i="90"/>
  <c r="P30" i="90"/>
  <c r="O30" i="90"/>
  <c r="L30" i="90"/>
  <c r="K30" i="90"/>
  <c r="J30" i="90"/>
  <c r="H30" i="90"/>
  <c r="G30" i="90"/>
  <c r="F30" i="90"/>
  <c r="D30" i="90"/>
  <c r="C30" i="90"/>
  <c r="B30" i="90"/>
  <c r="R29" i="90"/>
  <c r="P29" i="90"/>
  <c r="O29" i="90"/>
  <c r="L29" i="90"/>
  <c r="K29" i="90"/>
  <c r="J29" i="90"/>
  <c r="I29" i="90"/>
  <c r="H29" i="90"/>
  <c r="G29" i="90"/>
  <c r="F29" i="90"/>
  <c r="D29" i="90"/>
  <c r="C29" i="90"/>
  <c r="B29" i="90"/>
  <c r="R28" i="90"/>
  <c r="P28" i="90"/>
  <c r="O28" i="90"/>
  <c r="L28" i="90"/>
  <c r="K28" i="90"/>
  <c r="J28" i="90"/>
  <c r="I28" i="90"/>
  <c r="H28" i="90"/>
  <c r="G28" i="90"/>
  <c r="F28" i="90"/>
  <c r="D28" i="90"/>
  <c r="C28" i="90"/>
  <c r="B28" i="90"/>
  <c r="Q24" i="90"/>
  <c r="P24" i="90"/>
  <c r="O24" i="90"/>
  <c r="N24" i="90"/>
  <c r="M24" i="90"/>
  <c r="L24" i="90"/>
  <c r="K24" i="90"/>
  <c r="J24" i="90"/>
  <c r="I24" i="90"/>
  <c r="H24" i="90"/>
  <c r="G24" i="90"/>
  <c r="F24" i="90"/>
  <c r="E24" i="90"/>
  <c r="D24" i="90"/>
  <c r="C24" i="90"/>
  <c r="B24" i="90"/>
  <c r="R68" i="89"/>
  <c r="R67" i="89"/>
  <c r="R66" i="89"/>
  <c r="R65" i="89"/>
  <c r="R64" i="89"/>
  <c r="R63" i="89"/>
  <c r="R62" i="89"/>
  <c r="R61" i="89"/>
  <c r="R60" i="89"/>
  <c r="R59" i="89"/>
  <c r="R58" i="89"/>
  <c r="R57" i="89"/>
  <c r="R56" i="89"/>
  <c r="R55" i="89"/>
  <c r="R54" i="89"/>
  <c r="R53" i="89"/>
  <c r="R52" i="89"/>
  <c r="R51" i="89"/>
  <c r="R50" i="89"/>
  <c r="K50" i="89"/>
  <c r="R49" i="89"/>
  <c r="K49" i="89"/>
  <c r="R48" i="89"/>
  <c r="K48" i="89"/>
  <c r="R47" i="89"/>
  <c r="K47" i="89"/>
  <c r="R46" i="89"/>
  <c r="K46" i="89"/>
  <c r="R45" i="89"/>
  <c r="K45" i="89"/>
  <c r="R44" i="89"/>
  <c r="L44" i="89"/>
  <c r="K44" i="89"/>
  <c r="R43" i="89"/>
  <c r="L43" i="89"/>
  <c r="K43" i="89"/>
  <c r="R42" i="89"/>
  <c r="L42" i="89"/>
  <c r="K42" i="89"/>
  <c r="R41" i="89"/>
  <c r="L41" i="89"/>
  <c r="K41" i="89"/>
  <c r="R40" i="89"/>
  <c r="O40" i="89"/>
  <c r="L40" i="89"/>
  <c r="K40" i="89"/>
  <c r="C40" i="89"/>
  <c r="R39" i="89"/>
  <c r="O39" i="89"/>
  <c r="L39" i="89"/>
  <c r="K39" i="89"/>
  <c r="C39" i="89"/>
  <c r="R38" i="89"/>
  <c r="O38" i="89"/>
  <c r="L38" i="89"/>
  <c r="K38" i="89"/>
  <c r="C38" i="89"/>
  <c r="R37" i="89"/>
  <c r="P37" i="89"/>
  <c r="O37" i="89"/>
  <c r="L37" i="89"/>
  <c r="K37" i="89"/>
  <c r="C37" i="89"/>
  <c r="R36" i="89"/>
  <c r="P36" i="89"/>
  <c r="L36" i="89"/>
  <c r="K36" i="89"/>
  <c r="D36" i="89"/>
  <c r="C36" i="89"/>
  <c r="B36" i="89"/>
  <c r="R35" i="89"/>
  <c r="P35" i="89"/>
  <c r="O35" i="89"/>
  <c r="L35" i="89"/>
  <c r="K35" i="89"/>
  <c r="F35" i="89"/>
  <c r="D35" i="89"/>
  <c r="C35" i="89"/>
  <c r="B35" i="89"/>
  <c r="R34" i="89"/>
  <c r="P34" i="89"/>
  <c r="O34" i="89"/>
  <c r="L34" i="89"/>
  <c r="K34" i="89"/>
  <c r="J34" i="89"/>
  <c r="F34" i="89"/>
  <c r="D34" i="89"/>
  <c r="C34" i="89"/>
  <c r="B34" i="89"/>
  <c r="R33" i="89"/>
  <c r="P33" i="89"/>
  <c r="O33" i="89"/>
  <c r="L33" i="89"/>
  <c r="K33" i="89"/>
  <c r="J33" i="89"/>
  <c r="F33" i="89"/>
  <c r="D33" i="89"/>
  <c r="C33" i="89"/>
  <c r="B33" i="89"/>
  <c r="R32" i="89"/>
  <c r="P32" i="89"/>
  <c r="O32" i="89"/>
  <c r="L32" i="89"/>
  <c r="K32" i="89"/>
  <c r="J32" i="89"/>
  <c r="F32" i="89"/>
  <c r="D32" i="89"/>
  <c r="C32" i="89"/>
  <c r="B32" i="89"/>
  <c r="R31" i="89"/>
  <c r="P31" i="89"/>
  <c r="O31" i="89"/>
  <c r="L31" i="89"/>
  <c r="K31" i="89"/>
  <c r="J31" i="89"/>
  <c r="H31" i="89"/>
  <c r="G31" i="89"/>
  <c r="F31" i="89"/>
  <c r="D31" i="89"/>
  <c r="C31" i="89"/>
  <c r="B31" i="89"/>
  <c r="R30" i="89"/>
  <c r="P30" i="89"/>
  <c r="O30" i="89"/>
  <c r="L30" i="89"/>
  <c r="K30" i="89"/>
  <c r="J30" i="89"/>
  <c r="H30" i="89"/>
  <c r="G30" i="89"/>
  <c r="F30" i="89"/>
  <c r="D30" i="89"/>
  <c r="C30" i="89"/>
  <c r="B30" i="89"/>
  <c r="R29" i="89"/>
  <c r="P29" i="89"/>
  <c r="O29" i="89"/>
  <c r="L29" i="89"/>
  <c r="K29" i="89"/>
  <c r="J29" i="89"/>
  <c r="I29" i="89"/>
  <c r="H29" i="89"/>
  <c r="G29" i="89"/>
  <c r="F29" i="89"/>
  <c r="D29" i="89"/>
  <c r="C29" i="89"/>
  <c r="B29" i="89"/>
  <c r="R28" i="89"/>
  <c r="P28" i="89"/>
  <c r="O28" i="89"/>
  <c r="L28" i="89"/>
  <c r="K28" i="89"/>
  <c r="J28" i="89"/>
  <c r="I28" i="89"/>
  <c r="H28" i="89"/>
  <c r="G28" i="89"/>
  <c r="F28" i="89"/>
  <c r="D28" i="89"/>
  <c r="C28" i="89"/>
  <c r="B28" i="89"/>
  <c r="Q24" i="89"/>
  <c r="P24" i="89"/>
  <c r="O24" i="89"/>
  <c r="N24" i="89"/>
  <c r="M24" i="89"/>
  <c r="L24" i="89"/>
  <c r="K24" i="89"/>
  <c r="J24" i="89"/>
  <c r="I24" i="89"/>
  <c r="H24" i="89"/>
  <c r="G24" i="89"/>
  <c r="F24" i="89"/>
  <c r="E24" i="89"/>
  <c r="D24" i="89"/>
  <c r="C24" i="89"/>
  <c r="B24" i="89"/>
  <c r="R68" i="88"/>
  <c r="R67" i="88"/>
  <c r="R66" i="88"/>
  <c r="R65" i="88"/>
  <c r="R64" i="88"/>
  <c r="R63" i="88"/>
  <c r="R62" i="88"/>
  <c r="R61" i="88"/>
  <c r="R60" i="88"/>
  <c r="R59" i="88"/>
  <c r="R58" i="88"/>
  <c r="R57" i="88"/>
  <c r="R56" i="88"/>
  <c r="R55" i="88"/>
  <c r="R54" i="88"/>
  <c r="R53" i="88"/>
  <c r="R52" i="88"/>
  <c r="R51" i="88"/>
  <c r="R50" i="88"/>
  <c r="K50" i="88"/>
  <c r="R49" i="88"/>
  <c r="K49" i="88"/>
  <c r="R48" i="88"/>
  <c r="K48" i="88"/>
  <c r="R47" i="88"/>
  <c r="K47" i="88"/>
  <c r="R46" i="88"/>
  <c r="K46" i="88"/>
  <c r="R45" i="88"/>
  <c r="K45" i="88"/>
  <c r="R44" i="88"/>
  <c r="L44" i="88"/>
  <c r="K44" i="88"/>
  <c r="R43" i="88"/>
  <c r="L43" i="88"/>
  <c r="K43" i="88"/>
  <c r="R42" i="88"/>
  <c r="L42" i="88"/>
  <c r="K42" i="88"/>
  <c r="R41" i="88"/>
  <c r="L41" i="88"/>
  <c r="K41" i="88"/>
  <c r="R40" i="88"/>
  <c r="O40" i="88"/>
  <c r="L40" i="88"/>
  <c r="K40" i="88"/>
  <c r="C40" i="88"/>
  <c r="R39" i="88"/>
  <c r="O39" i="88"/>
  <c r="L39" i="88"/>
  <c r="K39" i="88"/>
  <c r="C39" i="88"/>
  <c r="R38" i="88"/>
  <c r="O38" i="88"/>
  <c r="L38" i="88"/>
  <c r="K38" i="88"/>
  <c r="C38" i="88"/>
  <c r="R37" i="88"/>
  <c r="P37" i="88"/>
  <c r="O37" i="88"/>
  <c r="L37" i="88"/>
  <c r="K37" i="88"/>
  <c r="C37" i="88"/>
  <c r="R36" i="88"/>
  <c r="P36" i="88"/>
  <c r="L36" i="88"/>
  <c r="K36" i="88"/>
  <c r="D36" i="88"/>
  <c r="C36" i="88"/>
  <c r="B36" i="88"/>
  <c r="R35" i="88"/>
  <c r="P35" i="88"/>
  <c r="O35" i="88"/>
  <c r="L35" i="88"/>
  <c r="K35" i="88"/>
  <c r="F35" i="88"/>
  <c r="D35" i="88"/>
  <c r="C35" i="88"/>
  <c r="B35" i="88"/>
  <c r="R34" i="88"/>
  <c r="P34" i="88"/>
  <c r="O34" i="88"/>
  <c r="L34" i="88"/>
  <c r="K34" i="88"/>
  <c r="J34" i="88"/>
  <c r="F34" i="88"/>
  <c r="D34" i="88"/>
  <c r="C34" i="88"/>
  <c r="B34" i="88"/>
  <c r="R33" i="88"/>
  <c r="P33" i="88"/>
  <c r="O33" i="88"/>
  <c r="L33" i="88"/>
  <c r="K33" i="88"/>
  <c r="J33" i="88"/>
  <c r="F33" i="88"/>
  <c r="D33" i="88"/>
  <c r="C33" i="88"/>
  <c r="B33" i="88"/>
  <c r="R32" i="88"/>
  <c r="P32" i="88"/>
  <c r="O32" i="88"/>
  <c r="L32" i="88"/>
  <c r="K32" i="88"/>
  <c r="J32" i="88"/>
  <c r="F32" i="88"/>
  <c r="D32" i="88"/>
  <c r="C32" i="88"/>
  <c r="B32" i="88"/>
  <c r="R31" i="88"/>
  <c r="P31" i="88"/>
  <c r="O31" i="88"/>
  <c r="L31" i="88"/>
  <c r="K31" i="88"/>
  <c r="J31" i="88"/>
  <c r="H31" i="88"/>
  <c r="G31" i="88"/>
  <c r="F31" i="88"/>
  <c r="D31" i="88"/>
  <c r="C31" i="88"/>
  <c r="B31" i="88"/>
  <c r="R30" i="88"/>
  <c r="P30" i="88"/>
  <c r="O30" i="88"/>
  <c r="L30" i="88"/>
  <c r="K30" i="88"/>
  <c r="J30" i="88"/>
  <c r="H30" i="88"/>
  <c r="G30" i="88"/>
  <c r="F30" i="88"/>
  <c r="D30" i="88"/>
  <c r="C30" i="88"/>
  <c r="B30" i="88"/>
  <c r="R29" i="88"/>
  <c r="P29" i="88"/>
  <c r="O29" i="88"/>
  <c r="L29" i="88"/>
  <c r="K29" i="88"/>
  <c r="J29" i="88"/>
  <c r="I29" i="88"/>
  <c r="H29" i="88"/>
  <c r="G29" i="88"/>
  <c r="F29" i="88"/>
  <c r="D29" i="88"/>
  <c r="C29" i="88"/>
  <c r="B29" i="88"/>
  <c r="R28" i="88"/>
  <c r="P28" i="88"/>
  <c r="O28" i="88"/>
  <c r="L28" i="88"/>
  <c r="K28" i="88"/>
  <c r="J28" i="88"/>
  <c r="I28" i="88"/>
  <c r="H28" i="88"/>
  <c r="G28" i="88"/>
  <c r="F28" i="88"/>
  <c r="D28" i="88"/>
  <c r="C28" i="88"/>
  <c r="B28" i="88"/>
  <c r="Q24" i="88"/>
  <c r="P24" i="88"/>
  <c r="O24" i="88"/>
  <c r="N24" i="88"/>
  <c r="M24" i="88"/>
  <c r="L24" i="88"/>
  <c r="K24" i="88"/>
  <c r="J24" i="88"/>
  <c r="I24" i="88"/>
  <c r="H24" i="88"/>
  <c r="G24" i="88"/>
  <c r="F24" i="88"/>
  <c r="E24" i="88"/>
  <c r="D24" i="88"/>
  <c r="C24" i="88"/>
  <c r="B24" i="88"/>
  <c r="R68" i="87"/>
  <c r="R67" i="87"/>
  <c r="R66" i="87"/>
  <c r="R65" i="87"/>
  <c r="R64" i="87"/>
  <c r="R63" i="87"/>
  <c r="R62" i="87"/>
  <c r="R61" i="87"/>
  <c r="R60" i="87"/>
  <c r="R59" i="87"/>
  <c r="R58" i="87"/>
  <c r="R57" i="87"/>
  <c r="R56" i="87"/>
  <c r="R55" i="87"/>
  <c r="R54" i="87"/>
  <c r="R53" i="87"/>
  <c r="R52" i="87"/>
  <c r="R51" i="87"/>
  <c r="R50" i="87"/>
  <c r="K50" i="87"/>
  <c r="R49" i="87"/>
  <c r="K49" i="87"/>
  <c r="R48" i="87"/>
  <c r="K48" i="87"/>
  <c r="R47" i="87"/>
  <c r="K47" i="87"/>
  <c r="R46" i="87"/>
  <c r="K46" i="87"/>
  <c r="R45" i="87"/>
  <c r="K45" i="87"/>
  <c r="R44" i="87"/>
  <c r="L44" i="87"/>
  <c r="K44" i="87"/>
  <c r="R43" i="87"/>
  <c r="L43" i="87"/>
  <c r="K43" i="87"/>
  <c r="R42" i="87"/>
  <c r="L42" i="87"/>
  <c r="K42" i="87"/>
  <c r="R41" i="87"/>
  <c r="L41" i="87"/>
  <c r="K41" i="87"/>
  <c r="R40" i="87"/>
  <c r="O40" i="87"/>
  <c r="L40" i="87"/>
  <c r="K40" i="87"/>
  <c r="C40" i="87"/>
  <c r="R39" i="87"/>
  <c r="O39" i="87"/>
  <c r="L39" i="87"/>
  <c r="K39" i="87"/>
  <c r="C39" i="87"/>
  <c r="R38" i="87"/>
  <c r="O38" i="87"/>
  <c r="L38" i="87"/>
  <c r="K38" i="87"/>
  <c r="C38" i="87"/>
  <c r="R37" i="87"/>
  <c r="P37" i="87"/>
  <c r="O37" i="87"/>
  <c r="L37" i="87"/>
  <c r="K37" i="87"/>
  <c r="C37" i="87"/>
  <c r="R36" i="87"/>
  <c r="P36" i="87"/>
  <c r="L36" i="87"/>
  <c r="K36" i="87"/>
  <c r="D36" i="87"/>
  <c r="C36" i="87"/>
  <c r="B36" i="87"/>
  <c r="R35" i="87"/>
  <c r="P35" i="87"/>
  <c r="O35" i="87"/>
  <c r="L35" i="87"/>
  <c r="K35" i="87"/>
  <c r="F35" i="87"/>
  <c r="D35" i="87"/>
  <c r="C35" i="87"/>
  <c r="B35" i="87"/>
  <c r="R34" i="87"/>
  <c r="P34" i="87"/>
  <c r="O34" i="87"/>
  <c r="L34" i="87"/>
  <c r="K34" i="87"/>
  <c r="J34" i="87"/>
  <c r="F34" i="87"/>
  <c r="D34" i="87"/>
  <c r="C34" i="87"/>
  <c r="B34" i="87"/>
  <c r="R33" i="87"/>
  <c r="P33" i="87"/>
  <c r="O33" i="87"/>
  <c r="L33" i="87"/>
  <c r="K33" i="87"/>
  <c r="J33" i="87"/>
  <c r="F33" i="87"/>
  <c r="D33" i="87"/>
  <c r="C33" i="87"/>
  <c r="B33" i="87"/>
  <c r="R32" i="87"/>
  <c r="P32" i="87"/>
  <c r="O32" i="87"/>
  <c r="L32" i="87"/>
  <c r="K32" i="87"/>
  <c r="J32" i="87"/>
  <c r="F32" i="87"/>
  <c r="D32" i="87"/>
  <c r="C32" i="87"/>
  <c r="B32" i="87"/>
  <c r="R31" i="87"/>
  <c r="P31" i="87"/>
  <c r="O31" i="87"/>
  <c r="L31" i="87"/>
  <c r="K31" i="87"/>
  <c r="J31" i="87"/>
  <c r="H31" i="87"/>
  <c r="G31" i="87"/>
  <c r="F31" i="87"/>
  <c r="D31" i="87"/>
  <c r="C31" i="87"/>
  <c r="B31" i="87"/>
  <c r="R30" i="87"/>
  <c r="P30" i="87"/>
  <c r="O30" i="87"/>
  <c r="L30" i="87"/>
  <c r="K30" i="87"/>
  <c r="J30" i="87"/>
  <c r="H30" i="87"/>
  <c r="G30" i="87"/>
  <c r="F30" i="87"/>
  <c r="D30" i="87"/>
  <c r="C30" i="87"/>
  <c r="B30" i="87"/>
  <c r="R29" i="87"/>
  <c r="P29" i="87"/>
  <c r="O29" i="87"/>
  <c r="L29" i="87"/>
  <c r="K29" i="87"/>
  <c r="J29" i="87"/>
  <c r="I29" i="87"/>
  <c r="H29" i="87"/>
  <c r="G29" i="87"/>
  <c r="F29" i="87"/>
  <c r="D29" i="87"/>
  <c r="C29" i="87"/>
  <c r="B29" i="87"/>
  <c r="R28" i="87"/>
  <c r="P28" i="87"/>
  <c r="O28" i="87"/>
  <c r="L28" i="87"/>
  <c r="K28" i="87"/>
  <c r="J28" i="87"/>
  <c r="I28" i="87"/>
  <c r="H28" i="87"/>
  <c r="G28" i="87"/>
  <c r="F28" i="87"/>
  <c r="D28" i="87"/>
  <c r="C28" i="87"/>
  <c r="B28" i="87"/>
  <c r="Q24" i="87"/>
  <c r="P24" i="87"/>
  <c r="O24" i="87"/>
  <c r="N24" i="87"/>
  <c r="M24" i="87"/>
  <c r="L24" i="87"/>
  <c r="K24" i="87"/>
  <c r="J24" i="87"/>
  <c r="I24" i="87"/>
  <c r="H24" i="87"/>
  <c r="G24" i="87"/>
  <c r="F24" i="87"/>
  <c r="E24" i="87"/>
  <c r="D24" i="87"/>
  <c r="C24" i="87"/>
  <c r="B24" i="87"/>
  <c r="R68" i="86"/>
  <c r="R67" i="86"/>
  <c r="R66" i="86"/>
  <c r="R65" i="86"/>
  <c r="R64" i="86"/>
  <c r="R63" i="86"/>
  <c r="R62" i="86"/>
  <c r="R61" i="86"/>
  <c r="R60" i="86"/>
  <c r="R59" i="86"/>
  <c r="R58" i="86"/>
  <c r="R57" i="86"/>
  <c r="R56" i="86"/>
  <c r="R55" i="86"/>
  <c r="R54" i="86"/>
  <c r="R53" i="86"/>
  <c r="R52" i="86"/>
  <c r="R51" i="86"/>
  <c r="R50" i="86"/>
  <c r="K50" i="86"/>
  <c r="R49" i="86"/>
  <c r="K49" i="86"/>
  <c r="R48" i="86"/>
  <c r="K48" i="86"/>
  <c r="R47" i="86"/>
  <c r="K47" i="86"/>
  <c r="R46" i="86"/>
  <c r="K46" i="86"/>
  <c r="R45" i="86"/>
  <c r="K45" i="86"/>
  <c r="R44" i="86"/>
  <c r="L44" i="86"/>
  <c r="K44" i="86"/>
  <c r="R43" i="86"/>
  <c r="L43" i="86"/>
  <c r="K43" i="86"/>
  <c r="R42" i="86"/>
  <c r="L42" i="86"/>
  <c r="K42" i="86"/>
  <c r="R41" i="86"/>
  <c r="L41" i="86"/>
  <c r="K41" i="86"/>
  <c r="R40" i="86"/>
  <c r="O40" i="86"/>
  <c r="L40" i="86"/>
  <c r="K40" i="86"/>
  <c r="C40" i="86"/>
  <c r="R39" i="86"/>
  <c r="O39" i="86"/>
  <c r="L39" i="86"/>
  <c r="K39" i="86"/>
  <c r="C39" i="86"/>
  <c r="R38" i="86"/>
  <c r="O38" i="86"/>
  <c r="L38" i="86"/>
  <c r="K38" i="86"/>
  <c r="C38" i="86"/>
  <c r="R37" i="86"/>
  <c r="P37" i="86"/>
  <c r="O37" i="86"/>
  <c r="L37" i="86"/>
  <c r="K37" i="86"/>
  <c r="C37" i="86"/>
  <c r="R36" i="86"/>
  <c r="P36" i="86"/>
  <c r="L36" i="86"/>
  <c r="K36" i="86"/>
  <c r="D36" i="86"/>
  <c r="C36" i="86"/>
  <c r="B36" i="86"/>
  <c r="R35" i="86"/>
  <c r="P35" i="86"/>
  <c r="O35" i="86"/>
  <c r="L35" i="86"/>
  <c r="K35" i="86"/>
  <c r="F35" i="86"/>
  <c r="D35" i="86"/>
  <c r="C35" i="86"/>
  <c r="B35" i="86"/>
  <c r="R34" i="86"/>
  <c r="P34" i="86"/>
  <c r="O34" i="86"/>
  <c r="L34" i="86"/>
  <c r="K34" i="86"/>
  <c r="J34" i="86"/>
  <c r="F34" i="86"/>
  <c r="D34" i="86"/>
  <c r="C34" i="86"/>
  <c r="B34" i="86"/>
  <c r="R33" i="86"/>
  <c r="P33" i="86"/>
  <c r="O33" i="86"/>
  <c r="L33" i="86"/>
  <c r="K33" i="86"/>
  <c r="J33" i="86"/>
  <c r="F33" i="86"/>
  <c r="D33" i="86"/>
  <c r="C33" i="86"/>
  <c r="B33" i="86"/>
  <c r="R32" i="86"/>
  <c r="P32" i="86"/>
  <c r="O32" i="86"/>
  <c r="L32" i="86"/>
  <c r="K32" i="86"/>
  <c r="J32" i="86"/>
  <c r="F32" i="86"/>
  <c r="D32" i="86"/>
  <c r="C32" i="86"/>
  <c r="B32" i="86"/>
  <c r="R31" i="86"/>
  <c r="P31" i="86"/>
  <c r="O31" i="86"/>
  <c r="L31" i="86"/>
  <c r="K31" i="86"/>
  <c r="J31" i="86"/>
  <c r="H31" i="86"/>
  <c r="G31" i="86"/>
  <c r="F31" i="86"/>
  <c r="D31" i="86"/>
  <c r="C31" i="86"/>
  <c r="B31" i="86"/>
  <c r="R30" i="86"/>
  <c r="P30" i="86"/>
  <c r="O30" i="86"/>
  <c r="L30" i="86"/>
  <c r="K30" i="86"/>
  <c r="J30" i="86"/>
  <c r="H30" i="86"/>
  <c r="G30" i="86"/>
  <c r="F30" i="86"/>
  <c r="D30" i="86"/>
  <c r="C30" i="86"/>
  <c r="B30" i="86"/>
  <c r="R29" i="86"/>
  <c r="P29" i="86"/>
  <c r="O29" i="86"/>
  <c r="L29" i="86"/>
  <c r="K29" i="86"/>
  <c r="J29" i="86"/>
  <c r="I29" i="86"/>
  <c r="H29" i="86"/>
  <c r="G29" i="86"/>
  <c r="F29" i="86"/>
  <c r="D29" i="86"/>
  <c r="C29" i="86"/>
  <c r="B29" i="86"/>
  <c r="R28" i="86"/>
  <c r="P28" i="86"/>
  <c r="O28" i="86"/>
  <c r="L28" i="86"/>
  <c r="K28" i="86"/>
  <c r="J28" i="86"/>
  <c r="I28" i="86"/>
  <c r="H28" i="86"/>
  <c r="G28" i="86"/>
  <c r="F28" i="86"/>
  <c r="D28" i="86"/>
  <c r="C28" i="86"/>
  <c r="B28" i="86"/>
  <c r="Q24" i="86"/>
  <c r="P24" i="86"/>
  <c r="O24" i="86"/>
  <c r="N24" i="86"/>
  <c r="M24" i="86"/>
  <c r="L24" i="86"/>
  <c r="K24" i="86"/>
  <c r="J24" i="86"/>
  <c r="I24" i="86"/>
  <c r="H24" i="86"/>
  <c r="G24" i="86"/>
  <c r="F24" i="86"/>
  <c r="E24" i="86"/>
  <c r="D24" i="86"/>
  <c r="C24" i="86"/>
  <c r="B24" i="86"/>
  <c r="R68" i="85"/>
  <c r="R67" i="85"/>
  <c r="R66" i="85"/>
  <c r="R65" i="85"/>
  <c r="R64" i="85"/>
  <c r="R63" i="85"/>
  <c r="R62" i="85"/>
  <c r="R61" i="85"/>
  <c r="R60" i="85"/>
  <c r="R59" i="85"/>
  <c r="R58" i="85"/>
  <c r="R57" i="85"/>
  <c r="R56" i="85"/>
  <c r="R55" i="85"/>
  <c r="R54" i="85"/>
  <c r="R53" i="85"/>
  <c r="R52" i="85"/>
  <c r="R51" i="85"/>
  <c r="R50" i="85"/>
  <c r="K50" i="85"/>
  <c r="R49" i="85"/>
  <c r="K49" i="85"/>
  <c r="R48" i="85"/>
  <c r="K48" i="85"/>
  <c r="R47" i="85"/>
  <c r="K47" i="85"/>
  <c r="R46" i="85"/>
  <c r="K46" i="85"/>
  <c r="R45" i="85"/>
  <c r="K45" i="85"/>
  <c r="R44" i="85"/>
  <c r="L44" i="85"/>
  <c r="K44" i="85"/>
  <c r="R43" i="85"/>
  <c r="L43" i="85"/>
  <c r="K43" i="85"/>
  <c r="R42" i="85"/>
  <c r="L42" i="85"/>
  <c r="K42" i="85"/>
  <c r="R41" i="85"/>
  <c r="L41" i="85"/>
  <c r="K41" i="85"/>
  <c r="R40" i="85"/>
  <c r="O40" i="85"/>
  <c r="L40" i="85"/>
  <c r="K40" i="85"/>
  <c r="C40" i="85"/>
  <c r="R39" i="85"/>
  <c r="O39" i="85"/>
  <c r="L39" i="85"/>
  <c r="K39" i="85"/>
  <c r="C39" i="85"/>
  <c r="R38" i="85"/>
  <c r="O38" i="85"/>
  <c r="L38" i="85"/>
  <c r="K38" i="85"/>
  <c r="C38" i="85"/>
  <c r="R37" i="85"/>
  <c r="P37" i="85"/>
  <c r="O37" i="85"/>
  <c r="L37" i="85"/>
  <c r="K37" i="85"/>
  <c r="C37" i="85"/>
  <c r="R36" i="85"/>
  <c r="P36" i="85"/>
  <c r="L36" i="85"/>
  <c r="K36" i="85"/>
  <c r="D36" i="85"/>
  <c r="C36" i="85"/>
  <c r="B36" i="85"/>
  <c r="R35" i="85"/>
  <c r="P35" i="85"/>
  <c r="O35" i="85"/>
  <c r="L35" i="85"/>
  <c r="K35" i="85"/>
  <c r="F35" i="85"/>
  <c r="D35" i="85"/>
  <c r="C35" i="85"/>
  <c r="B35" i="85"/>
  <c r="R34" i="85"/>
  <c r="P34" i="85"/>
  <c r="O34" i="85"/>
  <c r="L34" i="85"/>
  <c r="K34" i="85"/>
  <c r="J34" i="85"/>
  <c r="F34" i="85"/>
  <c r="D34" i="85"/>
  <c r="C34" i="85"/>
  <c r="B34" i="85"/>
  <c r="R33" i="85"/>
  <c r="P33" i="85"/>
  <c r="O33" i="85"/>
  <c r="L33" i="85"/>
  <c r="K33" i="85"/>
  <c r="J33" i="85"/>
  <c r="F33" i="85"/>
  <c r="D33" i="85"/>
  <c r="C33" i="85"/>
  <c r="B33" i="85"/>
  <c r="R32" i="85"/>
  <c r="P32" i="85"/>
  <c r="O32" i="85"/>
  <c r="L32" i="85"/>
  <c r="K32" i="85"/>
  <c r="J32" i="85"/>
  <c r="F32" i="85"/>
  <c r="D32" i="85"/>
  <c r="C32" i="85"/>
  <c r="B32" i="85"/>
  <c r="R31" i="85"/>
  <c r="P31" i="85"/>
  <c r="O31" i="85"/>
  <c r="L31" i="85"/>
  <c r="K31" i="85"/>
  <c r="J31" i="85"/>
  <c r="H31" i="85"/>
  <c r="G31" i="85"/>
  <c r="F31" i="85"/>
  <c r="D31" i="85"/>
  <c r="C31" i="85"/>
  <c r="B31" i="85"/>
  <c r="R30" i="85"/>
  <c r="P30" i="85"/>
  <c r="O30" i="85"/>
  <c r="L30" i="85"/>
  <c r="K30" i="85"/>
  <c r="J30" i="85"/>
  <c r="H30" i="85"/>
  <c r="G30" i="85"/>
  <c r="F30" i="85"/>
  <c r="D30" i="85"/>
  <c r="C30" i="85"/>
  <c r="B30" i="85"/>
  <c r="R29" i="85"/>
  <c r="P29" i="85"/>
  <c r="O29" i="85"/>
  <c r="L29" i="85"/>
  <c r="K29" i="85"/>
  <c r="J29" i="85"/>
  <c r="I29" i="85"/>
  <c r="H29" i="85"/>
  <c r="G29" i="85"/>
  <c r="F29" i="85"/>
  <c r="D29" i="85"/>
  <c r="C29" i="85"/>
  <c r="B29" i="85"/>
  <c r="R28" i="85"/>
  <c r="P28" i="85"/>
  <c r="O28" i="85"/>
  <c r="L28" i="85"/>
  <c r="K28" i="85"/>
  <c r="J28" i="85"/>
  <c r="I28" i="85"/>
  <c r="H28" i="85"/>
  <c r="G28" i="85"/>
  <c r="F28" i="85"/>
  <c r="D28" i="85"/>
  <c r="C28" i="85"/>
  <c r="B28" i="85"/>
  <c r="Q24" i="85"/>
  <c r="P24" i="85"/>
  <c r="O24" i="85"/>
  <c r="N24" i="85"/>
  <c r="M24" i="85"/>
  <c r="L24" i="85"/>
  <c r="K24" i="85"/>
  <c r="J24" i="85"/>
  <c r="I24" i="85"/>
  <c r="H24" i="85"/>
  <c r="G24" i="85"/>
  <c r="F24" i="85"/>
  <c r="E24" i="85"/>
  <c r="D24" i="85"/>
  <c r="C24" i="85"/>
  <c r="B24" i="85"/>
  <c r="R68" i="84"/>
  <c r="R67" i="84"/>
  <c r="R66" i="84"/>
  <c r="R65" i="84"/>
  <c r="R64" i="84"/>
  <c r="R63" i="84"/>
  <c r="R62" i="84"/>
  <c r="R61" i="84"/>
  <c r="R60" i="84"/>
  <c r="R59" i="84"/>
  <c r="R58" i="84"/>
  <c r="R57" i="84"/>
  <c r="R56" i="84"/>
  <c r="R55" i="84"/>
  <c r="R54" i="84"/>
  <c r="R53" i="84"/>
  <c r="R52" i="84"/>
  <c r="R51" i="84"/>
  <c r="R50" i="84"/>
  <c r="K50" i="84"/>
  <c r="R49" i="84"/>
  <c r="K49" i="84"/>
  <c r="R48" i="84"/>
  <c r="K48" i="84"/>
  <c r="R47" i="84"/>
  <c r="K47" i="84"/>
  <c r="R46" i="84"/>
  <c r="K46" i="84"/>
  <c r="R45" i="84"/>
  <c r="K45" i="84"/>
  <c r="R44" i="84"/>
  <c r="L44" i="84"/>
  <c r="K44" i="84"/>
  <c r="R43" i="84"/>
  <c r="L43" i="84"/>
  <c r="K43" i="84"/>
  <c r="R42" i="84"/>
  <c r="L42" i="84"/>
  <c r="K42" i="84"/>
  <c r="R41" i="84"/>
  <c r="L41" i="84"/>
  <c r="K41" i="84"/>
  <c r="R40" i="84"/>
  <c r="O40" i="84"/>
  <c r="L40" i="84"/>
  <c r="K40" i="84"/>
  <c r="C40" i="84"/>
  <c r="R39" i="84"/>
  <c r="O39" i="84"/>
  <c r="L39" i="84"/>
  <c r="K39" i="84"/>
  <c r="C39" i="84"/>
  <c r="R38" i="84"/>
  <c r="O38" i="84"/>
  <c r="L38" i="84"/>
  <c r="K38" i="84"/>
  <c r="C38" i="84"/>
  <c r="R37" i="84"/>
  <c r="P37" i="84"/>
  <c r="O37" i="84"/>
  <c r="L37" i="84"/>
  <c r="K37" i="84"/>
  <c r="C37" i="84"/>
  <c r="R36" i="84"/>
  <c r="P36" i="84"/>
  <c r="L36" i="84"/>
  <c r="K36" i="84"/>
  <c r="D36" i="84"/>
  <c r="C36" i="84"/>
  <c r="B36" i="84"/>
  <c r="R35" i="84"/>
  <c r="P35" i="84"/>
  <c r="O35" i="84"/>
  <c r="L35" i="84"/>
  <c r="K35" i="84"/>
  <c r="F35" i="84"/>
  <c r="D35" i="84"/>
  <c r="C35" i="84"/>
  <c r="B35" i="84"/>
  <c r="R34" i="84"/>
  <c r="P34" i="84"/>
  <c r="O34" i="84"/>
  <c r="L34" i="84"/>
  <c r="K34" i="84"/>
  <c r="J34" i="84"/>
  <c r="F34" i="84"/>
  <c r="D34" i="84"/>
  <c r="C34" i="84"/>
  <c r="B34" i="84"/>
  <c r="R33" i="84"/>
  <c r="P33" i="84"/>
  <c r="O33" i="84"/>
  <c r="L33" i="84"/>
  <c r="K33" i="84"/>
  <c r="J33" i="84"/>
  <c r="F33" i="84"/>
  <c r="D33" i="84"/>
  <c r="C33" i="84"/>
  <c r="B33" i="84"/>
  <c r="R32" i="84"/>
  <c r="P32" i="84"/>
  <c r="O32" i="84"/>
  <c r="L32" i="84"/>
  <c r="K32" i="84"/>
  <c r="J32" i="84"/>
  <c r="F32" i="84"/>
  <c r="D32" i="84"/>
  <c r="C32" i="84"/>
  <c r="B32" i="84"/>
  <c r="R31" i="84"/>
  <c r="P31" i="84"/>
  <c r="O31" i="84"/>
  <c r="L31" i="84"/>
  <c r="K31" i="84"/>
  <c r="J31" i="84"/>
  <c r="H31" i="84"/>
  <c r="G31" i="84"/>
  <c r="F31" i="84"/>
  <c r="D31" i="84"/>
  <c r="C31" i="84"/>
  <c r="B31" i="84"/>
  <c r="R30" i="84"/>
  <c r="P30" i="84"/>
  <c r="O30" i="84"/>
  <c r="L30" i="84"/>
  <c r="K30" i="84"/>
  <c r="J30" i="84"/>
  <c r="H30" i="84"/>
  <c r="G30" i="84"/>
  <c r="F30" i="84"/>
  <c r="D30" i="84"/>
  <c r="C30" i="84"/>
  <c r="B30" i="84"/>
  <c r="R29" i="84"/>
  <c r="P29" i="84"/>
  <c r="O29" i="84"/>
  <c r="L29" i="84"/>
  <c r="K29" i="84"/>
  <c r="J29" i="84"/>
  <c r="I29" i="84"/>
  <c r="H29" i="84"/>
  <c r="G29" i="84"/>
  <c r="F29" i="84"/>
  <c r="D29" i="84"/>
  <c r="C29" i="84"/>
  <c r="B29" i="84"/>
  <c r="R28" i="84"/>
  <c r="P28" i="84"/>
  <c r="O28" i="84"/>
  <c r="L28" i="84"/>
  <c r="K28" i="84"/>
  <c r="J28" i="84"/>
  <c r="I28" i="84"/>
  <c r="H28" i="84"/>
  <c r="G28" i="84"/>
  <c r="F28" i="84"/>
  <c r="D28" i="84"/>
  <c r="C28" i="84"/>
  <c r="B28" i="84"/>
  <c r="Q24" i="84"/>
  <c r="P24" i="84"/>
  <c r="O24" i="84"/>
  <c r="N24" i="84"/>
  <c r="M24" i="84"/>
  <c r="L24" i="84"/>
  <c r="K24" i="84"/>
  <c r="J24" i="84"/>
  <c r="I24" i="84"/>
  <c r="H24" i="84"/>
  <c r="G24" i="84"/>
  <c r="F24" i="84"/>
  <c r="E24" i="84"/>
  <c r="D24" i="84"/>
  <c r="C24" i="84"/>
  <c r="B24" i="84"/>
  <c r="R68" i="83"/>
  <c r="R67" i="83"/>
  <c r="R66" i="83"/>
  <c r="R65" i="83"/>
  <c r="R64" i="83"/>
  <c r="R63" i="83"/>
  <c r="R62" i="83"/>
  <c r="R61" i="83"/>
  <c r="R60" i="83"/>
  <c r="R59" i="83"/>
  <c r="R58" i="83"/>
  <c r="R57" i="83"/>
  <c r="R56" i="83"/>
  <c r="R55" i="83"/>
  <c r="R54" i="83"/>
  <c r="R53" i="83"/>
  <c r="R52" i="83"/>
  <c r="R51" i="83"/>
  <c r="R50" i="83"/>
  <c r="K50" i="83"/>
  <c r="R49" i="83"/>
  <c r="K49" i="83"/>
  <c r="R48" i="83"/>
  <c r="K48" i="83"/>
  <c r="R47" i="83"/>
  <c r="K47" i="83"/>
  <c r="R46" i="83"/>
  <c r="K46" i="83"/>
  <c r="R45" i="83"/>
  <c r="K45" i="83"/>
  <c r="R44" i="83"/>
  <c r="L44" i="83"/>
  <c r="K44" i="83"/>
  <c r="R43" i="83"/>
  <c r="L43" i="83"/>
  <c r="K43" i="83"/>
  <c r="R42" i="83"/>
  <c r="L42" i="83"/>
  <c r="K42" i="83"/>
  <c r="R41" i="83"/>
  <c r="L41" i="83"/>
  <c r="K41" i="83"/>
  <c r="R40" i="83"/>
  <c r="O40" i="83"/>
  <c r="L40" i="83"/>
  <c r="K40" i="83"/>
  <c r="C40" i="83"/>
  <c r="R39" i="83"/>
  <c r="O39" i="83"/>
  <c r="L39" i="83"/>
  <c r="K39" i="83"/>
  <c r="C39" i="83"/>
  <c r="R38" i="83"/>
  <c r="O38" i="83"/>
  <c r="L38" i="83"/>
  <c r="K38" i="83"/>
  <c r="C38" i="83"/>
  <c r="R37" i="83"/>
  <c r="P37" i="83"/>
  <c r="O37" i="83"/>
  <c r="L37" i="83"/>
  <c r="K37" i="83"/>
  <c r="C37" i="83"/>
  <c r="R36" i="83"/>
  <c r="P36" i="83"/>
  <c r="L36" i="83"/>
  <c r="K36" i="83"/>
  <c r="D36" i="83"/>
  <c r="C36" i="83"/>
  <c r="B36" i="83"/>
  <c r="R35" i="83"/>
  <c r="P35" i="83"/>
  <c r="O35" i="83"/>
  <c r="L35" i="83"/>
  <c r="K35" i="83"/>
  <c r="F35" i="83"/>
  <c r="D35" i="83"/>
  <c r="C35" i="83"/>
  <c r="B35" i="83"/>
  <c r="R34" i="83"/>
  <c r="P34" i="83"/>
  <c r="O34" i="83"/>
  <c r="L34" i="83"/>
  <c r="K34" i="83"/>
  <c r="J34" i="83"/>
  <c r="F34" i="83"/>
  <c r="D34" i="83"/>
  <c r="C34" i="83"/>
  <c r="B34" i="83"/>
  <c r="R33" i="83"/>
  <c r="P33" i="83"/>
  <c r="O33" i="83"/>
  <c r="L33" i="83"/>
  <c r="K33" i="83"/>
  <c r="J33" i="83"/>
  <c r="F33" i="83"/>
  <c r="D33" i="83"/>
  <c r="C33" i="83"/>
  <c r="B33" i="83"/>
  <c r="R32" i="83"/>
  <c r="P32" i="83"/>
  <c r="O32" i="83"/>
  <c r="L32" i="83"/>
  <c r="K32" i="83"/>
  <c r="J32" i="83"/>
  <c r="F32" i="83"/>
  <c r="D32" i="83"/>
  <c r="C32" i="83"/>
  <c r="B32" i="83"/>
  <c r="R31" i="83"/>
  <c r="P31" i="83"/>
  <c r="O31" i="83"/>
  <c r="L31" i="83"/>
  <c r="K31" i="83"/>
  <c r="J31" i="83"/>
  <c r="H31" i="83"/>
  <c r="G31" i="83"/>
  <c r="F31" i="83"/>
  <c r="D31" i="83"/>
  <c r="C31" i="83"/>
  <c r="B31" i="83"/>
  <c r="R30" i="83"/>
  <c r="P30" i="83"/>
  <c r="O30" i="83"/>
  <c r="L30" i="83"/>
  <c r="K30" i="83"/>
  <c r="J30" i="83"/>
  <c r="H30" i="83"/>
  <c r="G30" i="83"/>
  <c r="F30" i="83"/>
  <c r="D30" i="83"/>
  <c r="C30" i="83"/>
  <c r="B30" i="83"/>
  <c r="R29" i="83"/>
  <c r="P29" i="83"/>
  <c r="O29" i="83"/>
  <c r="L29" i="83"/>
  <c r="K29" i="83"/>
  <c r="J29" i="83"/>
  <c r="I29" i="83"/>
  <c r="H29" i="83"/>
  <c r="G29" i="83"/>
  <c r="F29" i="83"/>
  <c r="D29" i="83"/>
  <c r="C29" i="83"/>
  <c r="B29" i="83"/>
  <c r="R28" i="83"/>
  <c r="P28" i="83"/>
  <c r="O28" i="83"/>
  <c r="L28" i="83"/>
  <c r="K28" i="83"/>
  <c r="J28" i="83"/>
  <c r="I28" i="83"/>
  <c r="H28" i="83"/>
  <c r="G28" i="83"/>
  <c r="F28" i="83"/>
  <c r="D28" i="83"/>
  <c r="C28" i="83"/>
  <c r="B28" i="83"/>
  <c r="Q24" i="83"/>
  <c r="P24" i="83"/>
  <c r="O24" i="83"/>
  <c r="N24" i="83"/>
  <c r="M24" i="83"/>
  <c r="L24" i="83"/>
  <c r="K24" i="83"/>
  <c r="J24" i="83"/>
  <c r="I24" i="83"/>
  <c r="H24" i="83"/>
  <c r="G24" i="83"/>
  <c r="F24" i="83"/>
  <c r="E24" i="83"/>
  <c r="D24" i="83"/>
  <c r="C24" i="83"/>
  <c r="B24" i="83"/>
  <c r="R68" i="82"/>
  <c r="R67" i="82"/>
  <c r="R66" i="82"/>
  <c r="R65" i="82"/>
  <c r="R64" i="82"/>
  <c r="R63" i="82"/>
  <c r="R62" i="82"/>
  <c r="R61" i="82"/>
  <c r="R60" i="82"/>
  <c r="R59" i="82"/>
  <c r="R58" i="82"/>
  <c r="R57" i="82"/>
  <c r="R56" i="82"/>
  <c r="R55" i="82"/>
  <c r="R54" i="82"/>
  <c r="R53" i="82"/>
  <c r="R52" i="82"/>
  <c r="R51" i="82"/>
  <c r="R50" i="82"/>
  <c r="K50" i="82"/>
  <c r="R49" i="82"/>
  <c r="K49" i="82"/>
  <c r="R48" i="82"/>
  <c r="K48" i="82"/>
  <c r="R47" i="82"/>
  <c r="K47" i="82"/>
  <c r="R46" i="82"/>
  <c r="K46" i="82"/>
  <c r="R45" i="82"/>
  <c r="K45" i="82"/>
  <c r="R44" i="82"/>
  <c r="L44" i="82"/>
  <c r="K44" i="82"/>
  <c r="R43" i="82"/>
  <c r="L43" i="82"/>
  <c r="K43" i="82"/>
  <c r="R42" i="82"/>
  <c r="L42" i="82"/>
  <c r="K42" i="82"/>
  <c r="R41" i="82"/>
  <c r="L41" i="82"/>
  <c r="K41" i="82"/>
  <c r="R40" i="82"/>
  <c r="O40" i="82"/>
  <c r="L40" i="82"/>
  <c r="K40" i="82"/>
  <c r="C40" i="82"/>
  <c r="R39" i="82"/>
  <c r="O39" i="82"/>
  <c r="L39" i="82"/>
  <c r="K39" i="82"/>
  <c r="C39" i="82"/>
  <c r="R38" i="82"/>
  <c r="O38" i="82"/>
  <c r="L38" i="82"/>
  <c r="K38" i="82"/>
  <c r="C38" i="82"/>
  <c r="R37" i="82"/>
  <c r="P37" i="82"/>
  <c r="O37" i="82"/>
  <c r="L37" i="82"/>
  <c r="K37" i="82"/>
  <c r="C37" i="82"/>
  <c r="R36" i="82"/>
  <c r="P36" i="82"/>
  <c r="L36" i="82"/>
  <c r="K36" i="82"/>
  <c r="D36" i="82"/>
  <c r="C36" i="82"/>
  <c r="B36" i="82"/>
  <c r="R35" i="82"/>
  <c r="P35" i="82"/>
  <c r="O35" i="82"/>
  <c r="L35" i="82"/>
  <c r="K35" i="82"/>
  <c r="F35" i="82"/>
  <c r="D35" i="82"/>
  <c r="C35" i="82"/>
  <c r="B35" i="82"/>
  <c r="R34" i="82"/>
  <c r="P34" i="82"/>
  <c r="O34" i="82"/>
  <c r="L34" i="82"/>
  <c r="K34" i="82"/>
  <c r="J34" i="82"/>
  <c r="F34" i="82"/>
  <c r="D34" i="82"/>
  <c r="C34" i="82"/>
  <c r="B34" i="82"/>
  <c r="R33" i="82"/>
  <c r="P33" i="82"/>
  <c r="O33" i="82"/>
  <c r="L33" i="82"/>
  <c r="K33" i="82"/>
  <c r="J33" i="82"/>
  <c r="F33" i="82"/>
  <c r="D33" i="82"/>
  <c r="C33" i="82"/>
  <c r="B33" i="82"/>
  <c r="R32" i="82"/>
  <c r="P32" i="82"/>
  <c r="O32" i="82"/>
  <c r="L32" i="82"/>
  <c r="K32" i="82"/>
  <c r="J32" i="82"/>
  <c r="F32" i="82"/>
  <c r="D32" i="82"/>
  <c r="C32" i="82"/>
  <c r="B32" i="82"/>
  <c r="R31" i="82"/>
  <c r="P31" i="82"/>
  <c r="O31" i="82"/>
  <c r="L31" i="82"/>
  <c r="K31" i="82"/>
  <c r="J31" i="82"/>
  <c r="H31" i="82"/>
  <c r="G31" i="82"/>
  <c r="F31" i="82"/>
  <c r="D31" i="82"/>
  <c r="C31" i="82"/>
  <c r="B31" i="82"/>
  <c r="R30" i="82"/>
  <c r="P30" i="82"/>
  <c r="O30" i="82"/>
  <c r="L30" i="82"/>
  <c r="K30" i="82"/>
  <c r="J30" i="82"/>
  <c r="H30" i="82"/>
  <c r="G30" i="82"/>
  <c r="F30" i="82"/>
  <c r="D30" i="82"/>
  <c r="C30" i="82"/>
  <c r="B30" i="82"/>
  <c r="R29" i="82"/>
  <c r="P29" i="82"/>
  <c r="O29" i="82"/>
  <c r="L29" i="82"/>
  <c r="K29" i="82"/>
  <c r="J29" i="82"/>
  <c r="I29" i="82"/>
  <c r="H29" i="82"/>
  <c r="G29" i="82"/>
  <c r="F29" i="82"/>
  <c r="D29" i="82"/>
  <c r="C29" i="82"/>
  <c r="B29" i="82"/>
  <c r="R28" i="82"/>
  <c r="P28" i="82"/>
  <c r="O28" i="82"/>
  <c r="L28" i="82"/>
  <c r="K28" i="82"/>
  <c r="J28" i="82"/>
  <c r="I28" i="82"/>
  <c r="H28" i="82"/>
  <c r="G28" i="82"/>
  <c r="F28" i="82"/>
  <c r="D28" i="82"/>
  <c r="C28" i="82"/>
  <c r="B28" i="82"/>
  <c r="Q24" i="82"/>
  <c r="P24" i="82"/>
  <c r="O24" i="82"/>
  <c r="N24" i="82"/>
  <c r="M24" i="82"/>
  <c r="L24" i="82"/>
  <c r="K24" i="82"/>
  <c r="J24" i="82"/>
  <c r="I24" i="82"/>
  <c r="H24" i="82"/>
  <c r="G24" i="82"/>
  <c r="F24" i="82"/>
  <c r="E24" i="82"/>
  <c r="D24" i="82"/>
  <c r="C24" i="82"/>
  <c r="B24" i="82"/>
  <c r="R68" i="81"/>
  <c r="R67" i="81"/>
  <c r="R66" i="81"/>
  <c r="R65" i="81"/>
  <c r="R64" i="81"/>
  <c r="R63" i="81"/>
  <c r="R62" i="81"/>
  <c r="R61" i="81"/>
  <c r="R60" i="81"/>
  <c r="R59" i="81"/>
  <c r="R58" i="81"/>
  <c r="R57" i="81"/>
  <c r="R56" i="81"/>
  <c r="R55" i="81"/>
  <c r="R54" i="81"/>
  <c r="R53" i="81"/>
  <c r="R52" i="81"/>
  <c r="R51" i="81"/>
  <c r="R50" i="81"/>
  <c r="K50" i="81"/>
  <c r="R49" i="81"/>
  <c r="K49" i="81"/>
  <c r="R48" i="81"/>
  <c r="K48" i="81"/>
  <c r="R47" i="81"/>
  <c r="K47" i="81"/>
  <c r="R46" i="81"/>
  <c r="K46" i="81"/>
  <c r="R45" i="81"/>
  <c r="K45" i="81"/>
  <c r="R44" i="81"/>
  <c r="L44" i="81"/>
  <c r="K44" i="81"/>
  <c r="R43" i="81"/>
  <c r="L43" i="81"/>
  <c r="K43" i="81"/>
  <c r="R42" i="81"/>
  <c r="L42" i="81"/>
  <c r="K42" i="81"/>
  <c r="R41" i="81"/>
  <c r="L41" i="81"/>
  <c r="K41" i="81"/>
  <c r="R40" i="81"/>
  <c r="O40" i="81"/>
  <c r="L40" i="81"/>
  <c r="K40" i="81"/>
  <c r="C40" i="81"/>
  <c r="R39" i="81"/>
  <c r="O39" i="81"/>
  <c r="L39" i="81"/>
  <c r="K39" i="81"/>
  <c r="C39" i="81"/>
  <c r="R38" i="81"/>
  <c r="O38" i="81"/>
  <c r="L38" i="81"/>
  <c r="K38" i="81"/>
  <c r="C38" i="81"/>
  <c r="R37" i="81"/>
  <c r="P37" i="81"/>
  <c r="O37" i="81"/>
  <c r="L37" i="81"/>
  <c r="K37" i="81"/>
  <c r="C37" i="81"/>
  <c r="R36" i="81"/>
  <c r="P36" i="81"/>
  <c r="L36" i="81"/>
  <c r="K36" i="81"/>
  <c r="D36" i="81"/>
  <c r="C36" i="81"/>
  <c r="B36" i="81"/>
  <c r="R35" i="81"/>
  <c r="P35" i="81"/>
  <c r="O35" i="81"/>
  <c r="L35" i="81"/>
  <c r="K35" i="81"/>
  <c r="F35" i="81"/>
  <c r="D35" i="81"/>
  <c r="C35" i="81"/>
  <c r="B35" i="81"/>
  <c r="R34" i="81"/>
  <c r="P34" i="81"/>
  <c r="O34" i="81"/>
  <c r="L34" i="81"/>
  <c r="K34" i="81"/>
  <c r="J34" i="81"/>
  <c r="F34" i="81"/>
  <c r="D34" i="81"/>
  <c r="C34" i="81"/>
  <c r="B34" i="81"/>
  <c r="R33" i="81"/>
  <c r="P33" i="81"/>
  <c r="O33" i="81"/>
  <c r="L33" i="81"/>
  <c r="K33" i="81"/>
  <c r="J33" i="81"/>
  <c r="F33" i="81"/>
  <c r="D33" i="81"/>
  <c r="C33" i="81"/>
  <c r="B33" i="81"/>
  <c r="R32" i="81"/>
  <c r="P32" i="81"/>
  <c r="O32" i="81"/>
  <c r="L32" i="81"/>
  <c r="K32" i="81"/>
  <c r="J32" i="81"/>
  <c r="F32" i="81"/>
  <c r="D32" i="81"/>
  <c r="C32" i="81"/>
  <c r="B32" i="81"/>
  <c r="R31" i="81"/>
  <c r="P31" i="81"/>
  <c r="O31" i="81"/>
  <c r="L31" i="81"/>
  <c r="K31" i="81"/>
  <c r="J31" i="81"/>
  <c r="H31" i="81"/>
  <c r="G31" i="81"/>
  <c r="F31" i="81"/>
  <c r="D31" i="81"/>
  <c r="C31" i="81"/>
  <c r="B31" i="81"/>
  <c r="R30" i="81"/>
  <c r="P30" i="81"/>
  <c r="O30" i="81"/>
  <c r="L30" i="81"/>
  <c r="K30" i="81"/>
  <c r="J30" i="81"/>
  <c r="H30" i="81"/>
  <c r="G30" i="81"/>
  <c r="F30" i="81"/>
  <c r="D30" i="81"/>
  <c r="C30" i="81"/>
  <c r="B30" i="81"/>
  <c r="R29" i="81"/>
  <c r="P29" i="81"/>
  <c r="O29" i="81"/>
  <c r="L29" i="81"/>
  <c r="K29" i="81"/>
  <c r="J29" i="81"/>
  <c r="I29" i="81"/>
  <c r="H29" i="81"/>
  <c r="G29" i="81"/>
  <c r="F29" i="81"/>
  <c r="D29" i="81"/>
  <c r="C29" i="81"/>
  <c r="B29" i="81"/>
  <c r="R28" i="81"/>
  <c r="P28" i="81"/>
  <c r="O28" i="81"/>
  <c r="L28" i="81"/>
  <c r="K28" i="81"/>
  <c r="J28" i="81"/>
  <c r="I28" i="81"/>
  <c r="H28" i="81"/>
  <c r="G28" i="81"/>
  <c r="F28" i="81"/>
  <c r="D28" i="81"/>
  <c r="C28" i="81"/>
  <c r="B28" i="81"/>
  <c r="Q24" i="81"/>
  <c r="P24" i="81"/>
  <c r="O24" i="81"/>
  <c r="N24" i="81"/>
  <c r="M24" i="81"/>
  <c r="L24" i="81"/>
  <c r="K24" i="81"/>
  <c r="J24" i="81"/>
  <c r="I24" i="81"/>
  <c r="H24" i="81"/>
  <c r="G24" i="81"/>
  <c r="F24" i="81"/>
  <c r="E24" i="81"/>
  <c r="D24" i="81"/>
  <c r="C24" i="81"/>
  <c r="B24" i="81"/>
  <c r="R68" i="80"/>
  <c r="R67" i="80"/>
  <c r="R66" i="80"/>
  <c r="R65" i="80"/>
  <c r="R64" i="80"/>
  <c r="R63" i="80"/>
  <c r="R62" i="80"/>
  <c r="R61" i="80"/>
  <c r="R60" i="80"/>
  <c r="R59" i="80"/>
  <c r="R58" i="80"/>
  <c r="R57" i="80"/>
  <c r="R56" i="80"/>
  <c r="R55" i="80"/>
  <c r="R54" i="80"/>
  <c r="R53" i="80"/>
  <c r="R52" i="80"/>
  <c r="R51" i="80"/>
  <c r="R50" i="80"/>
  <c r="K50" i="80"/>
  <c r="R49" i="80"/>
  <c r="K49" i="80"/>
  <c r="R48" i="80"/>
  <c r="K48" i="80"/>
  <c r="R47" i="80"/>
  <c r="K47" i="80"/>
  <c r="R46" i="80"/>
  <c r="K46" i="80"/>
  <c r="R45" i="80"/>
  <c r="K45" i="80"/>
  <c r="R44" i="80"/>
  <c r="L44" i="80"/>
  <c r="K44" i="80"/>
  <c r="R43" i="80"/>
  <c r="L43" i="80"/>
  <c r="K43" i="80"/>
  <c r="R42" i="80"/>
  <c r="L42" i="80"/>
  <c r="K42" i="80"/>
  <c r="R41" i="80"/>
  <c r="L41" i="80"/>
  <c r="K41" i="80"/>
  <c r="R40" i="80"/>
  <c r="O40" i="80"/>
  <c r="L40" i="80"/>
  <c r="K40" i="80"/>
  <c r="C40" i="80"/>
  <c r="R39" i="80"/>
  <c r="O39" i="80"/>
  <c r="L39" i="80"/>
  <c r="K39" i="80"/>
  <c r="C39" i="80"/>
  <c r="R38" i="80"/>
  <c r="O38" i="80"/>
  <c r="L38" i="80"/>
  <c r="K38" i="80"/>
  <c r="C38" i="80"/>
  <c r="R37" i="80"/>
  <c r="P37" i="80"/>
  <c r="O37" i="80"/>
  <c r="L37" i="80"/>
  <c r="K37" i="80"/>
  <c r="C37" i="80"/>
  <c r="R36" i="80"/>
  <c r="P36" i="80"/>
  <c r="L36" i="80"/>
  <c r="K36" i="80"/>
  <c r="D36" i="80"/>
  <c r="C36" i="80"/>
  <c r="B36" i="80"/>
  <c r="R35" i="80"/>
  <c r="P35" i="80"/>
  <c r="O35" i="80"/>
  <c r="L35" i="80"/>
  <c r="K35" i="80"/>
  <c r="F35" i="80"/>
  <c r="D35" i="80"/>
  <c r="C35" i="80"/>
  <c r="B35" i="80"/>
  <c r="R34" i="80"/>
  <c r="P34" i="80"/>
  <c r="O34" i="80"/>
  <c r="L34" i="80"/>
  <c r="K34" i="80"/>
  <c r="J34" i="80"/>
  <c r="F34" i="80"/>
  <c r="D34" i="80"/>
  <c r="C34" i="80"/>
  <c r="B34" i="80"/>
  <c r="R33" i="80"/>
  <c r="P33" i="80"/>
  <c r="O33" i="80"/>
  <c r="L33" i="80"/>
  <c r="K33" i="80"/>
  <c r="J33" i="80"/>
  <c r="F33" i="80"/>
  <c r="D33" i="80"/>
  <c r="C33" i="80"/>
  <c r="B33" i="80"/>
  <c r="R32" i="80"/>
  <c r="P32" i="80"/>
  <c r="O32" i="80"/>
  <c r="L32" i="80"/>
  <c r="K32" i="80"/>
  <c r="J32" i="80"/>
  <c r="F32" i="80"/>
  <c r="D32" i="80"/>
  <c r="C32" i="80"/>
  <c r="B32" i="80"/>
  <c r="R31" i="80"/>
  <c r="P31" i="80"/>
  <c r="O31" i="80"/>
  <c r="L31" i="80"/>
  <c r="K31" i="80"/>
  <c r="J31" i="80"/>
  <c r="H31" i="80"/>
  <c r="G31" i="80"/>
  <c r="F31" i="80"/>
  <c r="D31" i="80"/>
  <c r="C31" i="80"/>
  <c r="B31" i="80"/>
  <c r="R30" i="80"/>
  <c r="P30" i="80"/>
  <c r="O30" i="80"/>
  <c r="L30" i="80"/>
  <c r="K30" i="80"/>
  <c r="J30" i="80"/>
  <c r="H30" i="80"/>
  <c r="G30" i="80"/>
  <c r="F30" i="80"/>
  <c r="D30" i="80"/>
  <c r="C30" i="80"/>
  <c r="B30" i="80"/>
  <c r="R29" i="80"/>
  <c r="P29" i="80"/>
  <c r="O29" i="80"/>
  <c r="L29" i="80"/>
  <c r="K29" i="80"/>
  <c r="J29" i="80"/>
  <c r="I29" i="80"/>
  <c r="H29" i="80"/>
  <c r="G29" i="80"/>
  <c r="F29" i="80"/>
  <c r="D29" i="80"/>
  <c r="C29" i="80"/>
  <c r="B29" i="80"/>
  <c r="R28" i="80"/>
  <c r="P28" i="80"/>
  <c r="O28" i="80"/>
  <c r="L28" i="80"/>
  <c r="K28" i="80"/>
  <c r="J28" i="80"/>
  <c r="I28" i="80"/>
  <c r="H28" i="80"/>
  <c r="G28" i="80"/>
  <c r="F28" i="80"/>
  <c r="D28" i="80"/>
  <c r="C28" i="80"/>
  <c r="B28" i="80"/>
  <c r="Q24" i="80"/>
  <c r="P24" i="80"/>
  <c r="O24" i="80"/>
  <c r="N24" i="80"/>
  <c r="M24" i="80"/>
  <c r="L24" i="80"/>
  <c r="K24" i="80"/>
  <c r="J24" i="80"/>
  <c r="I24" i="80"/>
  <c r="H24" i="80"/>
  <c r="G24" i="80"/>
  <c r="F24" i="80"/>
  <c r="E24" i="80"/>
  <c r="D24" i="80"/>
  <c r="C24" i="80"/>
  <c r="B24" i="80"/>
  <c r="R68" i="79"/>
  <c r="R67" i="79"/>
  <c r="R66" i="79"/>
  <c r="R65" i="79"/>
  <c r="R64" i="79"/>
  <c r="R63" i="79"/>
  <c r="R62" i="79"/>
  <c r="R61" i="79"/>
  <c r="R60" i="79"/>
  <c r="R59" i="79"/>
  <c r="R58" i="79"/>
  <c r="R57" i="79"/>
  <c r="R56" i="79"/>
  <c r="R55" i="79"/>
  <c r="R54" i="79"/>
  <c r="R53" i="79"/>
  <c r="R52" i="79"/>
  <c r="R51" i="79"/>
  <c r="R50" i="79"/>
  <c r="K50" i="79"/>
  <c r="R49" i="79"/>
  <c r="K49" i="79"/>
  <c r="R48" i="79"/>
  <c r="K48" i="79"/>
  <c r="R47" i="79"/>
  <c r="K47" i="79"/>
  <c r="R46" i="79"/>
  <c r="K46" i="79"/>
  <c r="R45" i="79"/>
  <c r="K45" i="79"/>
  <c r="R44" i="79"/>
  <c r="L44" i="79"/>
  <c r="K44" i="79"/>
  <c r="R43" i="79"/>
  <c r="L43" i="79"/>
  <c r="K43" i="79"/>
  <c r="R42" i="79"/>
  <c r="L42" i="79"/>
  <c r="K42" i="79"/>
  <c r="R41" i="79"/>
  <c r="L41" i="79"/>
  <c r="K41" i="79"/>
  <c r="R40" i="79"/>
  <c r="O40" i="79"/>
  <c r="L40" i="79"/>
  <c r="K40" i="79"/>
  <c r="C40" i="79"/>
  <c r="R39" i="79"/>
  <c r="O39" i="79"/>
  <c r="L39" i="79"/>
  <c r="K39" i="79"/>
  <c r="C39" i="79"/>
  <c r="R38" i="79"/>
  <c r="O38" i="79"/>
  <c r="L38" i="79"/>
  <c r="K38" i="79"/>
  <c r="C38" i="79"/>
  <c r="R37" i="79"/>
  <c r="P37" i="79"/>
  <c r="O37" i="79"/>
  <c r="L37" i="79"/>
  <c r="K37" i="79"/>
  <c r="C37" i="79"/>
  <c r="R36" i="79"/>
  <c r="P36" i="79"/>
  <c r="L36" i="79"/>
  <c r="K36" i="79"/>
  <c r="D36" i="79"/>
  <c r="C36" i="79"/>
  <c r="B36" i="79"/>
  <c r="R35" i="79"/>
  <c r="P35" i="79"/>
  <c r="O35" i="79"/>
  <c r="L35" i="79"/>
  <c r="K35" i="79"/>
  <c r="F35" i="79"/>
  <c r="D35" i="79"/>
  <c r="C35" i="79"/>
  <c r="B35" i="79"/>
  <c r="R34" i="79"/>
  <c r="P34" i="79"/>
  <c r="O34" i="79"/>
  <c r="L34" i="79"/>
  <c r="K34" i="79"/>
  <c r="J34" i="79"/>
  <c r="F34" i="79"/>
  <c r="D34" i="79"/>
  <c r="C34" i="79"/>
  <c r="B34" i="79"/>
  <c r="R33" i="79"/>
  <c r="P33" i="79"/>
  <c r="O33" i="79"/>
  <c r="L33" i="79"/>
  <c r="K33" i="79"/>
  <c r="J33" i="79"/>
  <c r="F33" i="79"/>
  <c r="D33" i="79"/>
  <c r="C33" i="79"/>
  <c r="B33" i="79"/>
  <c r="R32" i="79"/>
  <c r="P32" i="79"/>
  <c r="O32" i="79"/>
  <c r="L32" i="79"/>
  <c r="K32" i="79"/>
  <c r="J32" i="79"/>
  <c r="F32" i="79"/>
  <c r="D32" i="79"/>
  <c r="C32" i="79"/>
  <c r="B32" i="79"/>
  <c r="R31" i="79"/>
  <c r="P31" i="79"/>
  <c r="O31" i="79"/>
  <c r="L31" i="79"/>
  <c r="K31" i="79"/>
  <c r="J31" i="79"/>
  <c r="H31" i="79"/>
  <c r="G31" i="79"/>
  <c r="F31" i="79"/>
  <c r="D31" i="79"/>
  <c r="C31" i="79"/>
  <c r="B31" i="79"/>
  <c r="R30" i="79"/>
  <c r="P30" i="79"/>
  <c r="O30" i="79"/>
  <c r="L30" i="79"/>
  <c r="K30" i="79"/>
  <c r="J30" i="79"/>
  <c r="H30" i="79"/>
  <c r="G30" i="79"/>
  <c r="F30" i="79"/>
  <c r="D30" i="79"/>
  <c r="C30" i="79"/>
  <c r="B30" i="79"/>
  <c r="R29" i="79"/>
  <c r="P29" i="79"/>
  <c r="O29" i="79"/>
  <c r="L29" i="79"/>
  <c r="K29" i="79"/>
  <c r="J29" i="79"/>
  <c r="I29" i="79"/>
  <c r="H29" i="79"/>
  <c r="G29" i="79"/>
  <c r="F29" i="79"/>
  <c r="D29" i="79"/>
  <c r="C29" i="79"/>
  <c r="B29" i="79"/>
  <c r="R28" i="79"/>
  <c r="P28" i="79"/>
  <c r="O28" i="79"/>
  <c r="L28" i="79"/>
  <c r="K28" i="79"/>
  <c r="J28" i="79"/>
  <c r="I28" i="79"/>
  <c r="H28" i="79"/>
  <c r="G28" i="79"/>
  <c r="F28" i="79"/>
  <c r="D28" i="79"/>
  <c r="C28" i="79"/>
  <c r="B28" i="79"/>
  <c r="Q24" i="79"/>
  <c r="P24" i="79"/>
  <c r="O24" i="79"/>
  <c r="N24" i="79"/>
  <c r="M24" i="79"/>
  <c r="L24" i="79"/>
  <c r="K24" i="79"/>
  <c r="J24" i="79"/>
  <c r="I24" i="79"/>
  <c r="H24" i="79"/>
  <c r="G24" i="79"/>
  <c r="F24" i="79"/>
  <c r="E24" i="79"/>
  <c r="D24" i="79"/>
  <c r="C24" i="79"/>
  <c r="B24" i="79"/>
  <c r="R68" i="78"/>
  <c r="R67" i="78"/>
  <c r="R66" i="78"/>
  <c r="R65" i="78"/>
  <c r="R64" i="78"/>
  <c r="R63" i="78"/>
  <c r="R62" i="78"/>
  <c r="R61" i="78"/>
  <c r="R60" i="78"/>
  <c r="R59" i="78"/>
  <c r="R58" i="78"/>
  <c r="R57" i="78"/>
  <c r="R56" i="78"/>
  <c r="R55" i="78"/>
  <c r="R54" i="78"/>
  <c r="R53" i="78"/>
  <c r="R52" i="78"/>
  <c r="R51" i="78"/>
  <c r="R50" i="78"/>
  <c r="K50" i="78"/>
  <c r="R49" i="78"/>
  <c r="K49" i="78"/>
  <c r="R48" i="78"/>
  <c r="K48" i="78"/>
  <c r="R47" i="78"/>
  <c r="K47" i="78"/>
  <c r="R46" i="78"/>
  <c r="K46" i="78"/>
  <c r="R45" i="78"/>
  <c r="K45" i="78"/>
  <c r="R44" i="78"/>
  <c r="L44" i="78"/>
  <c r="K44" i="78"/>
  <c r="R43" i="78"/>
  <c r="L43" i="78"/>
  <c r="K43" i="78"/>
  <c r="R42" i="78"/>
  <c r="L42" i="78"/>
  <c r="K42" i="78"/>
  <c r="R41" i="78"/>
  <c r="L41" i="78"/>
  <c r="K41" i="78"/>
  <c r="R40" i="78"/>
  <c r="O40" i="78"/>
  <c r="L40" i="78"/>
  <c r="K40" i="78"/>
  <c r="C40" i="78"/>
  <c r="R39" i="78"/>
  <c r="O39" i="78"/>
  <c r="L39" i="78"/>
  <c r="K39" i="78"/>
  <c r="C39" i="78"/>
  <c r="R38" i="78"/>
  <c r="O38" i="78"/>
  <c r="L38" i="78"/>
  <c r="K38" i="78"/>
  <c r="C38" i="78"/>
  <c r="R37" i="78"/>
  <c r="P37" i="78"/>
  <c r="O37" i="78"/>
  <c r="L37" i="78"/>
  <c r="K37" i="78"/>
  <c r="C37" i="78"/>
  <c r="R36" i="78"/>
  <c r="P36" i="78"/>
  <c r="L36" i="78"/>
  <c r="K36" i="78"/>
  <c r="D36" i="78"/>
  <c r="C36" i="78"/>
  <c r="B36" i="78"/>
  <c r="R35" i="78"/>
  <c r="P35" i="78"/>
  <c r="O35" i="78"/>
  <c r="L35" i="78"/>
  <c r="K35" i="78"/>
  <c r="F35" i="78"/>
  <c r="D35" i="78"/>
  <c r="C35" i="78"/>
  <c r="B35" i="78"/>
  <c r="R34" i="78"/>
  <c r="P34" i="78"/>
  <c r="O34" i="78"/>
  <c r="L34" i="78"/>
  <c r="K34" i="78"/>
  <c r="J34" i="78"/>
  <c r="F34" i="78"/>
  <c r="D34" i="78"/>
  <c r="C34" i="78"/>
  <c r="B34" i="78"/>
  <c r="R33" i="78"/>
  <c r="P33" i="78"/>
  <c r="O33" i="78"/>
  <c r="L33" i="78"/>
  <c r="K33" i="78"/>
  <c r="J33" i="78"/>
  <c r="F33" i="78"/>
  <c r="D33" i="78"/>
  <c r="C33" i="78"/>
  <c r="B33" i="78"/>
  <c r="R32" i="78"/>
  <c r="P32" i="78"/>
  <c r="O32" i="78"/>
  <c r="L32" i="78"/>
  <c r="K32" i="78"/>
  <c r="J32" i="78"/>
  <c r="F32" i="78"/>
  <c r="D32" i="78"/>
  <c r="C32" i="78"/>
  <c r="B32" i="78"/>
  <c r="R31" i="78"/>
  <c r="P31" i="78"/>
  <c r="O31" i="78"/>
  <c r="L31" i="78"/>
  <c r="K31" i="78"/>
  <c r="J31" i="78"/>
  <c r="H31" i="78"/>
  <c r="G31" i="78"/>
  <c r="F31" i="78"/>
  <c r="D31" i="78"/>
  <c r="C31" i="78"/>
  <c r="B31" i="78"/>
  <c r="R30" i="78"/>
  <c r="P30" i="78"/>
  <c r="O30" i="78"/>
  <c r="L30" i="78"/>
  <c r="K30" i="78"/>
  <c r="J30" i="78"/>
  <c r="H30" i="78"/>
  <c r="G30" i="78"/>
  <c r="F30" i="78"/>
  <c r="D30" i="78"/>
  <c r="C30" i="78"/>
  <c r="B30" i="78"/>
  <c r="R29" i="78"/>
  <c r="P29" i="78"/>
  <c r="O29" i="78"/>
  <c r="L29" i="78"/>
  <c r="K29" i="78"/>
  <c r="J29" i="78"/>
  <c r="I29" i="78"/>
  <c r="H29" i="78"/>
  <c r="G29" i="78"/>
  <c r="F29" i="78"/>
  <c r="D29" i="78"/>
  <c r="C29" i="78"/>
  <c r="B29" i="78"/>
  <c r="R28" i="78"/>
  <c r="P28" i="78"/>
  <c r="O28" i="78"/>
  <c r="L28" i="78"/>
  <c r="K28" i="78"/>
  <c r="J28" i="78"/>
  <c r="I28" i="78"/>
  <c r="H28" i="78"/>
  <c r="G28" i="78"/>
  <c r="F28" i="78"/>
  <c r="D28" i="78"/>
  <c r="C28" i="78"/>
  <c r="B28" i="78"/>
  <c r="Q24" i="78"/>
  <c r="P24" i="78"/>
  <c r="O24" i="78"/>
  <c r="N24" i="78"/>
  <c r="M24" i="78"/>
  <c r="L24" i="78"/>
  <c r="K24" i="78"/>
  <c r="J24" i="78"/>
  <c r="I24" i="78"/>
  <c r="H24" i="78"/>
  <c r="G24" i="78"/>
  <c r="F24" i="78"/>
  <c r="E24" i="78"/>
  <c r="D24" i="78"/>
  <c r="C24" i="78"/>
  <c r="B24" i="78"/>
  <c r="R68" i="77"/>
  <c r="R67" i="77"/>
  <c r="R66" i="77"/>
  <c r="R65" i="77"/>
  <c r="R64" i="77"/>
  <c r="R63" i="77"/>
  <c r="R62" i="77"/>
  <c r="R61" i="77"/>
  <c r="R60" i="77"/>
  <c r="R59" i="77"/>
  <c r="R58" i="77"/>
  <c r="R57" i="77"/>
  <c r="R56" i="77"/>
  <c r="R55" i="77"/>
  <c r="R54" i="77"/>
  <c r="R53" i="77"/>
  <c r="R52" i="77"/>
  <c r="R51" i="77"/>
  <c r="R50" i="77"/>
  <c r="K50" i="77"/>
  <c r="R49" i="77"/>
  <c r="K49" i="77"/>
  <c r="R48" i="77"/>
  <c r="K48" i="77"/>
  <c r="R47" i="77"/>
  <c r="K47" i="77"/>
  <c r="R46" i="77"/>
  <c r="K46" i="77"/>
  <c r="R45" i="77"/>
  <c r="K45" i="77"/>
  <c r="R44" i="77"/>
  <c r="L44" i="77"/>
  <c r="K44" i="77"/>
  <c r="R43" i="77"/>
  <c r="L43" i="77"/>
  <c r="K43" i="77"/>
  <c r="R42" i="77"/>
  <c r="L42" i="77"/>
  <c r="K42" i="77"/>
  <c r="R41" i="77"/>
  <c r="L41" i="77"/>
  <c r="K41" i="77"/>
  <c r="R40" i="77"/>
  <c r="O40" i="77"/>
  <c r="L40" i="77"/>
  <c r="K40" i="77"/>
  <c r="C40" i="77"/>
  <c r="R39" i="77"/>
  <c r="O39" i="77"/>
  <c r="L39" i="77"/>
  <c r="K39" i="77"/>
  <c r="C39" i="77"/>
  <c r="R38" i="77"/>
  <c r="O38" i="77"/>
  <c r="L38" i="77"/>
  <c r="K38" i="77"/>
  <c r="C38" i="77"/>
  <c r="R37" i="77"/>
  <c r="P37" i="77"/>
  <c r="O37" i="77"/>
  <c r="L37" i="77"/>
  <c r="K37" i="77"/>
  <c r="C37" i="77"/>
  <c r="R36" i="77"/>
  <c r="P36" i="77"/>
  <c r="L36" i="77"/>
  <c r="K36" i="77"/>
  <c r="D36" i="77"/>
  <c r="C36" i="77"/>
  <c r="B36" i="77"/>
  <c r="R35" i="77"/>
  <c r="P35" i="77"/>
  <c r="O35" i="77"/>
  <c r="L35" i="77"/>
  <c r="K35" i="77"/>
  <c r="F35" i="77"/>
  <c r="D35" i="77"/>
  <c r="C35" i="77"/>
  <c r="B35" i="77"/>
  <c r="R34" i="77"/>
  <c r="P34" i="77"/>
  <c r="O34" i="77"/>
  <c r="L34" i="77"/>
  <c r="K34" i="77"/>
  <c r="J34" i="77"/>
  <c r="F34" i="77"/>
  <c r="D34" i="77"/>
  <c r="C34" i="77"/>
  <c r="B34" i="77"/>
  <c r="R33" i="77"/>
  <c r="P33" i="77"/>
  <c r="O33" i="77"/>
  <c r="L33" i="77"/>
  <c r="K33" i="77"/>
  <c r="J33" i="77"/>
  <c r="F33" i="77"/>
  <c r="D33" i="77"/>
  <c r="C33" i="77"/>
  <c r="B33" i="77"/>
  <c r="R32" i="77"/>
  <c r="P32" i="77"/>
  <c r="O32" i="77"/>
  <c r="L32" i="77"/>
  <c r="K32" i="77"/>
  <c r="J32" i="77"/>
  <c r="F32" i="77"/>
  <c r="D32" i="77"/>
  <c r="C32" i="77"/>
  <c r="B32" i="77"/>
  <c r="R31" i="77"/>
  <c r="P31" i="77"/>
  <c r="O31" i="77"/>
  <c r="L31" i="77"/>
  <c r="K31" i="77"/>
  <c r="J31" i="77"/>
  <c r="H31" i="77"/>
  <c r="G31" i="77"/>
  <c r="F31" i="77"/>
  <c r="D31" i="77"/>
  <c r="C31" i="77"/>
  <c r="B31" i="77"/>
  <c r="R30" i="77"/>
  <c r="P30" i="77"/>
  <c r="O30" i="77"/>
  <c r="L30" i="77"/>
  <c r="K30" i="77"/>
  <c r="J30" i="77"/>
  <c r="H30" i="77"/>
  <c r="G30" i="77"/>
  <c r="F30" i="77"/>
  <c r="D30" i="77"/>
  <c r="C30" i="77"/>
  <c r="B30" i="77"/>
  <c r="R29" i="77"/>
  <c r="P29" i="77"/>
  <c r="O29" i="77"/>
  <c r="L29" i="77"/>
  <c r="K29" i="77"/>
  <c r="J29" i="77"/>
  <c r="I29" i="77"/>
  <c r="H29" i="77"/>
  <c r="G29" i="77"/>
  <c r="F29" i="77"/>
  <c r="D29" i="77"/>
  <c r="C29" i="77"/>
  <c r="B29" i="77"/>
  <c r="R28" i="77"/>
  <c r="P28" i="77"/>
  <c r="O28" i="77"/>
  <c r="L28" i="77"/>
  <c r="K28" i="77"/>
  <c r="J28" i="77"/>
  <c r="I28" i="77"/>
  <c r="H28" i="77"/>
  <c r="G28" i="77"/>
  <c r="F28" i="77"/>
  <c r="D28" i="77"/>
  <c r="C28" i="77"/>
  <c r="B28" i="77"/>
  <c r="Q24" i="77"/>
  <c r="P24" i="77"/>
  <c r="O24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B24" i="77"/>
  <c r="R68" i="76"/>
  <c r="R67" i="76"/>
  <c r="R66" i="76"/>
  <c r="R65" i="76"/>
  <c r="R64" i="76"/>
  <c r="R63" i="76"/>
  <c r="R62" i="76"/>
  <c r="R61" i="76"/>
  <c r="R60" i="76"/>
  <c r="R59" i="76"/>
  <c r="R58" i="76"/>
  <c r="R57" i="76"/>
  <c r="R56" i="76"/>
  <c r="R55" i="76"/>
  <c r="R54" i="76"/>
  <c r="R53" i="76"/>
  <c r="R52" i="76"/>
  <c r="R51" i="76"/>
  <c r="R50" i="76"/>
  <c r="K50" i="76"/>
  <c r="R49" i="76"/>
  <c r="K49" i="76"/>
  <c r="R48" i="76"/>
  <c r="K48" i="76"/>
  <c r="R47" i="76"/>
  <c r="K47" i="76"/>
  <c r="R46" i="76"/>
  <c r="K46" i="76"/>
  <c r="R45" i="76"/>
  <c r="K45" i="76"/>
  <c r="R44" i="76"/>
  <c r="L44" i="76"/>
  <c r="K44" i="76"/>
  <c r="R43" i="76"/>
  <c r="L43" i="76"/>
  <c r="K43" i="76"/>
  <c r="R42" i="76"/>
  <c r="L42" i="76"/>
  <c r="K42" i="76"/>
  <c r="R41" i="76"/>
  <c r="L41" i="76"/>
  <c r="K41" i="76"/>
  <c r="R40" i="76"/>
  <c r="O40" i="76"/>
  <c r="L40" i="76"/>
  <c r="K40" i="76"/>
  <c r="C40" i="76"/>
  <c r="R39" i="76"/>
  <c r="O39" i="76"/>
  <c r="L39" i="76"/>
  <c r="K39" i="76"/>
  <c r="C39" i="76"/>
  <c r="R38" i="76"/>
  <c r="O38" i="76"/>
  <c r="L38" i="76"/>
  <c r="K38" i="76"/>
  <c r="C38" i="76"/>
  <c r="R37" i="76"/>
  <c r="P37" i="76"/>
  <c r="O37" i="76"/>
  <c r="L37" i="76"/>
  <c r="K37" i="76"/>
  <c r="C37" i="76"/>
  <c r="R36" i="76"/>
  <c r="P36" i="76"/>
  <c r="L36" i="76"/>
  <c r="K36" i="76"/>
  <c r="D36" i="76"/>
  <c r="C36" i="76"/>
  <c r="B36" i="76"/>
  <c r="R35" i="76"/>
  <c r="P35" i="76"/>
  <c r="O35" i="76"/>
  <c r="L35" i="76"/>
  <c r="K35" i="76"/>
  <c r="F35" i="76"/>
  <c r="D35" i="76"/>
  <c r="C35" i="76"/>
  <c r="B35" i="76"/>
  <c r="R34" i="76"/>
  <c r="P34" i="76"/>
  <c r="O34" i="76"/>
  <c r="L34" i="76"/>
  <c r="K34" i="76"/>
  <c r="J34" i="76"/>
  <c r="F34" i="76"/>
  <c r="D34" i="76"/>
  <c r="C34" i="76"/>
  <c r="B34" i="76"/>
  <c r="R33" i="76"/>
  <c r="P33" i="76"/>
  <c r="O33" i="76"/>
  <c r="L33" i="76"/>
  <c r="K33" i="76"/>
  <c r="J33" i="76"/>
  <c r="F33" i="76"/>
  <c r="D33" i="76"/>
  <c r="C33" i="76"/>
  <c r="B33" i="76"/>
  <c r="R32" i="76"/>
  <c r="P32" i="76"/>
  <c r="O32" i="76"/>
  <c r="L32" i="76"/>
  <c r="K32" i="76"/>
  <c r="J32" i="76"/>
  <c r="F32" i="76"/>
  <c r="D32" i="76"/>
  <c r="C32" i="76"/>
  <c r="B32" i="76"/>
  <c r="R31" i="76"/>
  <c r="P31" i="76"/>
  <c r="O31" i="76"/>
  <c r="L31" i="76"/>
  <c r="K31" i="76"/>
  <c r="J31" i="76"/>
  <c r="H31" i="76"/>
  <c r="G31" i="76"/>
  <c r="F31" i="76"/>
  <c r="D31" i="76"/>
  <c r="C31" i="76"/>
  <c r="B31" i="76"/>
  <c r="R30" i="76"/>
  <c r="P30" i="76"/>
  <c r="O30" i="76"/>
  <c r="L30" i="76"/>
  <c r="K30" i="76"/>
  <c r="J30" i="76"/>
  <c r="H30" i="76"/>
  <c r="G30" i="76"/>
  <c r="F30" i="76"/>
  <c r="D30" i="76"/>
  <c r="C30" i="76"/>
  <c r="B30" i="76"/>
  <c r="R29" i="76"/>
  <c r="P29" i="76"/>
  <c r="O29" i="76"/>
  <c r="L29" i="76"/>
  <c r="K29" i="76"/>
  <c r="J29" i="76"/>
  <c r="I29" i="76"/>
  <c r="H29" i="76"/>
  <c r="G29" i="76"/>
  <c r="F29" i="76"/>
  <c r="D29" i="76"/>
  <c r="C29" i="76"/>
  <c r="B29" i="76"/>
  <c r="R28" i="76"/>
  <c r="P28" i="76"/>
  <c r="O28" i="76"/>
  <c r="L28" i="76"/>
  <c r="K28" i="76"/>
  <c r="J28" i="76"/>
  <c r="I28" i="76"/>
  <c r="H28" i="76"/>
  <c r="G28" i="76"/>
  <c r="F28" i="76"/>
  <c r="D28" i="76"/>
  <c r="C28" i="76"/>
  <c r="B28" i="76"/>
  <c r="Q24" i="76"/>
  <c r="P24" i="76"/>
  <c r="O24" i="76"/>
  <c r="N24" i="76"/>
  <c r="M24" i="76"/>
  <c r="L24" i="76"/>
  <c r="K24" i="76"/>
  <c r="J24" i="76"/>
  <c r="I24" i="76"/>
  <c r="H24" i="76"/>
  <c r="G24" i="76"/>
  <c r="F24" i="76"/>
  <c r="E24" i="76"/>
  <c r="D24" i="76"/>
  <c r="C24" i="76"/>
  <c r="B24" i="76"/>
  <c r="R68" i="75"/>
  <c r="R67" i="75"/>
  <c r="R66" i="75"/>
  <c r="R65" i="75"/>
  <c r="R64" i="75"/>
  <c r="R63" i="75"/>
  <c r="R62" i="75"/>
  <c r="R61" i="75"/>
  <c r="R60" i="75"/>
  <c r="R59" i="75"/>
  <c r="R58" i="75"/>
  <c r="R57" i="75"/>
  <c r="R56" i="75"/>
  <c r="R55" i="75"/>
  <c r="R54" i="75"/>
  <c r="R53" i="75"/>
  <c r="R52" i="75"/>
  <c r="R51" i="75"/>
  <c r="R50" i="75"/>
  <c r="K50" i="75"/>
  <c r="R49" i="75"/>
  <c r="K49" i="75"/>
  <c r="R48" i="75"/>
  <c r="K48" i="75"/>
  <c r="R47" i="75"/>
  <c r="K47" i="75"/>
  <c r="R46" i="75"/>
  <c r="K46" i="75"/>
  <c r="R45" i="75"/>
  <c r="K45" i="75"/>
  <c r="R44" i="75"/>
  <c r="L44" i="75"/>
  <c r="K44" i="75"/>
  <c r="R43" i="75"/>
  <c r="L43" i="75"/>
  <c r="K43" i="75"/>
  <c r="R42" i="75"/>
  <c r="L42" i="75"/>
  <c r="K42" i="75"/>
  <c r="R41" i="75"/>
  <c r="L41" i="75"/>
  <c r="K41" i="75"/>
  <c r="R40" i="75"/>
  <c r="O40" i="75"/>
  <c r="L40" i="75"/>
  <c r="K40" i="75"/>
  <c r="C40" i="75"/>
  <c r="R39" i="75"/>
  <c r="O39" i="75"/>
  <c r="L39" i="75"/>
  <c r="K39" i="75"/>
  <c r="C39" i="75"/>
  <c r="R38" i="75"/>
  <c r="O38" i="75"/>
  <c r="L38" i="75"/>
  <c r="K38" i="75"/>
  <c r="C38" i="75"/>
  <c r="R37" i="75"/>
  <c r="P37" i="75"/>
  <c r="O37" i="75"/>
  <c r="L37" i="75"/>
  <c r="K37" i="75"/>
  <c r="C37" i="75"/>
  <c r="R36" i="75"/>
  <c r="P36" i="75"/>
  <c r="L36" i="75"/>
  <c r="K36" i="75"/>
  <c r="D36" i="75"/>
  <c r="C36" i="75"/>
  <c r="B36" i="75"/>
  <c r="R35" i="75"/>
  <c r="P35" i="75"/>
  <c r="O35" i="75"/>
  <c r="L35" i="75"/>
  <c r="K35" i="75"/>
  <c r="F35" i="75"/>
  <c r="D35" i="75"/>
  <c r="C35" i="75"/>
  <c r="B35" i="75"/>
  <c r="R34" i="75"/>
  <c r="P34" i="75"/>
  <c r="O34" i="75"/>
  <c r="L34" i="75"/>
  <c r="K34" i="75"/>
  <c r="J34" i="75"/>
  <c r="F34" i="75"/>
  <c r="D34" i="75"/>
  <c r="C34" i="75"/>
  <c r="B34" i="75"/>
  <c r="R33" i="75"/>
  <c r="P33" i="75"/>
  <c r="O33" i="75"/>
  <c r="L33" i="75"/>
  <c r="K33" i="75"/>
  <c r="J33" i="75"/>
  <c r="F33" i="75"/>
  <c r="D33" i="75"/>
  <c r="C33" i="75"/>
  <c r="B33" i="75"/>
  <c r="R32" i="75"/>
  <c r="P32" i="75"/>
  <c r="O32" i="75"/>
  <c r="L32" i="75"/>
  <c r="K32" i="75"/>
  <c r="J32" i="75"/>
  <c r="F32" i="75"/>
  <c r="D32" i="75"/>
  <c r="C32" i="75"/>
  <c r="B32" i="75"/>
  <c r="R31" i="75"/>
  <c r="P31" i="75"/>
  <c r="O31" i="75"/>
  <c r="L31" i="75"/>
  <c r="K31" i="75"/>
  <c r="J31" i="75"/>
  <c r="H31" i="75"/>
  <c r="G31" i="75"/>
  <c r="F31" i="75"/>
  <c r="D31" i="75"/>
  <c r="C31" i="75"/>
  <c r="B31" i="75"/>
  <c r="R30" i="75"/>
  <c r="P30" i="75"/>
  <c r="O30" i="75"/>
  <c r="L30" i="75"/>
  <c r="K30" i="75"/>
  <c r="J30" i="75"/>
  <c r="H30" i="75"/>
  <c r="G30" i="75"/>
  <c r="F30" i="75"/>
  <c r="D30" i="75"/>
  <c r="C30" i="75"/>
  <c r="B30" i="75"/>
  <c r="R29" i="75"/>
  <c r="P29" i="75"/>
  <c r="O29" i="75"/>
  <c r="L29" i="75"/>
  <c r="K29" i="75"/>
  <c r="J29" i="75"/>
  <c r="I29" i="75"/>
  <c r="H29" i="75"/>
  <c r="G29" i="75"/>
  <c r="F29" i="75"/>
  <c r="D29" i="75"/>
  <c r="C29" i="75"/>
  <c r="B29" i="75"/>
  <c r="R28" i="75"/>
  <c r="P28" i="75"/>
  <c r="O28" i="75"/>
  <c r="L28" i="75"/>
  <c r="K28" i="75"/>
  <c r="J28" i="75"/>
  <c r="I28" i="75"/>
  <c r="H28" i="75"/>
  <c r="G28" i="75"/>
  <c r="F28" i="75"/>
  <c r="D28" i="75"/>
  <c r="C28" i="75"/>
  <c r="B28" i="75"/>
  <c r="Q24" i="75"/>
  <c r="P24" i="75"/>
  <c r="O24" i="75"/>
  <c r="N24" i="75"/>
  <c r="M24" i="75"/>
  <c r="L24" i="75"/>
  <c r="K24" i="75"/>
  <c r="J24" i="75"/>
  <c r="I24" i="75"/>
  <c r="H24" i="75"/>
  <c r="G24" i="75"/>
  <c r="F24" i="75"/>
  <c r="E24" i="75"/>
  <c r="D24" i="75"/>
  <c r="C24" i="75"/>
  <c r="B24" i="75"/>
  <c r="R68" i="74"/>
  <c r="R67" i="74"/>
  <c r="R66" i="74"/>
  <c r="R65" i="74"/>
  <c r="R64" i="74"/>
  <c r="R63" i="74"/>
  <c r="R62" i="74"/>
  <c r="R61" i="74"/>
  <c r="R60" i="74"/>
  <c r="R59" i="74"/>
  <c r="R58" i="74"/>
  <c r="R57" i="74"/>
  <c r="R56" i="74"/>
  <c r="R55" i="74"/>
  <c r="R54" i="74"/>
  <c r="R53" i="74"/>
  <c r="R52" i="74"/>
  <c r="R51" i="74"/>
  <c r="R50" i="74"/>
  <c r="K50" i="74"/>
  <c r="R49" i="74"/>
  <c r="K49" i="74"/>
  <c r="R48" i="74"/>
  <c r="K48" i="74"/>
  <c r="R47" i="74"/>
  <c r="K47" i="74"/>
  <c r="R46" i="74"/>
  <c r="K46" i="74"/>
  <c r="R45" i="74"/>
  <c r="K45" i="74"/>
  <c r="R44" i="74"/>
  <c r="L44" i="74"/>
  <c r="K44" i="74"/>
  <c r="R43" i="74"/>
  <c r="L43" i="74"/>
  <c r="K43" i="74"/>
  <c r="R42" i="74"/>
  <c r="L42" i="74"/>
  <c r="K42" i="74"/>
  <c r="R41" i="74"/>
  <c r="L41" i="74"/>
  <c r="K41" i="74"/>
  <c r="R40" i="74"/>
  <c r="O40" i="74"/>
  <c r="L40" i="74"/>
  <c r="K40" i="74"/>
  <c r="C40" i="74"/>
  <c r="R39" i="74"/>
  <c r="O39" i="74"/>
  <c r="L39" i="74"/>
  <c r="K39" i="74"/>
  <c r="C39" i="74"/>
  <c r="R38" i="74"/>
  <c r="O38" i="74"/>
  <c r="L38" i="74"/>
  <c r="K38" i="74"/>
  <c r="C38" i="74"/>
  <c r="R37" i="74"/>
  <c r="P37" i="74"/>
  <c r="O37" i="74"/>
  <c r="L37" i="74"/>
  <c r="K37" i="74"/>
  <c r="C37" i="74"/>
  <c r="R36" i="74"/>
  <c r="P36" i="74"/>
  <c r="L36" i="74"/>
  <c r="K36" i="74"/>
  <c r="D36" i="74"/>
  <c r="C36" i="74"/>
  <c r="B36" i="74"/>
  <c r="R35" i="74"/>
  <c r="P35" i="74"/>
  <c r="O35" i="74"/>
  <c r="L35" i="74"/>
  <c r="K35" i="74"/>
  <c r="F35" i="74"/>
  <c r="D35" i="74"/>
  <c r="C35" i="74"/>
  <c r="B35" i="74"/>
  <c r="R34" i="74"/>
  <c r="P34" i="74"/>
  <c r="O34" i="74"/>
  <c r="L34" i="74"/>
  <c r="K34" i="74"/>
  <c r="J34" i="74"/>
  <c r="F34" i="74"/>
  <c r="D34" i="74"/>
  <c r="C34" i="74"/>
  <c r="B34" i="74"/>
  <c r="R33" i="74"/>
  <c r="P33" i="74"/>
  <c r="O33" i="74"/>
  <c r="L33" i="74"/>
  <c r="K33" i="74"/>
  <c r="J33" i="74"/>
  <c r="F33" i="74"/>
  <c r="D33" i="74"/>
  <c r="C33" i="74"/>
  <c r="B33" i="74"/>
  <c r="R32" i="74"/>
  <c r="P32" i="74"/>
  <c r="O32" i="74"/>
  <c r="L32" i="74"/>
  <c r="K32" i="74"/>
  <c r="J32" i="74"/>
  <c r="F32" i="74"/>
  <c r="D32" i="74"/>
  <c r="C32" i="74"/>
  <c r="B32" i="74"/>
  <c r="R31" i="74"/>
  <c r="P31" i="74"/>
  <c r="O31" i="74"/>
  <c r="L31" i="74"/>
  <c r="K31" i="74"/>
  <c r="J31" i="74"/>
  <c r="H31" i="74"/>
  <c r="G31" i="74"/>
  <c r="F31" i="74"/>
  <c r="D31" i="74"/>
  <c r="C31" i="74"/>
  <c r="B31" i="74"/>
  <c r="R30" i="74"/>
  <c r="P30" i="74"/>
  <c r="O30" i="74"/>
  <c r="L30" i="74"/>
  <c r="K30" i="74"/>
  <c r="J30" i="74"/>
  <c r="H30" i="74"/>
  <c r="G30" i="74"/>
  <c r="F30" i="74"/>
  <c r="D30" i="74"/>
  <c r="C30" i="74"/>
  <c r="B30" i="74"/>
  <c r="R29" i="74"/>
  <c r="P29" i="74"/>
  <c r="O29" i="74"/>
  <c r="L29" i="74"/>
  <c r="K29" i="74"/>
  <c r="J29" i="74"/>
  <c r="I29" i="74"/>
  <c r="H29" i="74"/>
  <c r="G29" i="74"/>
  <c r="F29" i="74"/>
  <c r="D29" i="74"/>
  <c r="C29" i="74"/>
  <c r="B29" i="74"/>
  <c r="R28" i="74"/>
  <c r="P28" i="74"/>
  <c r="O28" i="74"/>
  <c r="L28" i="74"/>
  <c r="K28" i="74"/>
  <c r="J28" i="74"/>
  <c r="I28" i="74"/>
  <c r="H28" i="74"/>
  <c r="G28" i="74"/>
  <c r="F28" i="74"/>
  <c r="D28" i="74"/>
  <c r="C28" i="74"/>
  <c r="B28" i="74"/>
  <c r="Q24" i="74"/>
  <c r="P24" i="74"/>
  <c r="O24" i="74"/>
  <c r="N24" i="74"/>
  <c r="M24" i="74"/>
  <c r="L24" i="74"/>
  <c r="K24" i="74"/>
  <c r="J24" i="74"/>
  <c r="I24" i="74"/>
  <c r="H24" i="74"/>
  <c r="G24" i="74"/>
  <c r="F24" i="74"/>
  <c r="E24" i="74"/>
  <c r="D24" i="74"/>
  <c r="C24" i="74"/>
  <c r="B24" i="74"/>
  <c r="R68" i="73"/>
  <c r="R67" i="73"/>
  <c r="R66" i="73"/>
  <c r="R65" i="73"/>
  <c r="R64" i="73"/>
  <c r="R63" i="73"/>
  <c r="R62" i="73"/>
  <c r="R61" i="73"/>
  <c r="R60" i="73"/>
  <c r="R59" i="73"/>
  <c r="R58" i="73"/>
  <c r="R57" i="73"/>
  <c r="R56" i="73"/>
  <c r="R55" i="73"/>
  <c r="R54" i="73"/>
  <c r="R53" i="73"/>
  <c r="R52" i="73"/>
  <c r="R51" i="73"/>
  <c r="R50" i="73"/>
  <c r="K50" i="73"/>
  <c r="R49" i="73"/>
  <c r="K49" i="73"/>
  <c r="R48" i="73"/>
  <c r="K48" i="73"/>
  <c r="R47" i="73"/>
  <c r="K47" i="73"/>
  <c r="R46" i="73"/>
  <c r="K46" i="73"/>
  <c r="R45" i="73"/>
  <c r="K45" i="73"/>
  <c r="R44" i="73"/>
  <c r="L44" i="73"/>
  <c r="K44" i="73"/>
  <c r="R43" i="73"/>
  <c r="L43" i="73"/>
  <c r="K43" i="73"/>
  <c r="R42" i="73"/>
  <c r="L42" i="73"/>
  <c r="K42" i="73"/>
  <c r="R41" i="73"/>
  <c r="L41" i="73"/>
  <c r="K41" i="73"/>
  <c r="R40" i="73"/>
  <c r="O40" i="73"/>
  <c r="L40" i="73"/>
  <c r="K40" i="73"/>
  <c r="C40" i="73"/>
  <c r="R39" i="73"/>
  <c r="O39" i="73"/>
  <c r="L39" i="73"/>
  <c r="K39" i="73"/>
  <c r="C39" i="73"/>
  <c r="R38" i="73"/>
  <c r="O38" i="73"/>
  <c r="L38" i="73"/>
  <c r="K38" i="73"/>
  <c r="C38" i="73"/>
  <c r="R37" i="73"/>
  <c r="P37" i="73"/>
  <c r="O37" i="73"/>
  <c r="L37" i="73"/>
  <c r="K37" i="73"/>
  <c r="C37" i="73"/>
  <c r="R36" i="73"/>
  <c r="P36" i="73"/>
  <c r="L36" i="73"/>
  <c r="K36" i="73"/>
  <c r="D36" i="73"/>
  <c r="C36" i="73"/>
  <c r="B36" i="73"/>
  <c r="R35" i="73"/>
  <c r="P35" i="73"/>
  <c r="O35" i="73"/>
  <c r="L35" i="73"/>
  <c r="K35" i="73"/>
  <c r="F35" i="73"/>
  <c r="D35" i="73"/>
  <c r="C35" i="73"/>
  <c r="B35" i="73"/>
  <c r="R34" i="73"/>
  <c r="P34" i="73"/>
  <c r="O34" i="73"/>
  <c r="L34" i="73"/>
  <c r="K34" i="73"/>
  <c r="J34" i="73"/>
  <c r="F34" i="73"/>
  <c r="D34" i="73"/>
  <c r="C34" i="73"/>
  <c r="B34" i="73"/>
  <c r="R33" i="73"/>
  <c r="P33" i="73"/>
  <c r="O33" i="73"/>
  <c r="L33" i="73"/>
  <c r="K33" i="73"/>
  <c r="J33" i="73"/>
  <c r="F33" i="73"/>
  <c r="D33" i="73"/>
  <c r="C33" i="73"/>
  <c r="B33" i="73"/>
  <c r="R32" i="73"/>
  <c r="P32" i="73"/>
  <c r="O32" i="73"/>
  <c r="L32" i="73"/>
  <c r="K32" i="73"/>
  <c r="J32" i="73"/>
  <c r="F32" i="73"/>
  <c r="D32" i="73"/>
  <c r="C32" i="73"/>
  <c r="B32" i="73"/>
  <c r="R31" i="73"/>
  <c r="P31" i="73"/>
  <c r="O31" i="73"/>
  <c r="L31" i="73"/>
  <c r="K31" i="73"/>
  <c r="J31" i="73"/>
  <c r="H31" i="73"/>
  <c r="G31" i="73"/>
  <c r="F31" i="73"/>
  <c r="D31" i="73"/>
  <c r="C31" i="73"/>
  <c r="B31" i="73"/>
  <c r="R30" i="73"/>
  <c r="P30" i="73"/>
  <c r="O30" i="73"/>
  <c r="L30" i="73"/>
  <c r="K30" i="73"/>
  <c r="J30" i="73"/>
  <c r="H30" i="73"/>
  <c r="G30" i="73"/>
  <c r="F30" i="73"/>
  <c r="D30" i="73"/>
  <c r="C30" i="73"/>
  <c r="B30" i="73"/>
  <c r="R29" i="73"/>
  <c r="P29" i="73"/>
  <c r="O29" i="73"/>
  <c r="L29" i="73"/>
  <c r="K29" i="73"/>
  <c r="J29" i="73"/>
  <c r="I29" i="73"/>
  <c r="H29" i="73"/>
  <c r="G29" i="73"/>
  <c r="F29" i="73"/>
  <c r="D29" i="73"/>
  <c r="C29" i="73"/>
  <c r="B29" i="73"/>
  <c r="R28" i="73"/>
  <c r="P28" i="73"/>
  <c r="O28" i="73"/>
  <c r="L28" i="73"/>
  <c r="K28" i="73"/>
  <c r="J28" i="73"/>
  <c r="I28" i="73"/>
  <c r="H28" i="73"/>
  <c r="G28" i="73"/>
  <c r="F28" i="73"/>
  <c r="D28" i="73"/>
  <c r="C28" i="73"/>
  <c r="B28" i="73"/>
  <c r="Q24" i="73"/>
  <c r="P24" i="73"/>
  <c r="O24" i="73"/>
  <c r="N24" i="73"/>
  <c r="M24" i="73"/>
  <c r="L24" i="73"/>
  <c r="K24" i="73"/>
  <c r="J24" i="73"/>
  <c r="I24" i="73"/>
  <c r="H24" i="73"/>
  <c r="G24" i="73"/>
  <c r="F24" i="73"/>
  <c r="E24" i="73"/>
  <c r="D24" i="73"/>
  <c r="C24" i="73"/>
  <c r="B24" i="73"/>
  <c r="R68" i="72"/>
  <c r="R67" i="72"/>
  <c r="R66" i="72"/>
  <c r="R65" i="72"/>
  <c r="R64" i="72"/>
  <c r="R63" i="72"/>
  <c r="R62" i="72"/>
  <c r="R61" i="72"/>
  <c r="R60" i="72"/>
  <c r="R59" i="72"/>
  <c r="R58" i="72"/>
  <c r="R57" i="72"/>
  <c r="R56" i="72"/>
  <c r="R55" i="72"/>
  <c r="R54" i="72"/>
  <c r="R53" i="72"/>
  <c r="R52" i="72"/>
  <c r="R51" i="72"/>
  <c r="R50" i="72"/>
  <c r="K50" i="72"/>
  <c r="R49" i="72"/>
  <c r="K49" i="72"/>
  <c r="R48" i="72"/>
  <c r="K48" i="72"/>
  <c r="R47" i="72"/>
  <c r="K47" i="72"/>
  <c r="R46" i="72"/>
  <c r="K46" i="72"/>
  <c r="R45" i="72"/>
  <c r="K45" i="72"/>
  <c r="R44" i="72"/>
  <c r="L44" i="72"/>
  <c r="K44" i="72"/>
  <c r="R43" i="72"/>
  <c r="L43" i="72"/>
  <c r="K43" i="72"/>
  <c r="R42" i="72"/>
  <c r="L42" i="72"/>
  <c r="K42" i="72"/>
  <c r="R41" i="72"/>
  <c r="L41" i="72"/>
  <c r="K41" i="72"/>
  <c r="R40" i="72"/>
  <c r="O40" i="72"/>
  <c r="L40" i="72"/>
  <c r="K40" i="72"/>
  <c r="C40" i="72"/>
  <c r="R39" i="72"/>
  <c r="O39" i="72"/>
  <c r="L39" i="72"/>
  <c r="K39" i="72"/>
  <c r="C39" i="72"/>
  <c r="R38" i="72"/>
  <c r="O38" i="72"/>
  <c r="L38" i="72"/>
  <c r="K38" i="72"/>
  <c r="C38" i="72"/>
  <c r="R37" i="72"/>
  <c r="P37" i="72"/>
  <c r="O37" i="72"/>
  <c r="L37" i="72"/>
  <c r="K37" i="72"/>
  <c r="C37" i="72"/>
  <c r="R36" i="72"/>
  <c r="P36" i="72"/>
  <c r="L36" i="72"/>
  <c r="K36" i="72"/>
  <c r="D36" i="72"/>
  <c r="C36" i="72"/>
  <c r="B36" i="72"/>
  <c r="R35" i="72"/>
  <c r="P35" i="72"/>
  <c r="O35" i="72"/>
  <c r="L35" i="72"/>
  <c r="K35" i="72"/>
  <c r="F35" i="72"/>
  <c r="D35" i="72"/>
  <c r="C35" i="72"/>
  <c r="B35" i="72"/>
  <c r="R34" i="72"/>
  <c r="P34" i="72"/>
  <c r="O34" i="72"/>
  <c r="L34" i="72"/>
  <c r="K34" i="72"/>
  <c r="J34" i="72"/>
  <c r="F34" i="72"/>
  <c r="D34" i="72"/>
  <c r="C34" i="72"/>
  <c r="B34" i="72"/>
  <c r="R33" i="72"/>
  <c r="P33" i="72"/>
  <c r="O33" i="72"/>
  <c r="L33" i="72"/>
  <c r="K33" i="72"/>
  <c r="J33" i="72"/>
  <c r="F33" i="72"/>
  <c r="D33" i="72"/>
  <c r="C33" i="72"/>
  <c r="B33" i="72"/>
  <c r="R32" i="72"/>
  <c r="P32" i="72"/>
  <c r="O32" i="72"/>
  <c r="L32" i="72"/>
  <c r="K32" i="72"/>
  <c r="J32" i="72"/>
  <c r="F32" i="72"/>
  <c r="D32" i="72"/>
  <c r="C32" i="72"/>
  <c r="B32" i="72"/>
  <c r="R31" i="72"/>
  <c r="P31" i="72"/>
  <c r="O31" i="72"/>
  <c r="L31" i="72"/>
  <c r="K31" i="72"/>
  <c r="J31" i="72"/>
  <c r="H31" i="72"/>
  <c r="G31" i="72"/>
  <c r="F31" i="72"/>
  <c r="D31" i="72"/>
  <c r="C31" i="72"/>
  <c r="B31" i="72"/>
  <c r="R30" i="72"/>
  <c r="P30" i="72"/>
  <c r="O30" i="72"/>
  <c r="L30" i="72"/>
  <c r="K30" i="72"/>
  <c r="J30" i="72"/>
  <c r="H30" i="72"/>
  <c r="G30" i="72"/>
  <c r="F30" i="72"/>
  <c r="D30" i="72"/>
  <c r="C30" i="72"/>
  <c r="B30" i="72"/>
  <c r="R29" i="72"/>
  <c r="P29" i="72"/>
  <c r="O29" i="72"/>
  <c r="L29" i="72"/>
  <c r="K29" i="72"/>
  <c r="J29" i="72"/>
  <c r="I29" i="72"/>
  <c r="H29" i="72"/>
  <c r="G29" i="72"/>
  <c r="F29" i="72"/>
  <c r="D29" i="72"/>
  <c r="C29" i="72"/>
  <c r="B29" i="72"/>
  <c r="R28" i="72"/>
  <c r="P28" i="72"/>
  <c r="O28" i="72"/>
  <c r="L28" i="72"/>
  <c r="K28" i="72"/>
  <c r="J28" i="72"/>
  <c r="I28" i="72"/>
  <c r="H28" i="72"/>
  <c r="G28" i="72"/>
  <c r="F28" i="72"/>
  <c r="D28" i="72"/>
  <c r="C28" i="72"/>
  <c r="B28" i="72"/>
  <c r="Q24" i="72"/>
  <c r="P24" i="72"/>
  <c r="O24" i="72"/>
  <c r="N24" i="72"/>
  <c r="M24" i="72"/>
  <c r="L24" i="72"/>
  <c r="K24" i="72"/>
  <c r="J24" i="72"/>
  <c r="I24" i="72"/>
  <c r="H24" i="72"/>
  <c r="G24" i="72"/>
  <c r="F24" i="72"/>
  <c r="E24" i="72"/>
  <c r="D24" i="72"/>
  <c r="C24" i="72"/>
  <c r="B24" i="72"/>
  <c r="R68" i="71"/>
  <c r="R67" i="71"/>
  <c r="R66" i="71"/>
  <c r="R65" i="71"/>
  <c r="R64" i="71"/>
  <c r="R63" i="71"/>
  <c r="R62" i="71"/>
  <c r="R61" i="71"/>
  <c r="R60" i="71"/>
  <c r="R59" i="71"/>
  <c r="R58" i="71"/>
  <c r="R57" i="71"/>
  <c r="R56" i="71"/>
  <c r="R55" i="71"/>
  <c r="R54" i="71"/>
  <c r="R53" i="71"/>
  <c r="R52" i="71"/>
  <c r="R51" i="71"/>
  <c r="R50" i="71"/>
  <c r="K50" i="71"/>
  <c r="R49" i="71"/>
  <c r="K49" i="71"/>
  <c r="R48" i="71"/>
  <c r="K48" i="71"/>
  <c r="R47" i="71"/>
  <c r="K47" i="71"/>
  <c r="R46" i="71"/>
  <c r="K46" i="71"/>
  <c r="R45" i="71"/>
  <c r="K45" i="71"/>
  <c r="R44" i="71"/>
  <c r="L44" i="71"/>
  <c r="K44" i="71"/>
  <c r="R43" i="71"/>
  <c r="L43" i="71"/>
  <c r="K43" i="71"/>
  <c r="R42" i="71"/>
  <c r="L42" i="71"/>
  <c r="K42" i="71"/>
  <c r="R41" i="71"/>
  <c r="L41" i="71"/>
  <c r="K41" i="71"/>
  <c r="R40" i="71"/>
  <c r="O40" i="71"/>
  <c r="L40" i="71"/>
  <c r="K40" i="71"/>
  <c r="C40" i="71"/>
  <c r="R39" i="71"/>
  <c r="O39" i="71"/>
  <c r="L39" i="71"/>
  <c r="K39" i="71"/>
  <c r="C39" i="71"/>
  <c r="R38" i="71"/>
  <c r="O38" i="71"/>
  <c r="L38" i="71"/>
  <c r="K38" i="71"/>
  <c r="C38" i="71"/>
  <c r="R37" i="71"/>
  <c r="P37" i="71"/>
  <c r="O37" i="71"/>
  <c r="L37" i="71"/>
  <c r="K37" i="71"/>
  <c r="C37" i="71"/>
  <c r="R36" i="71"/>
  <c r="P36" i="71"/>
  <c r="L36" i="71"/>
  <c r="K36" i="71"/>
  <c r="D36" i="71"/>
  <c r="C36" i="71"/>
  <c r="B36" i="71"/>
  <c r="R35" i="71"/>
  <c r="P35" i="71"/>
  <c r="O35" i="71"/>
  <c r="L35" i="71"/>
  <c r="K35" i="71"/>
  <c r="F35" i="71"/>
  <c r="D35" i="71"/>
  <c r="C35" i="71"/>
  <c r="B35" i="71"/>
  <c r="R34" i="71"/>
  <c r="P34" i="71"/>
  <c r="O34" i="71"/>
  <c r="L34" i="71"/>
  <c r="K34" i="71"/>
  <c r="J34" i="71"/>
  <c r="F34" i="71"/>
  <c r="D34" i="71"/>
  <c r="C34" i="71"/>
  <c r="B34" i="71"/>
  <c r="R33" i="71"/>
  <c r="P33" i="71"/>
  <c r="O33" i="71"/>
  <c r="L33" i="71"/>
  <c r="K33" i="71"/>
  <c r="J33" i="71"/>
  <c r="F33" i="71"/>
  <c r="D33" i="71"/>
  <c r="C33" i="71"/>
  <c r="B33" i="71"/>
  <c r="R32" i="71"/>
  <c r="P32" i="71"/>
  <c r="O32" i="71"/>
  <c r="L32" i="71"/>
  <c r="K32" i="71"/>
  <c r="J32" i="71"/>
  <c r="F32" i="71"/>
  <c r="D32" i="71"/>
  <c r="C32" i="71"/>
  <c r="B32" i="71"/>
  <c r="R31" i="71"/>
  <c r="P31" i="71"/>
  <c r="O31" i="71"/>
  <c r="L31" i="71"/>
  <c r="K31" i="71"/>
  <c r="J31" i="71"/>
  <c r="H31" i="71"/>
  <c r="G31" i="71"/>
  <c r="F31" i="71"/>
  <c r="D31" i="71"/>
  <c r="C31" i="71"/>
  <c r="B31" i="71"/>
  <c r="R30" i="71"/>
  <c r="P30" i="71"/>
  <c r="O30" i="71"/>
  <c r="L30" i="71"/>
  <c r="K30" i="71"/>
  <c r="J30" i="71"/>
  <c r="H30" i="71"/>
  <c r="G30" i="71"/>
  <c r="F30" i="71"/>
  <c r="D30" i="71"/>
  <c r="C30" i="71"/>
  <c r="B30" i="71"/>
  <c r="R29" i="71"/>
  <c r="P29" i="71"/>
  <c r="O29" i="71"/>
  <c r="L29" i="71"/>
  <c r="K29" i="71"/>
  <c r="J29" i="71"/>
  <c r="I29" i="71"/>
  <c r="H29" i="71"/>
  <c r="G29" i="71"/>
  <c r="F29" i="71"/>
  <c r="D29" i="71"/>
  <c r="C29" i="71"/>
  <c r="B29" i="71"/>
  <c r="R28" i="71"/>
  <c r="P28" i="71"/>
  <c r="O28" i="71"/>
  <c r="L28" i="71"/>
  <c r="K28" i="71"/>
  <c r="J28" i="71"/>
  <c r="I28" i="71"/>
  <c r="H28" i="71"/>
  <c r="G28" i="71"/>
  <c r="F28" i="71"/>
  <c r="D28" i="71"/>
  <c r="C28" i="71"/>
  <c r="B28" i="71"/>
  <c r="Q24" i="71"/>
  <c r="P24" i="71"/>
  <c r="O24" i="71"/>
  <c r="N24" i="71"/>
  <c r="M24" i="71"/>
  <c r="L24" i="71"/>
  <c r="K24" i="71"/>
  <c r="J24" i="71"/>
  <c r="I24" i="71"/>
  <c r="H24" i="71"/>
  <c r="G24" i="71"/>
  <c r="F24" i="71"/>
  <c r="E24" i="71"/>
  <c r="D24" i="71"/>
  <c r="C24" i="71"/>
  <c r="B24" i="71"/>
  <c r="R68" i="70"/>
  <c r="R67" i="70"/>
  <c r="R66" i="70"/>
  <c r="R65" i="70"/>
  <c r="R64" i="70"/>
  <c r="R63" i="70"/>
  <c r="R62" i="70"/>
  <c r="R61" i="70"/>
  <c r="R60" i="70"/>
  <c r="R59" i="70"/>
  <c r="R58" i="70"/>
  <c r="R57" i="70"/>
  <c r="R56" i="70"/>
  <c r="R55" i="70"/>
  <c r="R54" i="70"/>
  <c r="R53" i="70"/>
  <c r="R52" i="70"/>
  <c r="R51" i="70"/>
  <c r="R50" i="70"/>
  <c r="K50" i="70"/>
  <c r="R49" i="70"/>
  <c r="K49" i="70"/>
  <c r="R48" i="70"/>
  <c r="K48" i="70"/>
  <c r="R47" i="70"/>
  <c r="K47" i="70"/>
  <c r="R46" i="70"/>
  <c r="K46" i="70"/>
  <c r="R45" i="70"/>
  <c r="K45" i="70"/>
  <c r="R44" i="70"/>
  <c r="L44" i="70"/>
  <c r="K44" i="70"/>
  <c r="R43" i="70"/>
  <c r="L43" i="70"/>
  <c r="K43" i="70"/>
  <c r="R42" i="70"/>
  <c r="L42" i="70"/>
  <c r="K42" i="70"/>
  <c r="R41" i="70"/>
  <c r="L41" i="70"/>
  <c r="K41" i="70"/>
  <c r="R40" i="70"/>
  <c r="O40" i="70"/>
  <c r="L40" i="70"/>
  <c r="K40" i="70"/>
  <c r="C40" i="70"/>
  <c r="R39" i="70"/>
  <c r="O39" i="70"/>
  <c r="L39" i="70"/>
  <c r="K39" i="70"/>
  <c r="C39" i="70"/>
  <c r="R38" i="70"/>
  <c r="O38" i="70"/>
  <c r="L38" i="70"/>
  <c r="K38" i="70"/>
  <c r="C38" i="70"/>
  <c r="R37" i="70"/>
  <c r="P37" i="70"/>
  <c r="O37" i="70"/>
  <c r="L37" i="70"/>
  <c r="K37" i="70"/>
  <c r="C37" i="70"/>
  <c r="R36" i="70"/>
  <c r="P36" i="70"/>
  <c r="L36" i="70"/>
  <c r="K36" i="70"/>
  <c r="D36" i="70"/>
  <c r="C36" i="70"/>
  <c r="B36" i="70"/>
  <c r="R35" i="70"/>
  <c r="P35" i="70"/>
  <c r="O35" i="70"/>
  <c r="L35" i="70"/>
  <c r="K35" i="70"/>
  <c r="F35" i="70"/>
  <c r="D35" i="70"/>
  <c r="C35" i="70"/>
  <c r="B35" i="70"/>
  <c r="R34" i="70"/>
  <c r="P34" i="70"/>
  <c r="O34" i="70"/>
  <c r="L34" i="70"/>
  <c r="K34" i="70"/>
  <c r="J34" i="70"/>
  <c r="F34" i="70"/>
  <c r="D34" i="70"/>
  <c r="C34" i="70"/>
  <c r="B34" i="70"/>
  <c r="R33" i="70"/>
  <c r="P33" i="70"/>
  <c r="O33" i="70"/>
  <c r="L33" i="70"/>
  <c r="K33" i="70"/>
  <c r="J33" i="70"/>
  <c r="F33" i="70"/>
  <c r="D33" i="70"/>
  <c r="C33" i="70"/>
  <c r="B33" i="70"/>
  <c r="R32" i="70"/>
  <c r="P32" i="70"/>
  <c r="O32" i="70"/>
  <c r="L32" i="70"/>
  <c r="K32" i="70"/>
  <c r="J32" i="70"/>
  <c r="F32" i="70"/>
  <c r="D32" i="70"/>
  <c r="C32" i="70"/>
  <c r="B32" i="70"/>
  <c r="R31" i="70"/>
  <c r="P31" i="70"/>
  <c r="O31" i="70"/>
  <c r="L31" i="70"/>
  <c r="K31" i="70"/>
  <c r="J31" i="70"/>
  <c r="H31" i="70"/>
  <c r="G31" i="70"/>
  <c r="F31" i="70"/>
  <c r="D31" i="70"/>
  <c r="C31" i="70"/>
  <c r="B31" i="70"/>
  <c r="R30" i="70"/>
  <c r="P30" i="70"/>
  <c r="O30" i="70"/>
  <c r="L30" i="70"/>
  <c r="K30" i="70"/>
  <c r="J30" i="70"/>
  <c r="H30" i="70"/>
  <c r="G30" i="70"/>
  <c r="F30" i="70"/>
  <c r="D30" i="70"/>
  <c r="C30" i="70"/>
  <c r="B30" i="70"/>
  <c r="R29" i="70"/>
  <c r="P29" i="70"/>
  <c r="O29" i="70"/>
  <c r="L29" i="70"/>
  <c r="K29" i="70"/>
  <c r="J29" i="70"/>
  <c r="I29" i="70"/>
  <c r="H29" i="70"/>
  <c r="G29" i="70"/>
  <c r="F29" i="70"/>
  <c r="D29" i="70"/>
  <c r="C29" i="70"/>
  <c r="B29" i="70"/>
  <c r="R28" i="70"/>
  <c r="P28" i="70"/>
  <c r="O28" i="70"/>
  <c r="L28" i="70"/>
  <c r="K28" i="70"/>
  <c r="J28" i="70"/>
  <c r="I28" i="70"/>
  <c r="H28" i="70"/>
  <c r="G28" i="70"/>
  <c r="F28" i="70"/>
  <c r="D28" i="70"/>
  <c r="C28" i="70"/>
  <c r="B28" i="70"/>
  <c r="Q24" i="70"/>
  <c r="P24" i="70"/>
  <c r="O24" i="70"/>
  <c r="N24" i="70"/>
  <c r="M24" i="70"/>
  <c r="L24" i="70"/>
  <c r="K24" i="70"/>
  <c r="J24" i="70"/>
  <c r="I24" i="70"/>
  <c r="H24" i="70"/>
  <c r="G24" i="70"/>
  <c r="F24" i="70"/>
  <c r="E24" i="70"/>
  <c r="D24" i="70"/>
  <c r="C24" i="70"/>
  <c r="B24" i="70"/>
  <c r="R68" i="69"/>
  <c r="R67" i="69"/>
  <c r="R66" i="69"/>
  <c r="R65" i="69"/>
  <c r="R64" i="69"/>
  <c r="R63" i="69"/>
  <c r="R62" i="69"/>
  <c r="R61" i="69"/>
  <c r="R60" i="69"/>
  <c r="R59" i="69"/>
  <c r="R58" i="69"/>
  <c r="R57" i="69"/>
  <c r="R56" i="69"/>
  <c r="R55" i="69"/>
  <c r="R54" i="69"/>
  <c r="R53" i="69"/>
  <c r="R52" i="69"/>
  <c r="R51" i="69"/>
  <c r="R50" i="69"/>
  <c r="K50" i="69"/>
  <c r="R49" i="69"/>
  <c r="K49" i="69"/>
  <c r="R48" i="69"/>
  <c r="K48" i="69"/>
  <c r="R47" i="69"/>
  <c r="K47" i="69"/>
  <c r="R46" i="69"/>
  <c r="K46" i="69"/>
  <c r="R45" i="69"/>
  <c r="K45" i="69"/>
  <c r="R44" i="69"/>
  <c r="L44" i="69"/>
  <c r="K44" i="69"/>
  <c r="R43" i="69"/>
  <c r="L43" i="69"/>
  <c r="K43" i="69"/>
  <c r="R42" i="69"/>
  <c r="L42" i="69"/>
  <c r="K42" i="69"/>
  <c r="R41" i="69"/>
  <c r="L41" i="69"/>
  <c r="K41" i="69"/>
  <c r="R40" i="69"/>
  <c r="O40" i="69"/>
  <c r="L40" i="69"/>
  <c r="K40" i="69"/>
  <c r="C40" i="69"/>
  <c r="R39" i="69"/>
  <c r="O39" i="69"/>
  <c r="L39" i="69"/>
  <c r="K39" i="69"/>
  <c r="C39" i="69"/>
  <c r="R38" i="69"/>
  <c r="O38" i="69"/>
  <c r="L38" i="69"/>
  <c r="K38" i="69"/>
  <c r="C38" i="69"/>
  <c r="R37" i="69"/>
  <c r="P37" i="69"/>
  <c r="O37" i="69"/>
  <c r="L37" i="69"/>
  <c r="K37" i="69"/>
  <c r="C37" i="69"/>
  <c r="R36" i="69"/>
  <c r="P36" i="69"/>
  <c r="L36" i="69"/>
  <c r="K36" i="69"/>
  <c r="D36" i="69"/>
  <c r="C36" i="69"/>
  <c r="B36" i="69"/>
  <c r="R35" i="69"/>
  <c r="P35" i="69"/>
  <c r="O35" i="69"/>
  <c r="L35" i="69"/>
  <c r="K35" i="69"/>
  <c r="F35" i="69"/>
  <c r="D35" i="69"/>
  <c r="C35" i="69"/>
  <c r="B35" i="69"/>
  <c r="R34" i="69"/>
  <c r="P34" i="69"/>
  <c r="O34" i="69"/>
  <c r="L34" i="69"/>
  <c r="K34" i="69"/>
  <c r="J34" i="69"/>
  <c r="F34" i="69"/>
  <c r="D34" i="69"/>
  <c r="C34" i="69"/>
  <c r="B34" i="69"/>
  <c r="R33" i="69"/>
  <c r="P33" i="69"/>
  <c r="O33" i="69"/>
  <c r="L33" i="69"/>
  <c r="K33" i="69"/>
  <c r="J33" i="69"/>
  <c r="F33" i="69"/>
  <c r="D33" i="69"/>
  <c r="C33" i="69"/>
  <c r="B33" i="69"/>
  <c r="R32" i="69"/>
  <c r="P32" i="69"/>
  <c r="O32" i="69"/>
  <c r="L32" i="69"/>
  <c r="K32" i="69"/>
  <c r="J32" i="69"/>
  <c r="F32" i="69"/>
  <c r="D32" i="69"/>
  <c r="C32" i="69"/>
  <c r="B32" i="69"/>
  <c r="R31" i="69"/>
  <c r="P31" i="69"/>
  <c r="O31" i="69"/>
  <c r="L31" i="69"/>
  <c r="K31" i="69"/>
  <c r="J31" i="69"/>
  <c r="H31" i="69"/>
  <c r="G31" i="69"/>
  <c r="F31" i="69"/>
  <c r="D31" i="69"/>
  <c r="C31" i="69"/>
  <c r="B31" i="69"/>
  <c r="R30" i="69"/>
  <c r="P30" i="69"/>
  <c r="O30" i="69"/>
  <c r="L30" i="69"/>
  <c r="K30" i="69"/>
  <c r="J30" i="69"/>
  <c r="H30" i="69"/>
  <c r="G30" i="69"/>
  <c r="F30" i="69"/>
  <c r="D30" i="69"/>
  <c r="C30" i="69"/>
  <c r="B30" i="69"/>
  <c r="R29" i="69"/>
  <c r="P29" i="69"/>
  <c r="O29" i="69"/>
  <c r="L29" i="69"/>
  <c r="K29" i="69"/>
  <c r="J29" i="69"/>
  <c r="I29" i="69"/>
  <c r="H29" i="69"/>
  <c r="G29" i="69"/>
  <c r="F29" i="69"/>
  <c r="D29" i="69"/>
  <c r="C29" i="69"/>
  <c r="B29" i="69"/>
  <c r="R28" i="69"/>
  <c r="P28" i="69"/>
  <c r="O28" i="69"/>
  <c r="L28" i="69"/>
  <c r="K28" i="69"/>
  <c r="J28" i="69"/>
  <c r="I28" i="69"/>
  <c r="H28" i="69"/>
  <c r="G28" i="69"/>
  <c r="F28" i="69"/>
  <c r="D28" i="69"/>
  <c r="C28" i="69"/>
  <c r="B28" i="69"/>
  <c r="Q24" i="69"/>
  <c r="P24" i="69"/>
  <c r="O24" i="69"/>
  <c r="N24" i="69"/>
  <c r="M24" i="69"/>
  <c r="L24" i="69"/>
  <c r="K24" i="69"/>
  <c r="J24" i="69"/>
  <c r="I24" i="69"/>
  <c r="H24" i="69"/>
  <c r="G24" i="69"/>
  <c r="F24" i="69"/>
  <c r="E24" i="69"/>
  <c r="D24" i="69"/>
  <c r="C24" i="69"/>
  <c r="B24" i="69"/>
  <c r="R68" i="68"/>
  <c r="R67" i="68"/>
  <c r="R66" i="68"/>
  <c r="R65" i="68"/>
  <c r="R64" i="68"/>
  <c r="R63" i="68"/>
  <c r="R62" i="68"/>
  <c r="R61" i="68"/>
  <c r="R60" i="68"/>
  <c r="R59" i="68"/>
  <c r="R58" i="68"/>
  <c r="R57" i="68"/>
  <c r="R56" i="68"/>
  <c r="R55" i="68"/>
  <c r="R54" i="68"/>
  <c r="R53" i="68"/>
  <c r="R52" i="68"/>
  <c r="R51" i="68"/>
  <c r="R50" i="68"/>
  <c r="K50" i="68"/>
  <c r="R49" i="68"/>
  <c r="K49" i="68"/>
  <c r="R48" i="68"/>
  <c r="K48" i="68"/>
  <c r="R47" i="68"/>
  <c r="K47" i="68"/>
  <c r="R46" i="68"/>
  <c r="K46" i="68"/>
  <c r="R45" i="68"/>
  <c r="K45" i="68"/>
  <c r="R44" i="68"/>
  <c r="L44" i="68"/>
  <c r="K44" i="68"/>
  <c r="R43" i="68"/>
  <c r="L43" i="68"/>
  <c r="K43" i="68"/>
  <c r="R42" i="68"/>
  <c r="L42" i="68"/>
  <c r="K42" i="68"/>
  <c r="R41" i="68"/>
  <c r="L41" i="68"/>
  <c r="K41" i="68"/>
  <c r="R40" i="68"/>
  <c r="O40" i="68"/>
  <c r="L40" i="68"/>
  <c r="K40" i="68"/>
  <c r="C40" i="68"/>
  <c r="R39" i="68"/>
  <c r="O39" i="68"/>
  <c r="L39" i="68"/>
  <c r="K39" i="68"/>
  <c r="C39" i="68"/>
  <c r="R38" i="68"/>
  <c r="O38" i="68"/>
  <c r="L38" i="68"/>
  <c r="K38" i="68"/>
  <c r="C38" i="68"/>
  <c r="R37" i="68"/>
  <c r="P37" i="68"/>
  <c r="O37" i="68"/>
  <c r="L37" i="68"/>
  <c r="K37" i="68"/>
  <c r="C37" i="68"/>
  <c r="R36" i="68"/>
  <c r="P36" i="68"/>
  <c r="L36" i="68"/>
  <c r="K36" i="68"/>
  <c r="D36" i="68"/>
  <c r="C36" i="68"/>
  <c r="B36" i="68"/>
  <c r="R35" i="68"/>
  <c r="P35" i="68"/>
  <c r="O35" i="68"/>
  <c r="L35" i="68"/>
  <c r="K35" i="68"/>
  <c r="F35" i="68"/>
  <c r="D35" i="68"/>
  <c r="C35" i="68"/>
  <c r="B35" i="68"/>
  <c r="R34" i="68"/>
  <c r="P34" i="68"/>
  <c r="O34" i="68"/>
  <c r="L34" i="68"/>
  <c r="K34" i="68"/>
  <c r="J34" i="68"/>
  <c r="F34" i="68"/>
  <c r="D34" i="68"/>
  <c r="C34" i="68"/>
  <c r="B34" i="68"/>
  <c r="R33" i="68"/>
  <c r="P33" i="68"/>
  <c r="O33" i="68"/>
  <c r="L33" i="68"/>
  <c r="K33" i="68"/>
  <c r="J33" i="68"/>
  <c r="F33" i="68"/>
  <c r="D33" i="68"/>
  <c r="C33" i="68"/>
  <c r="B33" i="68"/>
  <c r="R32" i="68"/>
  <c r="P32" i="68"/>
  <c r="O32" i="68"/>
  <c r="L32" i="68"/>
  <c r="K32" i="68"/>
  <c r="J32" i="68"/>
  <c r="F32" i="68"/>
  <c r="D32" i="68"/>
  <c r="C32" i="68"/>
  <c r="B32" i="68"/>
  <c r="R31" i="68"/>
  <c r="P31" i="68"/>
  <c r="O31" i="68"/>
  <c r="L31" i="68"/>
  <c r="K31" i="68"/>
  <c r="J31" i="68"/>
  <c r="H31" i="68"/>
  <c r="G31" i="68"/>
  <c r="F31" i="68"/>
  <c r="D31" i="68"/>
  <c r="C31" i="68"/>
  <c r="B31" i="68"/>
  <c r="R30" i="68"/>
  <c r="P30" i="68"/>
  <c r="O30" i="68"/>
  <c r="L30" i="68"/>
  <c r="K30" i="68"/>
  <c r="J30" i="68"/>
  <c r="H30" i="68"/>
  <c r="G30" i="68"/>
  <c r="F30" i="68"/>
  <c r="D30" i="68"/>
  <c r="C30" i="68"/>
  <c r="B30" i="68"/>
  <c r="R29" i="68"/>
  <c r="P29" i="68"/>
  <c r="O29" i="68"/>
  <c r="L29" i="68"/>
  <c r="K29" i="68"/>
  <c r="J29" i="68"/>
  <c r="I29" i="68"/>
  <c r="H29" i="68"/>
  <c r="G29" i="68"/>
  <c r="F29" i="68"/>
  <c r="D29" i="68"/>
  <c r="C29" i="68"/>
  <c r="B29" i="68"/>
  <c r="R28" i="68"/>
  <c r="P28" i="68"/>
  <c r="O28" i="68"/>
  <c r="L28" i="68"/>
  <c r="K28" i="68"/>
  <c r="J28" i="68"/>
  <c r="I28" i="68"/>
  <c r="H28" i="68"/>
  <c r="G28" i="68"/>
  <c r="F28" i="68"/>
  <c r="D28" i="68"/>
  <c r="C28" i="68"/>
  <c r="B28" i="68"/>
  <c r="Q24" i="68"/>
  <c r="P24" i="68"/>
  <c r="O24" i="68"/>
  <c r="N24" i="68"/>
  <c r="M24" i="68"/>
  <c r="L24" i="68"/>
  <c r="K24" i="68"/>
  <c r="J24" i="68"/>
  <c r="I24" i="68"/>
  <c r="H24" i="68"/>
  <c r="G24" i="68"/>
  <c r="F24" i="68"/>
  <c r="E24" i="68"/>
  <c r="D24" i="68"/>
  <c r="C24" i="68"/>
  <c r="B24" i="68"/>
  <c r="R68" i="67"/>
  <c r="R67" i="67"/>
  <c r="R66" i="67"/>
  <c r="R65" i="67"/>
  <c r="R64" i="67"/>
  <c r="R63" i="67"/>
  <c r="R62" i="67"/>
  <c r="R61" i="67"/>
  <c r="R60" i="67"/>
  <c r="R59" i="67"/>
  <c r="R58" i="67"/>
  <c r="R57" i="67"/>
  <c r="R56" i="67"/>
  <c r="R55" i="67"/>
  <c r="R54" i="67"/>
  <c r="R53" i="67"/>
  <c r="R52" i="67"/>
  <c r="R51" i="67"/>
  <c r="R50" i="67"/>
  <c r="K50" i="67"/>
  <c r="R49" i="67"/>
  <c r="K49" i="67"/>
  <c r="R48" i="67"/>
  <c r="K48" i="67"/>
  <c r="R47" i="67"/>
  <c r="K47" i="67"/>
  <c r="R46" i="67"/>
  <c r="K46" i="67"/>
  <c r="R45" i="67"/>
  <c r="K45" i="67"/>
  <c r="R44" i="67"/>
  <c r="L44" i="67"/>
  <c r="K44" i="67"/>
  <c r="R43" i="67"/>
  <c r="L43" i="67"/>
  <c r="K43" i="67"/>
  <c r="R42" i="67"/>
  <c r="L42" i="67"/>
  <c r="K42" i="67"/>
  <c r="R41" i="67"/>
  <c r="L41" i="67"/>
  <c r="K41" i="67"/>
  <c r="R40" i="67"/>
  <c r="O40" i="67"/>
  <c r="L40" i="67"/>
  <c r="K40" i="67"/>
  <c r="C40" i="67"/>
  <c r="R39" i="67"/>
  <c r="O39" i="67"/>
  <c r="L39" i="67"/>
  <c r="K39" i="67"/>
  <c r="C39" i="67"/>
  <c r="R38" i="67"/>
  <c r="O38" i="67"/>
  <c r="L38" i="67"/>
  <c r="K38" i="67"/>
  <c r="C38" i="67"/>
  <c r="R37" i="67"/>
  <c r="P37" i="67"/>
  <c r="O37" i="67"/>
  <c r="L37" i="67"/>
  <c r="K37" i="67"/>
  <c r="C37" i="67"/>
  <c r="R36" i="67"/>
  <c r="P36" i="67"/>
  <c r="L36" i="67"/>
  <c r="K36" i="67"/>
  <c r="D36" i="67"/>
  <c r="C36" i="67"/>
  <c r="B36" i="67"/>
  <c r="R35" i="67"/>
  <c r="P35" i="67"/>
  <c r="O35" i="67"/>
  <c r="L35" i="67"/>
  <c r="K35" i="67"/>
  <c r="F35" i="67"/>
  <c r="D35" i="67"/>
  <c r="C35" i="67"/>
  <c r="B35" i="67"/>
  <c r="R34" i="67"/>
  <c r="P34" i="67"/>
  <c r="O34" i="67"/>
  <c r="L34" i="67"/>
  <c r="K34" i="67"/>
  <c r="J34" i="67"/>
  <c r="F34" i="67"/>
  <c r="D34" i="67"/>
  <c r="C34" i="67"/>
  <c r="B34" i="67"/>
  <c r="R33" i="67"/>
  <c r="P33" i="67"/>
  <c r="O33" i="67"/>
  <c r="L33" i="67"/>
  <c r="K33" i="67"/>
  <c r="J33" i="67"/>
  <c r="F33" i="67"/>
  <c r="D33" i="67"/>
  <c r="C33" i="67"/>
  <c r="B33" i="67"/>
  <c r="R32" i="67"/>
  <c r="P32" i="67"/>
  <c r="O32" i="67"/>
  <c r="L32" i="67"/>
  <c r="K32" i="67"/>
  <c r="J32" i="67"/>
  <c r="F32" i="67"/>
  <c r="D32" i="67"/>
  <c r="C32" i="67"/>
  <c r="B32" i="67"/>
  <c r="R31" i="67"/>
  <c r="P31" i="67"/>
  <c r="O31" i="67"/>
  <c r="L31" i="67"/>
  <c r="K31" i="67"/>
  <c r="J31" i="67"/>
  <c r="H31" i="67"/>
  <c r="G31" i="67"/>
  <c r="F31" i="67"/>
  <c r="D31" i="67"/>
  <c r="C31" i="67"/>
  <c r="B31" i="67"/>
  <c r="R30" i="67"/>
  <c r="P30" i="67"/>
  <c r="O30" i="67"/>
  <c r="L30" i="67"/>
  <c r="K30" i="67"/>
  <c r="J30" i="67"/>
  <c r="H30" i="67"/>
  <c r="G30" i="67"/>
  <c r="F30" i="67"/>
  <c r="D30" i="67"/>
  <c r="C30" i="67"/>
  <c r="B30" i="67"/>
  <c r="R29" i="67"/>
  <c r="P29" i="67"/>
  <c r="O29" i="67"/>
  <c r="L29" i="67"/>
  <c r="K29" i="67"/>
  <c r="J29" i="67"/>
  <c r="I29" i="67"/>
  <c r="H29" i="67"/>
  <c r="G29" i="67"/>
  <c r="F29" i="67"/>
  <c r="D29" i="67"/>
  <c r="C29" i="67"/>
  <c r="B29" i="67"/>
  <c r="R28" i="67"/>
  <c r="P28" i="67"/>
  <c r="O28" i="67"/>
  <c r="L28" i="67"/>
  <c r="K28" i="67"/>
  <c r="J28" i="67"/>
  <c r="I28" i="67"/>
  <c r="H28" i="67"/>
  <c r="G28" i="67"/>
  <c r="F28" i="67"/>
  <c r="D28" i="67"/>
  <c r="C28" i="67"/>
  <c r="B28" i="67"/>
  <c r="Q24" i="67"/>
  <c r="P24" i="67"/>
  <c r="O24" i="67"/>
  <c r="N24" i="67"/>
  <c r="M24" i="67"/>
  <c r="L24" i="67"/>
  <c r="K24" i="67"/>
  <c r="J24" i="67"/>
  <c r="I24" i="67"/>
  <c r="H24" i="67"/>
  <c r="G24" i="67"/>
  <c r="F24" i="67"/>
  <c r="E24" i="67"/>
  <c r="D24" i="67"/>
  <c r="C24" i="67"/>
  <c r="B24" i="67"/>
  <c r="R68" i="66"/>
  <c r="R67" i="66"/>
  <c r="R66" i="66"/>
  <c r="R65" i="66"/>
  <c r="R64" i="66"/>
  <c r="R63" i="66"/>
  <c r="R62" i="66"/>
  <c r="R61" i="66"/>
  <c r="R60" i="66"/>
  <c r="R59" i="66"/>
  <c r="R58" i="66"/>
  <c r="R57" i="66"/>
  <c r="R56" i="66"/>
  <c r="R55" i="66"/>
  <c r="R54" i="66"/>
  <c r="R53" i="66"/>
  <c r="R52" i="66"/>
  <c r="R51" i="66"/>
  <c r="R50" i="66"/>
  <c r="K50" i="66"/>
  <c r="R49" i="66"/>
  <c r="K49" i="66"/>
  <c r="R48" i="66"/>
  <c r="K48" i="66"/>
  <c r="R47" i="66"/>
  <c r="K47" i="66"/>
  <c r="R46" i="66"/>
  <c r="K46" i="66"/>
  <c r="R45" i="66"/>
  <c r="K45" i="66"/>
  <c r="R44" i="66"/>
  <c r="L44" i="66"/>
  <c r="K44" i="66"/>
  <c r="R43" i="66"/>
  <c r="L43" i="66"/>
  <c r="K43" i="66"/>
  <c r="R42" i="66"/>
  <c r="L42" i="66"/>
  <c r="K42" i="66"/>
  <c r="R41" i="66"/>
  <c r="L41" i="66"/>
  <c r="K41" i="66"/>
  <c r="R40" i="66"/>
  <c r="O40" i="66"/>
  <c r="L40" i="66"/>
  <c r="K40" i="66"/>
  <c r="C40" i="66"/>
  <c r="R39" i="66"/>
  <c r="O39" i="66"/>
  <c r="L39" i="66"/>
  <c r="K39" i="66"/>
  <c r="C39" i="66"/>
  <c r="R38" i="66"/>
  <c r="O38" i="66"/>
  <c r="L38" i="66"/>
  <c r="K38" i="66"/>
  <c r="C38" i="66"/>
  <c r="R37" i="66"/>
  <c r="P37" i="66"/>
  <c r="O37" i="66"/>
  <c r="L37" i="66"/>
  <c r="K37" i="66"/>
  <c r="C37" i="66"/>
  <c r="R36" i="66"/>
  <c r="P36" i="66"/>
  <c r="L36" i="66"/>
  <c r="K36" i="66"/>
  <c r="D36" i="66"/>
  <c r="C36" i="66"/>
  <c r="B36" i="66"/>
  <c r="R35" i="66"/>
  <c r="P35" i="66"/>
  <c r="O35" i="66"/>
  <c r="L35" i="66"/>
  <c r="K35" i="66"/>
  <c r="F35" i="66"/>
  <c r="D35" i="66"/>
  <c r="C35" i="66"/>
  <c r="B35" i="66"/>
  <c r="R34" i="66"/>
  <c r="P34" i="66"/>
  <c r="O34" i="66"/>
  <c r="L34" i="66"/>
  <c r="K34" i="66"/>
  <c r="J34" i="66"/>
  <c r="F34" i="66"/>
  <c r="D34" i="66"/>
  <c r="C34" i="66"/>
  <c r="B34" i="66"/>
  <c r="R33" i="66"/>
  <c r="P33" i="66"/>
  <c r="O33" i="66"/>
  <c r="L33" i="66"/>
  <c r="K33" i="66"/>
  <c r="J33" i="66"/>
  <c r="F33" i="66"/>
  <c r="D33" i="66"/>
  <c r="C33" i="66"/>
  <c r="B33" i="66"/>
  <c r="R32" i="66"/>
  <c r="P32" i="66"/>
  <c r="O32" i="66"/>
  <c r="L32" i="66"/>
  <c r="K32" i="66"/>
  <c r="J32" i="66"/>
  <c r="F32" i="66"/>
  <c r="D32" i="66"/>
  <c r="C32" i="66"/>
  <c r="B32" i="66"/>
  <c r="R31" i="66"/>
  <c r="P31" i="66"/>
  <c r="O31" i="66"/>
  <c r="L31" i="66"/>
  <c r="K31" i="66"/>
  <c r="J31" i="66"/>
  <c r="H31" i="66"/>
  <c r="G31" i="66"/>
  <c r="F31" i="66"/>
  <c r="D31" i="66"/>
  <c r="C31" i="66"/>
  <c r="B31" i="66"/>
  <c r="R30" i="66"/>
  <c r="P30" i="66"/>
  <c r="O30" i="66"/>
  <c r="L30" i="66"/>
  <c r="K30" i="66"/>
  <c r="J30" i="66"/>
  <c r="H30" i="66"/>
  <c r="G30" i="66"/>
  <c r="F30" i="66"/>
  <c r="D30" i="66"/>
  <c r="C30" i="66"/>
  <c r="B30" i="66"/>
  <c r="R29" i="66"/>
  <c r="P29" i="66"/>
  <c r="O29" i="66"/>
  <c r="L29" i="66"/>
  <c r="K29" i="66"/>
  <c r="J29" i="66"/>
  <c r="I29" i="66"/>
  <c r="H29" i="66"/>
  <c r="G29" i="66"/>
  <c r="F29" i="66"/>
  <c r="D29" i="66"/>
  <c r="C29" i="66"/>
  <c r="B29" i="66"/>
  <c r="R28" i="66"/>
  <c r="P28" i="66"/>
  <c r="O28" i="66"/>
  <c r="L28" i="66"/>
  <c r="K28" i="66"/>
  <c r="J28" i="66"/>
  <c r="I28" i="66"/>
  <c r="H28" i="66"/>
  <c r="G28" i="66"/>
  <c r="F28" i="66"/>
  <c r="D28" i="66"/>
  <c r="C28" i="66"/>
  <c r="B28" i="66"/>
  <c r="Q24" i="66"/>
  <c r="P24" i="66"/>
  <c r="O24" i="66"/>
  <c r="N24" i="66"/>
  <c r="M24" i="66"/>
  <c r="L24" i="66"/>
  <c r="K24" i="66"/>
  <c r="J24" i="66"/>
  <c r="I24" i="66"/>
  <c r="H24" i="66"/>
  <c r="G24" i="66"/>
  <c r="F24" i="66"/>
  <c r="E24" i="66"/>
  <c r="D24" i="66"/>
  <c r="C24" i="66"/>
  <c r="B24" i="66"/>
  <c r="R68" i="65"/>
  <c r="R67" i="65"/>
  <c r="R66" i="65"/>
  <c r="R65" i="65"/>
  <c r="R64" i="65"/>
  <c r="R63" i="65"/>
  <c r="R62" i="65"/>
  <c r="R61" i="65"/>
  <c r="R60" i="65"/>
  <c r="R59" i="65"/>
  <c r="R58" i="65"/>
  <c r="R57" i="65"/>
  <c r="R56" i="65"/>
  <c r="R55" i="65"/>
  <c r="R54" i="65"/>
  <c r="R53" i="65"/>
  <c r="R52" i="65"/>
  <c r="R51" i="65"/>
  <c r="R50" i="65"/>
  <c r="K50" i="65"/>
  <c r="R49" i="65"/>
  <c r="K49" i="65"/>
  <c r="R48" i="65"/>
  <c r="K48" i="65"/>
  <c r="R47" i="65"/>
  <c r="K47" i="65"/>
  <c r="R46" i="65"/>
  <c r="K46" i="65"/>
  <c r="R45" i="65"/>
  <c r="K45" i="65"/>
  <c r="R44" i="65"/>
  <c r="L44" i="65"/>
  <c r="K44" i="65"/>
  <c r="R43" i="65"/>
  <c r="L43" i="65"/>
  <c r="K43" i="65"/>
  <c r="R42" i="65"/>
  <c r="L42" i="65"/>
  <c r="K42" i="65"/>
  <c r="R41" i="65"/>
  <c r="L41" i="65"/>
  <c r="K41" i="65"/>
  <c r="R40" i="65"/>
  <c r="O40" i="65"/>
  <c r="L40" i="65"/>
  <c r="K40" i="65"/>
  <c r="C40" i="65"/>
  <c r="R39" i="65"/>
  <c r="O39" i="65"/>
  <c r="L39" i="65"/>
  <c r="K39" i="65"/>
  <c r="C39" i="65"/>
  <c r="R38" i="65"/>
  <c r="O38" i="65"/>
  <c r="L38" i="65"/>
  <c r="K38" i="65"/>
  <c r="C38" i="65"/>
  <c r="R37" i="65"/>
  <c r="P37" i="65"/>
  <c r="O37" i="65"/>
  <c r="L37" i="65"/>
  <c r="K37" i="65"/>
  <c r="C37" i="65"/>
  <c r="R36" i="65"/>
  <c r="P36" i="65"/>
  <c r="L36" i="65"/>
  <c r="K36" i="65"/>
  <c r="D36" i="65"/>
  <c r="C36" i="65"/>
  <c r="B36" i="65"/>
  <c r="R35" i="65"/>
  <c r="P35" i="65"/>
  <c r="O35" i="65"/>
  <c r="L35" i="65"/>
  <c r="K35" i="65"/>
  <c r="F35" i="65"/>
  <c r="D35" i="65"/>
  <c r="C35" i="65"/>
  <c r="B35" i="65"/>
  <c r="R34" i="65"/>
  <c r="P34" i="65"/>
  <c r="O34" i="65"/>
  <c r="L34" i="65"/>
  <c r="K34" i="65"/>
  <c r="J34" i="65"/>
  <c r="F34" i="65"/>
  <c r="D34" i="65"/>
  <c r="C34" i="65"/>
  <c r="B34" i="65"/>
  <c r="R33" i="65"/>
  <c r="P33" i="65"/>
  <c r="O33" i="65"/>
  <c r="L33" i="65"/>
  <c r="K33" i="65"/>
  <c r="J33" i="65"/>
  <c r="F33" i="65"/>
  <c r="D33" i="65"/>
  <c r="C33" i="65"/>
  <c r="B33" i="65"/>
  <c r="R32" i="65"/>
  <c r="P32" i="65"/>
  <c r="O32" i="65"/>
  <c r="L32" i="65"/>
  <c r="K32" i="65"/>
  <c r="J32" i="65"/>
  <c r="F32" i="65"/>
  <c r="D32" i="65"/>
  <c r="C32" i="65"/>
  <c r="B32" i="65"/>
  <c r="R31" i="65"/>
  <c r="P31" i="65"/>
  <c r="O31" i="65"/>
  <c r="L31" i="65"/>
  <c r="K31" i="65"/>
  <c r="J31" i="65"/>
  <c r="H31" i="65"/>
  <c r="G31" i="65"/>
  <c r="F31" i="65"/>
  <c r="D31" i="65"/>
  <c r="C31" i="65"/>
  <c r="B31" i="65"/>
  <c r="R30" i="65"/>
  <c r="P30" i="65"/>
  <c r="O30" i="65"/>
  <c r="L30" i="65"/>
  <c r="K30" i="65"/>
  <c r="J30" i="65"/>
  <c r="H30" i="65"/>
  <c r="G30" i="65"/>
  <c r="F30" i="65"/>
  <c r="D30" i="65"/>
  <c r="C30" i="65"/>
  <c r="B30" i="65"/>
  <c r="R29" i="65"/>
  <c r="P29" i="65"/>
  <c r="O29" i="65"/>
  <c r="L29" i="65"/>
  <c r="K29" i="65"/>
  <c r="J29" i="65"/>
  <c r="I29" i="65"/>
  <c r="H29" i="65"/>
  <c r="G29" i="65"/>
  <c r="F29" i="65"/>
  <c r="D29" i="65"/>
  <c r="C29" i="65"/>
  <c r="B29" i="65"/>
  <c r="R28" i="65"/>
  <c r="P28" i="65"/>
  <c r="O28" i="65"/>
  <c r="L28" i="65"/>
  <c r="K28" i="65"/>
  <c r="J28" i="65"/>
  <c r="I28" i="65"/>
  <c r="H28" i="65"/>
  <c r="G28" i="65"/>
  <c r="F28" i="65"/>
  <c r="D28" i="65"/>
  <c r="C28" i="65"/>
  <c r="B28" i="65"/>
  <c r="Q24" i="65"/>
  <c r="P24" i="65"/>
  <c r="O24" i="65"/>
  <c r="N24" i="65"/>
  <c r="M24" i="65"/>
  <c r="L24" i="65"/>
  <c r="K24" i="65"/>
  <c r="J24" i="65"/>
  <c r="I24" i="65"/>
  <c r="H24" i="65"/>
  <c r="G24" i="65"/>
  <c r="F24" i="65"/>
  <c r="E24" i="65"/>
  <c r="D24" i="65"/>
  <c r="C24" i="65"/>
  <c r="B24" i="65"/>
  <c r="R68" i="64"/>
  <c r="R67" i="64"/>
  <c r="R66" i="64"/>
  <c r="R65" i="64"/>
  <c r="R64" i="64"/>
  <c r="R63" i="64"/>
  <c r="R62" i="64"/>
  <c r="R61" i="64"/>
  <c r="R60" i="64"/>
  <c r="R59" i="64"/>
  <c r="R58" i="64"/>
  <c r="R57" i="64"/>
  <c r="R56" i="64"/>
  <c r="R55" i="64"/>
  <c r="R54" i="64"/>
  <c r="R53" i="64"/>
  <c r="R52" i="64"/>
  <c r="R51" i="64"/>
  <c r="R50" i="64"/>
  <c r="K50" i="64"/>
  <c r="R49" i="64"/>
  <c r="K49" i="64"/>
  <c r="R48" i="64"/>
  <c r="K48" i="64"/>
  <c r="R47" i="64"/>
  <c r="K47" i="64"/>
  <c r="R46" i="64"/>
  <c r="K46" i="64"/>
  <c r="R45" i="64"/>
  <c r="K45" i="64"/>
  <c r="R44" i="64"/>
  <c r="L44" i="64"/>
  <c r="K44" i="64"/>
  <c r="R43" i="64"/>
  <c r="L43" i="64"/>
  <c r="K43" i="64"/>
  <c r="R42" i="64"/>
  <c r="L42" i="64"/>
  <c r="K42" i="64"/>
  <c r="R41" i="64"/>
  <c r="L41" i="64"/>
  <c r="K41" i="64"/>
  <c r="R40" i="64"/>
  <c r="O40" i="64"/>
  <c r="L40" i="64"/>
  <c r="K40" i="64"/>
  <c r="C40" i="64"/>
  <c r="R39" i="64"/>
  <c r="O39" i="64"/>
  <c r="L39" i="64"/>
  <c r="K39" i="64"/>
  <c r="C39" i="64"/>
  <c r="R38" i="64"/>
  <c r="O38" i="64"/>
  <c r="L38" i="64"/>
  <c r="K38" i="64"/>
  <c r="C38" i="64"/>
  <c r="R37" i="64"/>
  <c r="P37" i="64"/>
  <c r="O37" i="64"/>
  <c r="L37" i="64"/>
  <c r="K37" i="64"/>
  <c r="C37" i="64"/>
  <c r="R36" i="64"/>
  <c r="P36" i="64"/>
  <c r="L36" i="64"/>
  <c r="K36" i="64"/>
  <c r="D36" i="64"/>
  <c r="C36" i="64"/>
  <c r="B36" i="64"/>
  <c r="R35" i="64"/>
  <c r="P35" i="64"/>
  <c r="O35" i="64"/>
  <c r="L35" i="64"/>
  <c r="K35" i="64"/>
  <c r="F35" i="64"/>
  <c r="D35" i="64"/>
  <c r="C35" i="64"/>
  <c r="B35" i="64"/>
  <c r="R34" i="64"/>
  <c r="P34" i="64"/>
  <c r="O34" i="64"/>
  <c r="L34" i="64"/>
  <c r="K34" i="64"/>
  <c r="J34" i="64"/>
  <c r="F34" i="64"/>
  <c r="D34" i="64"/>
  <c r="C34" i="64"/>
  <c r="B34" i="64"/>
  <c r="R33" i="64"/>
  <c r="P33" i="64"/>
  <c r="O33" i="64"/>
  <c r="L33" i="64"/>
  <c r="K33" i="64"/>
  <c r="J33" i="64"/>
  <c r="F33" i="64"/>
  <c r="D33" i="64"/>
  <c r="C33" i="64"/>
  <c r="B33" i="64"/>
  <c r="R32" i="64"/>
  <c r="P32" i="64"/>
  <c r="O32" i="64"/>
  <c r="L32" i="64"/>
  <c r="K32" i="64"/>
  <c r="J32" i="64"/>
  <c r="F32" i="64"/>
  <c r="D32" i="64"/>
  <c r="C32" i="64"/>
  <c r="B32" i="64"/>
  <c r="R31" i="64"/>
  <c r="P31" i="64"/>
  <c r="O31" i="64"/>
  <c r="L31" i="64"/>
  <c r="K31" i="64"/>
  <c r="J31" i="64"/>
  <c r="H31" i="64"/>
  <c r="G31" i="64"/>
  <c r="F31" i="64"/>
  <c r="D31" i="64"/>
  <c r="C31" i="64"/>
  <c r="B31" i="64"/>
  <c r="R30" i="64"/>
  <c r="P30" i="64"/>
  <c r="O30" i="64"/>
  <c r="L30" i="64"/>
  <c r="K30" i="64"/>
  <c r="J30" i="64"/>
  <c r="H30" i="64"/>
  <c r="G30" i="64"/>
  <c r="F30" i="64"/>
  <c r="D30" i="64"/>
  <c r="C30" i="64"/>
  <c r="B30" i="64"/>
  <c r="R29" i="64"/>
  <c r="P29" i="64"/>
  <c r="O29" i="64"/>
  <c r="L29" i="64"/>
  <c r="K29" i="64"/>
  <c r="J29" i="64"/>
  <c r="I29" i="64"/>
  <c r="H29" i="64"/>
  <c r="G29" i="64"/>
  <c r="F29" i="64"/>
  <c r="D29" i="64"/>
  <c r="C29" i="64"/>
  <c r="B29" i="64"/>
  <c r="R28" i="64"/>
  <c r="P28" i="64"/>
  <c r="O28" i="64"/>
  <c r="L28" i="64"/>
  <c r="K28" i="64"/>
  <c r="J28" i="64"/>
  <c r="I28" i="64"/>
  <c r="H28" i="64"/>
  <c r="G28" i="64"/>
  <c r="F28" i="64"/>
  <c r="D28" i="64"/>
  <c r="C28" i="64"/>
  <c r="B28" i="64"/>
  <c r="Q24" i="64"/>
  <c r="P24" i="64"/>
  <c r="O24" i="64"/>
  <c r="N24" i="64"/>
  <c r="M24" i="64"/>
  <c r="L24" i="64"/>
  <c r="K24" i="64"/>
  <c r="J24" i="64"/>
  <c r="I24" i="64"/>
  <c r="H24" i="64"/>
  <c r="G24" i="64"/>
  <c r="F24" i="64"/>
  <c r="E24" i="64"/>
  <c r="D24" i="64"/>
  <c r="C24" i="64"/>
  <c r="B24" i="64"/>
  <c r="R68" i="63"/>
  <c r="R67" i="63"/>
  <c r="R66" i="63"/>
  <c r="R65" i="63"/>
  <c r="R64" i="63"/>
  <c r="R63" i="63"/>
  <c r="R62" i="63"/>
  <c r="R61" i="63"/>
  <c r="R60" i="63"/>
  <c r="R59" i="63"/>
  <c r="R58" i="63"/>
  <c r="R57" i="63"/>
  <c r="R56" i="63"/>
  <c r="R55" i="63"/>
  <c r="R54" i="63"/>
  <c r="R53" i="63"/>
  <c r="R52" i="63"/>
  <c r="R51" i="63"/>
  <c r="R50" i="63"/>
  <c r="K50" i="63"/>
  <c r="R49" i="63"/>
  <c r="K49" i="63"/>
  <c r="R48" i="63"/>
  <c r="K48" i="63"/>
  <c r="R47" i="63"/>
  <c r="K47" i="63"/>
  <c r="R46" i="63"/>
  <c r="K46" i="63"/>
  <c r="R45" i="63"/>
  <c r="K45" i="63"/>
  <c r="R44" i="63"/>
  <c r="L44" i="63"/>
  <c r="K44" i="63"/>
  <c r="R43" i="63"/>
  <c r="L43" i="63"/>
  <c r="K43" i="63"/>
  <c r="R42" i="63"/>
  <c r="L42" i="63"/>
  <c r="K42" i="63"/>
  <c r="R41" i="63"/>
  <c r="L41" i="63"/>
  <c r="K41" i="63"/>
  <c r="R40" i="63"/>
  <c r="O40" i="63"/>
  <c r="L40" i="63"/>
  <c r="K40" i="63"/>
  <c r="C40" i="63"/>
  <c r="R39" i="63"/>
  <c r="O39" i="63"/>
  <c r="L39" i="63"/>
  <c r="K39" i="63"/>
  <c r="C39" i="63"/>
  <c r="R38" i="63"/>
  <c r="O38" i="63"/>
  <c r="L38" i="63"/>
  <c r="K38" i="63"/>
  <c r="C38" i="63"/>
  <c r="R37" i="63"/>
  <c r="P37" i="63"/>
  <c r="O37" i="63"/>
  <c r="L37" i="63"/>
  <c r="K37" i="63"/>
  <c r="C37" i="63"/>
  <c r="R36" i="63"/>
  <c r="P36" i="63"/>
  <c r="L36" i="63"/>
  <c r="K36" i="63"/>
  <c r="D36" i="63"/>
  <c r="C36" i="63"/>
  <c r="B36" i="63"/>
  <c r="R35" i="63"/>
  <c r="P35" i="63"/>
  <c r="O35" i="63"/>
  <c r="L35" i="63"/>
  <c r="K35" i="63"/>
  <c r="F35" i="63"/>
  <c r="D35" i="63"/>
  <c r="C35" i="63"/>
  <c r="B35" i="63"/>
  <c r="R34" i="63"/>
  <c r="P34" i="63"/>
  <c r="O34" i="63"/>
  <c r="L34" i="63"/>
  <c r="K34" i="63"/>
  <c r="J34" i="63"/>
  <c r="F34" i="63"/>
  <c r="D34" i="63"/>
  <c r="C34" i="63"/>
  <c r="B34" i="63"/>
  <c r="R33" i="63"/>
  <c r="P33" i="63"/>
  <c r="O33" i="63"/>
  <c r="L33" i="63"/>
  <c r="K33" i="63"/>
  <c r="J33" i="63"/>
  <c r="F33" i="63"/>
  <c r="D33" i="63"/>
  <c r="C33" i="63"/>
  <c r="B33" i="63"/>
  <c r="R32" i="63"/>
  <c r="P32" i="63"/>
  <c r="O32" i="63"/>
  <c r="L32" i="63"/>
  <c r="K32" i="63"/>
  <c r="J32" i="63"/>
  <c r="F32" i="63"/>
  <c r="D32" i="63"/>
  <c r="C32" i="63"/>
  <c r="B32" i="63"/>
  <c r="R31" i="63"/>
  <c r="P31" i="63"/>
  <c r="O31" i="63"/>
  <c r="L31" i="63"/>
  <c r="K31" i="63"/>
  <c r="J31" i="63"/>
  <c r="H31" i="63"/>
  <c r="G31" i="63"/>
  <c r="F31" i="63"/>
  <c r="D31" i="63"/>
  <c r="C31" i="63"/>
  <c r="B31" i="63"/>
  <c r="R30" i="63"/>
  <c r="P30" i="63"/>
  <c r="O30" i="63"/>
  <c r="L30" i="63"/>
  <c r="K30" i="63"/>
  <c r="J30" i="63"/>
  <c r="H30" i="63"/>
  <c r="G30" i="63"/>
  <c r="F30" i="63"/>
  <c r="D30" i="63"/>
  <c r="C30" i="63"/>
  <c r="B30" i="63"/>
  <c r="R29" i="63"/>
  <c r="P29" i="63"/>
  <c r="O29" i="63"/>
  <c r="L29" i="63"/>
  <c r="K29" i="63"/>
  <c r="J29" i="63"/>
  <c r="I29" i="63"/>
  <c r="H29" i="63"/>
  <c r="G29" i="63"/>
  <c r="F29" i="63"/>
  <c r="D29" i="63"/>
  <c r="C29" i="63"/>
  <c r="B29" i="63"/>
  <c r="R28" i="63"/>
  <c r="P28" i="63"/>
  <c r="O28" i="63"/>
  <c r="L28" i="63"/>
  <c r="K28" i="63"/>
  <c r="J28" i="63"/>
  <c r="I28" i="63"/>
  <c r="H28" i="63"/>
  <c r="G28" i="63"/>
  <c r="F28" i="63"/>
  <c r="D28" i="63"/>
  <c r="C28" i="63"/>
  <c r="B28" i="63"/>
  <c r="Q24" i="63"/>
  <c r="P24" i="63"/>
  <c r="O24" i="63"/>
  <c r="N24" i="63"/>
  <c r="M24" i="63"/>
  <c r="L24" i="63"/>
  <c r="K24" i="63"/>
  <c r="J24" i="63"/>
  <c r="I24" i="63"/>
  <c r="H24" i="63"/>
  <c r="G24" i="63"/>
  <c r="F24" i="63"/>
  <c r="E24" i="63"/>
  <c r="D24" i="63"/>
  <c r="C24" i="63"/>
  <c r="B24" i="63"/>
  <c r="R68" i="62"/>
  <c r="R67" i="62"/>
  <c r="R66" i="62"/>
  <c r="R65" i="62"/>
  <c r="R64" i="62"/>
  <c r="R63" i="62"/>
  <c r="R62" i="62"/>
  <c r="R61" i="62"/>
  <c r="R60" i="62"/>
  <c r="R59" i="62"/>
  <c r="R58" i="62"/>
  <c r="R57" i="62"/>
  <c r="R56" i="62"/>
  <c r="R55" i="62"/>
  <c r="R54" i="62"/>
  <c r="R53" i="62"/>
  <c r="R52" i="62"/>
  <c r="R51" i="62"/>
  <c r="R50" i="62"/>
  <c r="K50" i="62"/>
  <c r="R49" i="62"/>
  <c r="K49" i="62"/>
  <c r="R48" i="62"/>
  <c r="K48" i="62"/>
  <c r="R47" i="62"/>
  <c r="K47" i="62"/>
  <c r="R46" i="62"/>
  <c r="K46" i="62"/>
  <c r="R45" i="62"/>
  <c r="K45" i="62"/>
  <c r="R44" i="62"/>
  <c r="L44" i="62"/>
  <c r="K44" i="62"/>
  <c r="R43" i="62"/>
  <c r="L43" i="62"/>
  <c r="K43" i="62"/>
  <c r="R42" i="62"/>
  <c r="L42" i="62"/>
  <c r="K42" i="62"/>
  <c r="R41" i="62"/>
  <c r="L41" i="62"/>
  <c r="K41" i="62"/>
  <c r="R40" i="62"/>
  <c r="O40" i="62"/>
  <c r="L40" i="62"/>
  <c r="K40" i="62"/>
  <c r="C40" i="62"/>
  <c r="R39" i="62"/>
  <c r="O39" i="62"/>
  <c r="L39" i="62"/>
  <c r="K39" i="62"/>
  <c r="C39" i="62"/>
  <c r="R38" i="62"/>
  <c r="O38" i="62"/>
  <c r="L38" i="62"/>
  <c r="K38" i="62"/>
  <c r="C38" i="62"/>
  <c r="R37" i="62"/>
  <c r="P37" i="62"/>
  <c r="O37" i="62"/>
  <c r="L37" i="62"/>
  <c r="K37" i="62"/>
  <c r="C37" i="62"/>
  <c r="R36" i="62"/>
  <c r="P36" i="62"/>
  <c r="L36" i="62"/>
  <c r="K36" i="62"/>
  <c r="D36" i="62"/>
  <c r="C36" i="62"/>
  <c r="B36" i="62"/>
  <c r="R35" i="62"/>
  <c r="P35" i="62"/>
  <c r="O35" i="62"/>
  <c r="L35" i="62"/>
  <c r="K35" i="62"/>
  <c r="F35" i="62"/>
  <c r="D35" i="62"/>
  <c r="C35" i="62"/>
  <c r="B35" i="62"/>
  <c r="R34" i="62"/>
  <c r="P34" i="62"/>
  <c r="O34" i="62"/>
  <c r="L34" i="62"/>
  <c r="K34" i="62"/>
  <c r="J34" i="62"/>
  <c r="F34" i="62"/>
  <c r="D34" i="62"/>
  <c r="C34" i="62"/>
  <c r="B34" i="62"/>
  <c r="R33" i="62"/>
  <c r="P33" i="62"/>
  <c r="O33" i="62"/>
  <c r="L33" i="62"/>
  <c r="K33" i="62"/>
  <c r="J33" i="62"/>
  <c r="F33" i="62"/>
  <c r="D33" i="62"/>
  <c r="C33" i="62"/>
  <c r="B33" i="62"/>
  <c r="R32" i="62"/>
  <c r="P32" i="62"/>
  <c r="O32" i="62"/>
  <c r="L32" i="62"/>
  <c r="K32" i="62"/>
  <c r="J32" i="62"/>
  <c r="F32" i="62"/>
  <c r="D32" i="62"/>
  <c r="C32" i="62"/>
  <c r="B32" i="62"/>
  <c r="R31" i="62"/>
  <c r="P31" i="62"/>
  <c r="O31" i="62"/>
  <c r="L31" i="62"/>
  <c r="K31" i="62"/>
  <c r="J31" i="62"/>
  <c r="H31" i="62"/>
  <c r="G31" i="62"/>
  <c r="F31" i="62"/>
  <c r="D31" i="62"/>
  <c r="C31" i="62"/>
  <c r="B31" i="62"/>
  <c r="R30" i="62"/>
  <c r="P30" i="62"/>
  <c r="O30" i="62"/>
  <c r="L30" i="62"/>
  <c r="K30" i="62"/>
  <c r="J30" i="62"/>
  <c r="H30" i="62"/>
  <c r="G30" i="62"/>
  <c r="F30" i="62"/>
  <c r="D30" i="62"/>
  <c r="C30" i="62"/>
  <c r="B30" i="62"/>
  <c r="R29" i="62"/>
  <c r="P29" i="62"/>
  <c r="O29" i="62"/>
  <c r="L29" i="62"/>
  <c r="K29" i="62"/>
  <c r="J29" i="62"/>
  <c r="I29" i="62"/>
  <c r="H29" i="62"/>
  <c r="G29" i="62"/>
  <c r="F29" i="62"/>
  <c r="D29" i="62"/>
  <c r="C29" i="62"/>
  <c r="B29" i="62"/>
  <c r="R28" i="62"/>
  <c r="P28" i="62"/>
  <c r="O28" i="62"/>
  <c r="L28" i="62"/>
  <c r="K28" i="62"/>
  <c r="J28" i="62"/>
  <c r="I28" i="62"/>
  <c r="H28" i="62"/>
  <c r="G28" i="62"/>
  <c r="F28" i="62"/>
  <c r="D28" i="62"/>
  <c r="C28" i="62"/>
  <c r="B28" i="62"/>
  <c r="Q24" i="62"/>
  <c r="P24" i="62"/>
  <c r="O24" i="62"/>
  <c r="N24" i="62"/>
  <c r="M24" i="62"/>
  <c r="L24" i="62"/>
  <c r="K24" i="62"/>
  <c r="J24" i="62"/>
  <c r="I24" i="62"/>
  <c r="H24" i="62"/>
  <c r="G24" i="62"/>
  <c r="F24" i="62"/>
  <c r="E24" i="62"/>
  <c r="D24" i="62"/>
  <c r="C24" i="62"/>
  <c r="B24" i="62"/>
  <c r="R68" i="61"/>
  <c r="R67" i="61"/>
  <c r="R66" i="61"/>
  <c r="R65" i="61"/>
  <c r="R64" i="61"/>
  <c r="R63" i="61"/>
  <c r="R62" i="61"/>
  <c r="R61" i="61"/>
  <c r="R60" i="61"/>
  <c r="R59" i="61"/>
  <c r="R58" i="61"/>
  <c r="R57" i="61"/>
  <c r="R56" i="61"/>
  <c r="R55" i="61"/>
  <c r="R54" i="61"/>
  <c r="R53" i="61"/>
  <c r="R52" i="61"/>
  <c r="R51" i="61"/>
  <c r="R50" i="61"/>
  <c r="K50" i="61"/>
  <c r="R49" i="61"/>
  <c r="K49" i="61"/>
  <c r="R48" i="61"/>
  <c r="K48" i="61"/>
  <c r="R47" i="61"/>
  <c r="K47" i="61"/>
  <c r="R46" i="61"/>
  <c r="K46" i="61"/>
  <c r="R45" i="61"/>
  <c r="K45" i="61"/>
  <c r="R44" i="61"/>
  <c r="L44" i="61"/>
  <c r="K44" i="61"/>
  <c r="R43" i="61"/>
  <c r="L43" i="61"/>
  <c r="K43" i="61"/>
  <c r="R42" i="61"/>
  <c r="L42" i="61"/>
  <c r="K42" i="61"/>
  <c r="R41" i="61"/>
  <c r="L41" i="61"/>
  <c r="K41" i="61"/>
  <c r="R40" i="61"/>
  <c r="O40" i="61"/>
  <c r="L40" i="61"/>
  <c r="K40" i="61"/>
  <c r="C40" i="61"/>
  <c r="R39" i="61"/>
  <c r="O39" i="61"/>
  <c r="L39" i="61"/>
  <c r="K39" i="61"/>
  <c r="C39" i="61"/>
  <c r="R38" i="61"/>
  <c r="O38" i="61"/>
  <c r="L38" i="61"/>
  <c r="K38" i="61"/>
  <c r="C38" i="61"/>
  <c r="R37" i="61"/>
  <c r="P37" i="61"/>
  <c r="O37" i="61"/>
  <c r="L37" i="61"/>
  <c r="K37" i="61"/>
  <c r="C37" i="61"/>
  <c r="R36" i="61"/>
  <c r="P36" i="61"/>
  <c r="L36" i="61"/>
  <c r="K36" i="61"/>
  <c r="D36" i="61"/>
  <c r="C36" i="61"/>
  <c r="B36" i="61"/>
  <c r="R35" i="61"/>
  <c r="P35" i="61"/>
  <c r="O35" i="61"/>
  <c r="L35" i="61"/>
  <c r="K35" i="61"/>
  <c r="F35" i="61"/>
  <c r="D35" i="61"/>
  <c r="C35" i="61"/>
  <c r="B35" i="61"/>
  <c r="R34" i="61"/>
  <c r="P34" i="61"/>
  <c r="O34" i="61"/>
  <c r="L34" i="61"/>
  <c r="K34" i="61"/>
  <c r="J34" i="61"/>
  <c r="F34" i="61"/>
  <c r="D34" i="61"/>
  <c r="C34" i="61"/>
  <c r="B34" i="61"/>
  <c r="R33" i="61"/>
  <c r="P33" i="61"/>
  <c r="O33" i="61"/>
  <c r="L33" i="61"/>
  <c r="K33" i="61"/>
  <c r="J33" i="61"/>
  <c r="F33" i="61"/>
  <c r="D33" i="61"/>
  <c r="C33" i="61"/>
  <c r="B33" i="61"/>
  <c r="R32" i="61"/>
  <c r="P32" i="61"/>
  <c r="O32" i="61"/>
  <c r="L32" i="61"/>
  <c r="K32" i="61"/>
  <c r="J32" i="61"/>
  <c r="F32" i="61"/>
  <c r="D32" i="61"/>
  <c r="C32" i="61"/>
  <c r="B32" i="61"/>
  <c r="R31" i="61"/>
  <c r="P31" i="61"/>
  <c r="O31" i="61"/>
  <c r="L31" i="61"/>
  <c r="K31" i="61"/>
  <c r="J31" i="61"/>
  <c r="H31" i="61"/>
  <c r="G31" i="61"/>
  <c r="F31" i="61"/>
  <c r="D31" i="61"/>
  <c r="C31" i="61"/>
  <c r="B31" i="61"/>
  <c r="R30" i="61"/>
  <c r="P30" i="61"/>
  <c r="O30" i="61"/>
  <c r="L30" i="61"/>
  <c r="K30" i="61"/>
  <c r="J30" i="61"/>
  <c r="H30" i="61"/>
  <c r="G30" i="61"/>
  <c r="F30" i="61"/>
  <c r="D30" i="61"/>
  <c r="C30" i="61"/>
  <c r="B30" i="61"/>
  <c r="R29" i="61"/>
  <c r="P29" i="61"/>
  <c r="O29" i="61"/>
  <c r="L29" i="61"/>
  <c r="K29" i="61"/>
  <c r="J29" i="61"/>
  <c r="I29" i="61"/>
  <c r="H29" i="61"/>
  <c r="G29" i="61"/>
  <c r="F29" i="61"/>
  <c r="D29" i="61"/>
  <c r="C29" i="61"/>
  <c r="B29" i="61"/>
  <c r="R28" i="61"/>
  <c r="P28" i="61"/>
  <c r="O28" i="61"/>
  <c r="L28" i="61"/>
  <c r="K28" i="61"/>
  <c r="J28" i="61"/>
  <c r="I28" i="61"/>
  <c r="H28" i="61"/>
  <c r="G28" i="61"/>
  <c r="F28" i="61"/>
  <c r="D28" i="61"/>
  <c r="C28" i="61"/>
  <c r="B28" i="61"/>
  <c r="Q24" i="61"/>
  <c r="P24" i="61"/>
  <c r="O24" i="61"/>
  <c r="N24" i="61"/>
  <c r="M24" i="61"/>
  <c r="L24" i="61"/>
  <c r="K24" i="61"/>
  <c r="J24" i="61"/>
  <c r="I24" i="61"/>
  <c r="H24" i="61"/>
  <c r="G24" i="61"/>
  <c r="F24" i="61"/>
  <c r="E24" i="61"/>
  <c r="D24" i="61"/>
  <c r="C24" i="61"/>
  <c r="B24" i="61"/>
  <c r="R68" i="60"/>
  <c r="R67" i="60"/>
  <c r="R66" i="60"/>
  <c r="R65" i="60"/>
  <c r="R64" i="60"/>
  <c r="R63" i="60"/>
  <c r="R62" i="60"/>
  <c r="R61" i="60"/>
  <c r="R60" i="60"/>
  <c r="R59" i="60"/>
  <c r="R58" i="60"/>
  <c r="R57" i="60"/>
  <c r="R56" i="60"/>
  <c r="R55" i="60"/>
  <c r="R54" i="60"/>
  <c r="R53" i="60"/>
  <c r="R52" i="60"/>
  <c r="R51" i="60"/>
  <c r="R50" i="60"/>
  <c r="K50" i="60"/>
  <c r="R49" i="60"/>
  <c r="K49" i="60"/>
  <c r="R48" i="60"/>
  <c r="K48" i="60"/>
  <c r="R47" i="60"/>
  <c r="K47" i="60"/>
  <c r="R46" i="60"/>
  <c r="K46" i="60"/>
  <c r="R45" i="60"/>
  <c r="K45" i="60"/>
  <c r="R44" i="60"/>
  <c r="L44" i="60"/>
  <c r="K44" i="60"/>
  <c r="R43" i="60"/>
  <c r="L43" i="60"/>
  <c r="K43" i="60"/>
  <c r="R42" i="60"/>
  <c r="L42" i="60"/>
  <c r="K42" i="60"/>
  <c r="R41" i="60"/>
  <c r="L41" i="60"/>
  <c r="K41" i="60"/>
  <c r="R40" i="60"/>
  <c r="O40" i="60"/>
  <c r="L40" i="60"/>
  <c r="K40" i="60"/>
  <c r="C40" i="60"/>
  <c r="R39" i="60"/>
  <c r="O39" i="60"/>
  <c r="L39" i="60"/>
  <c r="K39" i="60"/>
  <c r="C39" i="60"/>
  <c r="R38" i="60"/>
  <c r="O38" i="60"/>
  <c r="L38" i="60"/>
  <c r="K38" i="60"/>
  <c r="C38" i="60"/>
  <c r="R37" i="60"/>
  <c r="P37" i="60"/>
  <c r="O37" i="60"/>
  <c r="L37" i="60"/>
  <c r="K37" i="60"/>
  <c r="C37" i="60"/>
  <c r="R36" i="60"/>
  <c r="P36" i="60"/>
  <c r="L36" i="60"/>
  <c r="K36" i="60"/>
  <c r="D36" i="60"/>
  <c r="C36" i="60"/>
  <c r="B36" i="60"/>
  <c r="R35" i="60"/>
  <c r="P35" i="60"/>
  <c r="O35" i="60"/>
  <c r="L35" i="60"/>
  <c r="K35" i="60"/>
  <c r="F35" i="60"/>
  <c r="D35" i="60"/>
  <c r="C35" i="60"/>
  <c r="B35" i="60"/>
  <c r="R34" i="60"/>
  <c r="P34" i="60"/>
  <c r="O34" i="60"/>
  <c r="L34" i="60"/>
  <c r="K34" i="60"/>
  <c r="J34" i="60"/>
  <c r="F34" i="60"/>
  <c r="D34" i="60"/>
  <c r="C34" i="60"/>
  <c r="B34" i="60"/>
  <c r="R33" i="60"/>
  <c r="P33" i="60"/>
  <c r="O33" i="60"/>
  <c r="L33" i="60"/>
  <c r="K33" i="60"/>
  <c r="J33" i="60"/>
  <c r="F33" i="60"/>
  <c r="D33" i="60"/>
  <c r="C33" i="60"/>
  <c r="B33" i="60"/>
  <c r="R32" i="60"/>
  <c r="P32" i="60"/>
  <c r="O32" i="60"/>
  <c r="L32" i="60"/>
  <c r="K32" i="60"/>
  <c r="J32" i="60"/>
  <c r="F32" i="60"/>
  <c r="D32" i="60"/>
  <c r="C32" i="60"/>
  <c r="B32" i="60"/>
  <c r="R31" i="60"/>
  <c r="P31" i="60"/>
  <c r="O31" i="60"/>
  <c r="L31" i="60"/>
  <c r="K31" i="60"/>
  <c r="J31" i="60"/>
  <c r="H31" i="60"/>
  <c r="G31" i="60"/>
  <c r="F31" i="60"/>
  <c r="D31" i="60"/>
  <c r="C31" i="60"/>
  <c r="B31" i="60"/>
  <c r="R30" i="60"/>
  <c r="P30" i="60"/>
  <c r="O30" i="60"/>
  <c r="L30" i="60"/>
  <c r="K30" i="60"/>
  <c r="J30" i="60"/>
  <c r="H30" i="60"/>
  <c r="G30" i="60"/>
  <c r="F30" i="60"/>
  <c r="D30" i="60"/>
  <c r="C30" i="60"/>
  <c r="B30" i="60"/>
  <c r="R29" i="60"/>
  <c r="P29" i="60"/>
  <c r="O29" i="60"/>
  <c r="L29" i="60"/>
  <c r="K29" i="60"/>
  <c r="J29" i="60"/>
  <c r="I29" i="60"/>
  <c r="H29" i="60"/>
  <c r="G29" i="60"/>
  <c r="F29" i="60"/>
  <c r="D29" i="60"/>
  <c r="C29" i="60"/>
  <c r="B29" i="60"/>
  <c r="R28" i="60"/>
  <c r="P28" i="60"/>
  <c r="O28" i="60"/>
  <c r="L28" i="60"/>
  <c r="K28" i="60"/>
  <c r="J28" i="60"/>
  <c r="I28" i="60"/>
  <c r="H28" i="60"/>
  <c r="G28" i="60"/>
  <c r="F28" i="60"/>
  <c r="D28" i="60"/>
  <c r="C28" i="60"/>
  <c r="B28" i="60"/>
  <c r="Q24" i="60"/>
  <c r="P24" i="60"/>
  <c r="O24" i="60"/>
  <c r="N24" i="60"/>
  <c r="M24" i="60"/>
  <c r="L24" i="60"/>
  <c r="K24" i="60"/>
  <c r="J24" i="60"/>
  <c r="I24" i="60"/>
  <c r="H24" i="60"/>
  <c r="G24" i="60"/>
  <c r="F24" i="60"/>
  <c r="E24" i="60"/>
  <c r="D24" i="60"/>
  <c r="C24" i="60"/>
  <c r="B24" i="60"/>
  <c r="R68" i="59"/>
  <c r="R67" i="59"/>
  <c r="R66" i="59"/>
  <c r="R65" i="59"/>
  <c r="R64" i="59"/>
  <c r="R63" i="59"/>
  <c r="R62" i="59"/>
  <c r="R61" i="59"/>
  <c r="R60" i="59"/>
  <c r="R59" i="59"/>
  <c r="R58" i="59"/>
  <c r="R57" i="59"/>
  <c r="R56" i="59"/>
  <c r="R55" i="59"/>
  <c r="R54" i="59"/>
  <c r="R53" i="59"/>
  <c r="R52" i="59"/>
  <c r="R51" i="59"/>
  <c r="R50" i="59"/>
  <c r="K50" i="59"/>
  <c r="R49" i="59"/>
  <c r="K49" i="59"/>
  <c r="R48" i="59"/>
  <c r="K48" i="59"/>
  <c r="R47" i="59"/>
  <c r="K47" i="59"/>
  <c r="R46" i="59"/>
  <c r="K46" i="59"/>
  <c r="R45" i="59"/>
  <c r="K45" i="59"/>
  <c r="R44" i="59"/>
  <c r="L44" i="59"/>
  <c r="K44" i="59"/>
  <c r="R43" i="59"/>
  <c r="L43" i="59"/>
  <c r="K43" i="59"/>
  <c r="R42" i="59"/>
  <c r="L42" i="59"/>
  <c r="K42" i="59"/>
  <c r="R41" i="59"/>
  <c r="L41" i="59"/>
  <c r="K41" i="59"/>
  <c r="R40" i="59"/>
  <c r="O40" i="59"/>
  <c r="L40" i="59"/>
  <c r="K40" i="59"/>
  <c r="C40" i="59"/>
  <c r="R39" i="59"/>
  <c r="O39" i="59"/>
  <c r="L39" i="59"/>
  <c r="K39" i="59"/>
  <c r="C39" i="59"/>
  <c r="R38" i="59"/>
  <c r="O38" i="59"/>
  <c r="L38" i="59"/>
  <c r="K38" i="59"/>
  <c r="C38" i="59"/>
  <c r="R37" i="59"/>
  <c r="P37" i="59"/>
  <c r="O37" i="59"/>
  <c r="L37" i="59"/>
  <c r="K37" i="59"/>
  <c r="C37" i="59"/>
  <c r="R36" i="59"/>
  <c r="P36" i="59"/>
  <c r="L36" i="59"/>
  <c r="K36" i="59"/>
  <c r="D36" i="59"/>
  <c r="C36" i="59"/>
  <c r="B36" i="59"/>
  <c r="R35" i="59"/>
  <c r="P35" i="59"/>
  <c r="O35" i="59"/>
  <c r="L35" i="59"/>
  <c r="K35" i="59"/>
  <c r="F35" i="59"/>
  <c r="D35" i="59"/>
  <c r="C35" i="59"/>
  <c r="B35" i="59"/>
  <c r="R34" i="59"/>
  <c r="P34" i="59"/>
  <c r="O34" i="59"/>
  <c r="L34" i="59"/>
  <c r="K34" i="59"/>
  <c r="J34" i="59"/>
  <c r="F34" i="59"/>
  <c r="D34" i="59"/>
  <c r="C34" i="59"/>
  <c r="B34" i="59"/>
  <c r="R33" i="59"/>
  <c r="P33" i="59"/>
  <c r="O33" i="59"/>
  <c r="L33" i="59"/>
  <c r="K33" i="59"/>
  <c r="J33" i="59"/>
  <c r="F33" i="59"/>
  <c r="D33" i="59"/>
  <c r="C33" i="59"/>
  <c r="B33" i="59"/>
  <c r="R32" i="59"/>
  <c r="P32" i="59"/>
  <c r="O32" i="59"/>
  <c r="L32" i="59"/>
  <c r="K32" i="59"/>
  <c r="J32" i="59"/>
  <c r="F32" i="59"/>
  <c r="D32" i="59"/>
  <c r="C32" i="59"/>
  <c r="B32" i="59"/>
  <c r="R31" i="59"/>
  <c r="P31" i="59"/>
  <c r="O31" i="59"/>
  <c r="L31" i="59"/>
  <c r="K31" i="59"/>
  <c r="J31" i="59"/>
  <c r="H31" i="59"/>
  <c r="G31" i="59"/>
  <c r="F31" i="59"/>
  <c r="D31" i="59"/>
  <c r="C31" i="59"/>
  <c r="B31" i="59"/>
  <c r="R30" i="59"/>
  <c r="P30" i="59"/>
  <c r="O30" i="59"/>
  <c r="L30" i="59"/>
  <c r="K30" i="59"/>
  <c r="J30" i="59"/>
  <c r="H30" i="59"/>
  <c r="G30" i="59"/>
  <c r="F30" i="59"/>
  <c r="D30" i="59"/>
  <c r="C30" i="59"/>
  <c r="B30" i="59"/>
  <c r="R29" i="59"/>
  <c r="P29" i="59"/>
  <c r="O29" i="59"/>
  <c r="L29" i="59"/>
  <c r="K29" i="59"/>
  <c r="J29" i="59"/>
  <c r="I29" i="59"/>
  <c r="H29" i="59"/>
  <c r="G29" i="59"/>
  <c r="F29" i="59"/>
  <c r="D29" i="59"/>
  <c r="C29" i="59"/>
  <c r="B29" i="59"/>
  <c r="R28" i="59"/>
  <c r="P28" i="59"/>
  <c r="O28" i="59"/>
  <c r="L28" i="59"/>
  <c r="K28" i="59"/>
  <c r="J28" i="59"/>
  <c r="I28" i="59"/>
  <c r="H28" i="59"/>
  <c r="G28" i="59"/>
  <c r="F28" i="59"/>
  <c r="D28" i="59"/>
  <c r="C28" i="59"/>
  <c r="B28" i="59"/>
  <c r="Q24" i="59"/>
  <c r="P24" i="59"/>
  <c r="O24" i="59"/>
  <c r="N24" i="59"/>
  <c r="M24" i="59"/>
  <c r="L24" i="59"/>
  <c r="K24" i="59"/>
  <c r="J24" i="59"/>
  <c r="I24" i="59"/>
  <c r="H24" i="59"/>
  <c r="G24" i="59"/>
  <c r="F24" i="59"/>
  <c r="E24" i="59"/>
  <c r="D24" i="59"/>
  <c r="C24" i="59"/>
  <c r="B24" i="59"/>
  <c r="R68" i="58"/>
  <c r="R67" i="58"/>
  <c r="R66" i="58"/>
  <c r="R65" i="58"/>
  <c r="R64" i="58"/>
  <c r="R63" i="58"/>
  <c r="R62" i="58"/>
  <c r="R61" i="58"/>
  <c r="R60" i="58"/>
  <c r="R59" i="58"/>
  <c r="R58" i="58"/>
  <c r="R57" i="58"/>
  <c r="R56" i="58"/>
  <c r="R55" i="58"/>
  <c r="R54" i="58"/>
  <c r="R53" i="58"/>
  <c r="R52" i="58"/>
  <c r="R51" i="58"/>
  <c r="R50" i="58"/>
  <c r="K50" i="58"/>
  <c r="R49" i="58"/>
  <c r="K49" i="58"/>
  <c r="R48" i="58"/>
  <c r="K48" i="58"/>
  <c r="R47" i="58"/>
  <c r="K47" i="58"/>
  <c r="R46" i="58"/>
  <c r="K46" i="58"/>
  <c r="R45" i="58"/>
  <c r="K45" i="58"/>
  <c r="R44" i="58"/>
  <c r="L44" i="58"/>
  <c r="K44" i="58"/>
  <c r="R43" i="58"/>
  <c r="L43" i="58"/>
  <c r="K43" i="58"/>
  <c r="R42" i="58"/>
  <c r="L42" i="58"/>
  <c r="K42" i="58"/>
  <c r="R41" i="58"/>
  <c r="L41" i="58"/>
  <c r="K41" i="58"/>
  <c r="R40" i="58"/>
  <c r="O40" i="58"/>
  <c r="L40" i="58"/>
  <c r="K40" i="58"/>
  <c r="C40" i="58"/>
  <c r="R39" i="58"/>
  <c r="O39" i="58"/>
  <c r="L39" i="58"/>
  <c r="K39" i="58"/>
  <c r="C39" i="58"/>
  <c r="R38" i="58"/>
  <c r="O38" i="58"/>
  <c r="L38" i="58"/>
  <c r="K38" i="58"/>
  <c r="C38" i="58"/>
  <c r="R37" i="58"/>
  <c r="P37" i="58"/>
  <c r="O37" i="58"/>
  <c r="L37" i="58"/>
  <c r="K37" i="58"/>
  <c r="C37" i="58"/>
  <c r="R36" i="58"/>
  <c r="P36" i="58"/>
  <c r="L36" i="58"/>
  <c r="K36" i="58"/>
  <c r="D36" i="58"/>
  <c r="C36" i="58"/>
  <c r="B36" i="58"/>
  <c r="R35" i="58"/>
  <c r="P35" i="58"/>
  <c r="O35" i="58"/>
  <c r="L35" i="58"/>
  <c r="K35" i="58"/>
  <c r="F35" i="58"/>
  <c r="D35" i="58"/>
  <c r="C35" i="58"/>
  <c r="B35" i="58"/>
  <c r="R34" i="58"/>
  <c r="P34" i="58"/>
  <c r="O34" i="58"/>
  <c r="L34" i="58"/>
  <c r="K34" i="58"/>
  <c r="J34" i="58"/>
  <c r="F34" i="58"/>
  <c r="D34" i="58"/>
  <c r="C34" i="58"/>
  <c r="B34" i="58"/>
  <c r="R33" i="58"/>
  <c r="P33" i="58"/>
  <c r="O33" i="58"/>
  <c r="L33" i="58"/>
  <c r="K33" i="58"/>
  <c r="J33" i="58"/>
  <c r="F33" i="58"/>
  <c r="D33" i="58"/>
  <c r="C33" i="58"/>
  <c r="B33" i="58"/>
  <c r="R32" i="58"/>
  <c r="P32" i="58"/>
  <c r="O32" i="58"/>
  <c r="L32" i="58"/>
  <c r="K32" i="58"/>
  <c r="J32" i="58"/>
  <c r="F32" i="58"/>
  <c r="D32" i="58"/>
  <c r="C32" i="58"/>
  <c r="B32" i="58"/>
  <c r="R31" i="58"/>
  <c r="P31" i="58"/>
  <c r="O31" i="58"/>
  <c r="L31" i="58"/>
  <c r="K31" i="58"/>
  <c r="J31" i="58"/>
  <c r="H31" i="58"/>
  <c r="G31" i="58"/>
  <c r="F31" i="58"/>
  <c r="D31" i="58"/>
  <c r="C31" i="58"/>
  <c r="B31" i="58"/>
  <c r="R30" i="58"/>
  <c r="P30" i="58"/>
  <c r="O30" i="58"/>
  <c r="L30" i="58"/>
  <c r="K30" i="58"/>
  <c r="J30" i="58"/>
  <c r="H30" i="58"/>
  <c r="G30" i="58"/>
  <c r="F30" i="58"/>
  <c r="D30" i="58"/>
  <c r="C30" i="58"/>
  <c r="B30" i="58"/>
  <c r="R29" i="58"/>
  <c r="P29" i="58"/>
  <c r="O29" i="58"/>
  <c r="L29" i="58"/>
  <c r="K29" i="58"/>
  <c r="J29" i="58"/>
  <c r="I29" i="58"/>
  <c r="H29" i="58"/>
  <c r="G29" i="58"/>
  <c r="F29" i="58"/>
  <c r="D29" i="58"/>
  <c r="C29" i="58"/>
  <c r="B29" i="58"/>
  <c r="R28" i="58"/>
  <c r="P28" i="58"/>
  <c r="O28" i="58"/>
  <c r="L28" i="58"/>
  <c r="K28" i="58"/>
  <c r="J28" i="58"/>
  <c r="I28" i="58"/>
  <c r="H28" i="58"/>
  <c r="G28" i="58"/>
  <c r="F28" i="58"/>
  <c r="D28" i="58"/>
  <c r="C28" i="58"/>
  <c r="B28" i="58"/>
  <c r="Q24" i="58"/>
  <c r="P24" i="58"/>
  <c r="O24" i="58"/>
  <c r="N24" i="58"/>
  <c r="M24" i="58"/>
  <c r="L24" i="58"/>
  <c r="K24" i="58"/>
  <c r="J24" i="58"/>
  <c r="I24" i="58"/>
  <c r="H24" i="58"/>
  <c r="G24" i="58"/>
  <c r="F24" i="58"/>
  <c r="E24" i="58"/>
  <c r="D24" i="58"/>
  <c r="C24" i="58"/>
  <c r="B24" i="58"/>
  <c r="R68" i="57"/>
  <c r="R67" i="57"/>
  <c r="R66" i="57"/>
  <c r="R65" i="57"/>
  <c r="R64" i="57"/>
  <c r="R63" i="57"/>
  <c r="R62" i="57"/>
  <c r="R61" i="57"/>
  <c r="R60" i="57"/>
  <c r="R59" i="57"/>
  <c r="R58" i="57"/>
  <c r="R57" i="57"/>
  <c r="R56" i="57"/>
  <c r="R55" i="57"/>
  <c r="R54" i="57"/>
  <c r="R53" i="57"/>
  <c r="R52" i="57"/>
  <c r="R51" i="57"/>
  <c r="R50" i="57"/>
  <c r="K50" i="57"/>
  <c r="R49" i="57"/>
  <c r="K49" i="57"/>
  <c r="R48" i="57"/>
  <c r="K48" i="57"/>
  <c r="R47" i="57"/>
  <c r="K47" i="57"/>
  <c r="R46" i="57"/>
  <c r="K46" i="57"/>
  <c r="R45" i="57"/>
  <c r="K45" i="57"/>
  <c r="R44" i="57"/>
  <c r="L44" i="57"/>
  <c r="K44" i="57"/>
  <c r="R43" i="57"/>
  <c r="L43" i="57"/>
  <c r="K43" i="57"/>
  <c r="R42" i="57"/>
  <c r="L42" i="57"/>
  <c r="K42" i="57"/>
  <c r="R41" i="57"/>
  <c r="L41" i="57"/>
  <c r="K41" i="57"/>
  <c r="R40" i="57"/>
  <c r="O40" i="57"/>
  <c r="L40" i="57"/>
  <c r="K40" i="57"/>
  <c r="C40" i="57"/>
  <c r="R39" i="57"/>
  <c r="O39" i="57"/>
  <c r="L39" i="57"/>
  <c r="K39" i="57"/>
  <c r="C39" i="57"/>
  <c r="R38" i="57"/>
  <c r="O38" i="57"/>
  <c r="L38" i="57"/>
  <c r="K38" i="57"/>
  <c r="C38" i="57"/>
  <c r="R37" i="57"/>
  <c r="P37" i="57"/>
  <c r="O37" i="57"/>
  <c r="L37" i="57"/>
  <c r="K37" i="57"/>
  <c r="C37" i="57"/>
  <c r="R36" i="57"/>
  <c r="P36" i="57"/>
  <c r="L36" i="57"/>
  <c r="K36" i="57"/>
  <c r="D36" i="57"/>
  <c r="C36" i="57"/>
  <c r="B36" i="57"/>
  <c r="R35" i="57"/>
  <c r="P35" i="57"/>
  <c r="O35" i="57"/>
  <c r="L35" i="57"/>
  <c r="K35" i="57"/>
  <c r="F35" i="57"/>
  <c r="D35" i="57"/>
  <c r="C35" i="57"/>
  <c r="B35" i="57"/>
  <c r="R34" i="57"/>
  <c r="P34" i="57"/>
  <c r="O34" i="57"/>
  <c r="L34" i="57"/>
  <c r="K34" i="57"/>
  <c r="J34" i="57"/>
  <c r="F34" i="57"/>
  <c r="D34" i="57"/>
  <c r="C34" i="57"/>
  <c r="B34" i="57"/>
  <c r="R33" i="57"/>
  <c r="P33" i="57"/>
  <c r="O33" i="57"/>
  <c r="L33" i="57"/>
  <c r="K33" i="57"/>
  <c r="J33" i="57"/>
  <c r="F33" i="57"/>
  <c r="D33" i="57"/>
  <c r="C33" i="57"/>
  <c r="B33" i="57"/>
  <c r="R32" i="57"/>
  <c r="P32" i="57"/>
  <c r="O32" i="57"/>
  <c r="L32" i="57"/>
  <c r="K32" i="57"/>
  <c r="J32" i="57"/>
  <c r="F32" i="57"/>
  <c r="D32" i="57"/>
  <c r="C32" i="57"/>
  <c r="B32" i="57"/>
  <c r="R31" i="57"/>
  <c r="P31" i="57"/>
  <c r="O31" i="57"/>
  <c r="L31" i="57"/>
  <c r="K31" i="57"/>
  <c r="J31" i="57"/>
  <c r="H31" i="57"/>
  <c r="G31" i="57"/>
  <c r="F31" i="57"/>
  <c r="D31" i="57"/>
  <c r="C31" i="57"/>
  <c r="B31" i="57"/>
  <c r="R30" i="57"/>
  <c r="P30" i="57"/>
  <c r="O30" i="57"/>
  <c r="L30" i="57"/>
  <c r="K30" i="57"/>
  <c r="J30" i="57"/>
  <c r="H30" i="57"/>
  <c r="G30" i="57"/>
  <c r="F30" i="57"/>
  <c r="D30" i="57"/>
  <c r="C30" i="57"/>
  <c r="B30" i="57"/>
  <c r="R29" i="57"/>
  <c r="P29" i="57"/>
  <c r="O29" i="57"/>
  <c r="L29" i="57"/>
  <c r="K29" i="57"/>
  <c r="J29" i="57"/>
  <c r="I29" i="57"/>
  <c r="H29" i="57"/>
  <c r="G29" i="57"/>
  <c r="F29" i="57"/>
  <c r="D29" i="57"/>
  <c r="C29" i="57"/>
  <c r="B29" i="57"/>
  <c r="R28" i="57"/>
  <c r="P28" i="57"/>
  <c r="O28" i="57"/>
  <c r="L28" i="57"/>
  <c r="K28" i="57"/>
  <c r="J28" i="57"/>
  <c r="I28" i="57"/>
  <c r="H28" i="57"/>
  <c r="G28" i="57"/>
  <c r="F28" i="57"/>
  <c r="D28" i="57"/>
  <c r="C28" i="57"/>
  <c r="B28" i="57"/>
  <c r="Q24" i="57"/>
  <c r="P24" i="57"/>
  <c r="O24" i="57"/>
  <c r="N24" i="57"/>
  <c r="M24" i="57"/>
  <c r="L24" i="57"/>
  <c r="K24" i="57"/>
  <c r="J24" i="57"/>
  <c r="I24" i="57"/>
  <c r="H24" i="57"/>
  <c r="G24" i="57"/>
  <c r="F24" i="57"/>
  <c r="E24" i="57"/>
  <c r="D24" i="57"/>
  <c r="C24" i="57"/>
  <c r="B24" i="57"/>
  <c r="R68" i="56"/>
  <c r="R67" i="56"/>
  <c r="R66" i="56"/>
  <c r="R65" i="56"/>
  <c r="R64" i="56"/>
  <c r="R63" i="56"/>
  <c r="R62" i="56"/>
  <c r="R61" i="56"/>
  <c r="R60" i="56"/>
  <c r="R59" i="56"/>
  <c r="R58" i="56"/>
  <c r="R57" i="56"/>
  <c r="R56" i="56"/>
  <c r="R55" i="56"/>
  <c r="R54" i="56"/>
  <c r="R53" i="56"/>
  <c r="R52" i="56"/>
  <c r="R51" i="56"/>
  <c r="R50" i="56"/>
  <c r="K50" i="56"/>
  <c r="R49" i="56"/>
  <c r="K49" i="56"/>
  <c r="R48" i="56"/>
  <c r="K48" i="56"/>
  <c r="R47" i="56"/>
  <c r="K47" i="56"/>
  <c r="R46" i="56"/>
  <c r="K46" i="56"/>
  <c r="R45" i="56"/>
  <c r="K45" i="56"/>
  <c r="R44" i="56"/>
  <c r="L44" i="56"/>
  <c r="K44" i="56"/>
  <c r="R43" i="56"/>
  <c r="L43" i="56"/>
  <c r="K43" i="56"/>
  <c r="R42" i="56"/>
  <c r="L42" i="56"/>
  <c r="K42" i="56"/>
  <c r="R41" i="56"/>
  <c r="L41" i="56"/>
  <c r="K41" i="56"/>
  <c r="R40" i="56"/>
  <c r="O40" i="56"/>
  <c r="L40" i="56"/>
  <c r="K40" i="56"/>
  <c r="C40" i="56"/>
  <c r="R39" i="56"/>
  <c r="O39" i="56"/>
  <c r="L39" i="56"/>
  <c r="K39" i="56"/>
  <c r="C39" i="56"/>
  <c r="R38" i="56"/>
  <c r="O38" i="56"/>
  <c r="L38" i="56"/>
  <c r="K38" i="56"/>
  <c r="C38" i="56"/>
  <c r="R37" i="56"/>
  <c r="P37" i="56"/>
  <c r="O37" i="56"/>
  <c r="L37" i="56"/>
  <c r="K37" i="56"/>
  <c r="C37" i="56"/>
  <c r="R36" i="56"/>
  <c r="P36" i="56"/>
  <c r="L36" i="56"/>
  <c r="K36" i="56"/>
  <c r="D36" i="56"/>
  <c r="C36" i="56"/>
  <c r="B36" i="56"/>
  <c r="R35" i="56"/>
  <c r="P35" i="56"/>
  <c r="O35" i="56"/>
  <c r="L35" i="56"/>
  <c r="K35" i="56"/>
  <c r="F35" i="56"/>
  <c r="D35" i="56"/>
  <c r="C35" i="56"/>
  <c r="B35" i="56"/>
  <c r="R34" i="56"/>
  <c r="P34" i="56"/>
  <c r="O34" i="56"/>
  <c r="L34" i="56"/>
  <c r="K34" i="56"/>
  <c r="J34" i="56"/>
  <c r="F34" i="56"/>
  <c r="D34" i="56"/>
  <c r="C34" i="56"/>
  <c r="B34" i="56"/>
  <c r="R33" i="56"/>
  <c r="P33" i="56"/>
  <c r="O33" i="56"/>
  <c r="L33" i="56"/>
  <c r="K33" i="56"/>
  <c r="J33" i="56"/>
  <c r="F33" i="56"/>
  <c r="D33" i="56"/>
  <c r="C33" i="56"/>
  <c r="B33" i="56"/>
  <c r="R32" i="56"/>
  <c r="P32" i="56"/>
  <c r="O32" i="56"/>
  <c r="L32" i="56"/>
  <c r="K32" i="56"/>
  <c r="J32" i="56"/>
  <c r="F32" i="56"/>
  <c r="D32" i="56"/>
  <c r="C32" i="56"/>
  <c r="B32" i="56"/>
  <c r="R31" i="56"/>
  <c r="P31" i="56"/>
  <c r="O31" i="56"/>
  <c r="L31" i="56"/>
  <c r="K31" i="56"/>
  <c r="J31" i="56"/>
  <c r="H31" i="56"/>
  <c r="G31" i="56"/>
  <c r="F31" i="56"/>
  <c r="D31" i="56"/>
  <c r="C31" i="56"/>
  <c r="B31" i="56"/>
  <c r="R30" i="56"/>
  <c r="P30" i="56"/>
  <c r="O30" i="56"/>
  <c r="L30" i="56"/>
  <c r="K30" i="56"/>
  <c r="J30" i="56"/>
  <c r="H30" i="56"/>
  <c r="G30" i="56"/>
  <c r="F30" i="56"/>
  <c r="D30" i="56"/>
  <c r="C30" i="56"/>
  <c r="B30" i="56"/>
  <c r="R29" i="56"/>
  <c r="P29" i="56"/>
  <c r="O29" i="56"/>
  <c r="L29" i="56"/>
  <c r="K29" i="56"/>
  <c r="J29" i="56"/>
  <c r="I29" i="56"/>
  <c r="H29" i="56"/>
  <c r="G29" i="56"/>
  <c r="F29" i="56"/>
  <c r="D29" i="56"/>
  <c r="C29" i="56"/>
  <c r="B29" i="56"/>
  <c r="R28" i="56"/>
  <c r="P28" i="56"/>
  <c r="O28" i="56"/>
  <c r="L28" i="56"/>
  <c r="K28" i="56"/>
  <c r="J28" i="56"/>
  <c r="I28" i="56"/>
  <c r="H28" i="56"/>
  <c r="G28" i="56"/>
  <c r="F28" i="56"/>
  <c r="D28" i="56"/>
  <c r="C28" i="56"/>
  <c r="B28" i="56"/>
  <c r="Q24" i="56"/>
  <c r="P24" i="56"/>
  <c r="O24" i="56"/>
  <c r="N24" i="56"/>
  <c r="M24" i="56"/>
  <c r="L24" i="56"/>
  <c r="K24" i="56"/>
  <c r="J24" i="56"/>
  <c r="I24" i="56"/>
  <c r="H24" i="56"/>
  <c r="G24" i="56"/>
  <c r="F24" i="56"/>
  <c r="E24" i="56"/>
  <c r="D24" i="56"/>
  <c r="C24" i="56"/>
  <c r="B24" i="56"/>
  <c r="R68" i="55"/>
  <c r="R67" i="55"/>
  <c r="R66" i="55"/>
  <c r="R65" i="55"/>
  <c r="R64" i="55"/>
  <c r="R63" i="55"/>
  <c r="R62" i="55"/>
  <c r="R61" i="55"/>
  <c r="R60" i="55"/>
  <c r="R59" i="55"/>
  <c r="R58" i="55"/>
  <c r="R57" i="55"/>
  <c r="R56" i="55"/>
  <c r="R55" i="55"/>
  <c r="R54" i="55"/>
  <c r="R53" i="55"/>
  <c r="R52" i="55"/>
  <c r="R51" i="55"/>
  <c r="R50" i="55"/>
  <c r="K50" i="55"/>
  <c r="R49" i="55"/>
  <c r="K49" i="55"/>
  <c r="R48" i="55"/>
  <c r="K48" i="55"/>
  <c r="R47" i="55"/>
  <c r="K47" i="55"/>
  <c r="R46" i="55"/>
  <c r="K46" i="55"/>
  <c r="R45" i="55"/>
  <c r="K45" i="55"/>
  <c r="R44" i="55"/>
  <c r="L44" i="55"/>
  <c r="K44" i="55"/>
  <c r="R43" i="55"/>
  <c r="L43" i="55"/>
  <c r="K43" i="55"/>
  <c r="R42" i="55"/>
  <c r="L42" i="55"/>
  <c r="K42" i="55"/>
  <c r="R41" i="55"/>
  <c r="L41" i="55"/>
  <c r="K41" i="55"/>
  <c r="R40" i="55"/>
  <c r="O40" i="55"/>
  <c r="L40" i="55"/>
  <c r="K40" i="55"/>
  <c r="C40" i="55"/>
  <c r="R39" i="55"/>
  <c r="O39" i="55"/>
  <c r="L39" i="55"/>
  <c r="K39" i="55"/>
  <c r="C39" i="55"/>
  <c r="R38" i="55"/>
  <c r="O38" i="55"/>
  <c r="L38" i="55"/>
  <c r="K38" i="55"/>
  <c r="C38" i="55"/>
  <c r="R37" i="55"/>
  <c r="P37" i="55"/>
  <c r="O37" i="55"/>
  <c r="L37" i="55"/>
  <c r="K37" i="55"/>
  <c r="C37" i="55"/>
  <c r="R36" i="55"/>
  <c r="P36" i="55"/>
  <c r="L36" i="55"/>
  <c r="K36" i="55"/>
  <c r="D36" i="55"/>
  <c r="C36" i="55"/>
  <c r="B36" i="55"/>
  <c r="R35" i="55"/>
  <c r="P35" i="55"/>
  <c r="O35" i="55"/>
  <c r="L35" i="55"/>
  <c r="K35" i="55"/>
  <c r="F35" i="55"/>
  <c r="D35" i="55"/>
  <c r="C35" i="55"/>
  <c r="B35" i="55"/>
  <c r="R34" i="55"/>
  <c r="P34" i="55"/>
  <c r="O34" i="55"/>
  <c r="L34" i="55"/>
  <c r="K34" i="55"/>
  <c r="J34" i="55"/>
  <c r="F34" i="55"/>
  <c r="D34" i="55"/>
  <c r="C34" i="55"/>
  <c r="B34" i="55"/>
  <c r="R33" i="55"/>
  <c r="P33" i="55"/>
  <c r="O33" i="55"/>
  <c r="L33" i="55"/>
  <c r="K33" i="55"/>
  <c r="J33" i="55"/>
  <c r="F33" i="55"/>
  <c r="D33" i="55"/>
  <c r="C33" i="55"/>
  <c r="B33" i="55"/>
  <c r="R32" i="55"/>
  <c r="P32" i="55"/>
  <c r="O32" i="55"/>
  <c r="L32" i="55"/>
  <c r="K32" i="55"/>
  <c r="J32" i="55"/>
  <c r="F32" i="55"/>
  <c r="D32" i="55"/>
  <c r="C32" i="55"/>
  <c r="B32" i="55"/>
  <c r="R31" i="55"/>
  <c r="P31" i="55"/>
  <c r="O31" i="55"/>
  <c r="L31" i="55"/>
  <c r="K31" i="55"/>
  <c r="J31" i="55"/>
  <c r="H31" i="55"/>
  <c r="G31" i="55"/>
  <c r="F31" i="55"/>
  <c r="D31" i="55"/>
  <c r="C31" i="55"/>
  <c r="B31" i="55"/>
  <c r="R30" i="55"/>
  <c r="P30" i="55"/>
  <c r="O30" i="55"/>
  <c r="L30" i="55"/>
  <c r="K30" i="55"/>
  <c r="J30" i="55"/>
  <c r="H30" i="55"/>
  <c r="G30" i="55"/>
  <c r="F30" i="55"/>
  <c r="D30" i="55"/>
  <c r="C30" i="55"/>
  <c r="B30" i="55"/>
  <c r="R29" i="55"/>
  <c r="P29" i="55"/>
  <c r="O29" i="55"/>
  <c r="L29" i="55"/>
  <c r="K29" i="55"/>
  <c r="J29" i="55"/>
  <c r="I29" i="55"/>
  <c r="H29" i="55"/>
  <c r="G29" i="55"/>
  <c r="F29" i="55"/>
  <c r="D29" i="55"/>
  <c r="C29" i="55"/>
  <c r="B29" i="55"/>
  <c r="R28" i="55"/>
  <c r="P28" i="55"/>
  <c r="O28" i="55"/>
  <c r="L28" i="55"/>
  <c r="K28" i="55"/>
  <c r="J28" i="55"/>
  <c r="I28" i="55"/>
  <c r="H28" i="55"/>
  <c r="G28" i="55"/>
  <c r="F28" i="55"/>
  <c r="D28" i="55"/>
  <c r="C28" i="55"/>
  <c r="B28" i="55"/>
  <c r="Q24" i="55"/>
  <c r="P24" i="55"/>
  <c r="O24" i="55"/>
  <c r="N24" i="55"/>
  <c r="M24" i="55"/>
  <c r="L24" i="55"/>
  <c r="K24" i="55"/>
  <c r="J24" i="55"/>
  <c r="I24" i="55"/>
  <c r="H24" i="55"/>
  <c r="G24" i="55"/>
  <c r="F24" i="55"/>
  <c r="E24" i="55"/>
  <c r="D24" i="55"/>
  <c r="C24" i="55"/>
  <c r="B24" i="55"/>
  <c r="R68" i="54"/>
  <c r="R67" i="54"/>
  <c r="R66" i="54"/>
  <c r="R65" i="54"/>
  <c r="R64" i="54"/>
  <c r="R63" i="54"/>
  <c r="R62" i="54"/>
  <c r="R61" i="54"/>
  <c r="R60" i="54"/>
  <c r="R59" i="54"/>
  <c r="R58" i="54"/>
  <c r="R57" i="54"/>
  <c r="R56" i="54"/>
  <c r="R55" i="54"/>
  <c r="R54" i="54"/>
  <c r="R53" i="54"/>
  <c r="R52" i="54"/>
  <c r="R51" i="54"/>
  <c r="R50" i="54"/>
  <c r="K50" i="54"/>
  <c r="R49" i="54"/>
  <c r="K49" i="54"/>
  <c r="R48" i="54"/>
  <c r="K48" i="54"/>
  <c r="R47" i="54"/>
  <c r="K47" i="54"/>
  <c r="R46" i="54"/>
  <c r="K46" i="54"/>
  <c r="R45" i="54"/>
  <c r="K45" i="54"/>
  <c r="R44" i="54"/>
  <c r="L44" i="54"/>
  <c r="K44" i="54"/>
  <c r="R43" i="54"/>
  <c r="L43" i="54"/>
  <c r="K43" i="54"/>
  <c r="R42" i="54"/>
  <c r="L42" i="54"/>
  <c r="K42" i="54"/>
  <c r="R41" i="54"/>
  <c r="L41" i="54"/>
  <c r="K41" i="54"/>
  <c r="R40" i="54"/>
  <c r="O40" i="54"/>
  <c r="L40" i="54"/>
  <c r="K40" i="54"/>
  <c r="C40" i="54"/>
  <c r="R39" i="54"/>
  <c r="O39" i="54"/>
  <c r="L39" i="54"/>
  <c r="K39" i="54"/>
  <c r="C39" i="54"/>
  <c r="R38" i="54"/>
  <c r="O38" i="54"/>
  <c r="L38" i="54"/>
  <c r="K38" i="54"/>
  <c r="C38" i="54"/>
  <c r="R37" i="54"/>
  <c r="P37" i="54"/>
  <c r="O37" i="54"/>
  <c r="L37" i="54"/>
  <c r="K37" i="54"/>
  <c r="C37" i="54"/>
  <c r="R36" i="54"/>
  <c r="P36" i="54"/>
  <c r="L36" i="54"/>
  <c r="K36" i="54"/>
  <c r="D36" i="54"/>
  <c r="C36" i="54"/>
  <c r="B36" i="54"/>
  <c r="R35" i="54"/>
  <c r="P35" i="54"/>
  <c r="O35" i="54"/>
  <c r="L35" i="54"/>
  <c r="K35" i="54"/>
  <c r="F35" i="54"/>
  <c r="D35" i="54"/>
  <c r="C35" i="54"/>
  <c r="B35" i="54"/>
  <c r="R34" i="54"/>
  <c r="P34" i="54"/>
  <c r="O34" i="54"/>
  <c r="L34" i="54"/>
  <c r="K34" i="54"/>
  <c r="J34" i="54"/>
  <c r="F34" i="54"/>
  <c r="D34" i="54"/>
  <c r="C34" i="54"/>
  <c r="B34" i="54"/>
  <c r="R33" i="54"/>
  <c r="P33" i="54"/>
  <c r="O33" i="54"/>
  <c r="L33" i="54"/>
  <c r="K33" i="54"/>
  <c r="J33" i="54"/>
  <c r="F33" i="54"/>
  <c r="D33" i="54"/>
  <c r="C33" i="54"/>
  <c r="B33" i="54"/>
  <c r="R32" i="54"/>
  <c r="P32" i="54"/>
  <c r="O32" i="54"/>
  <c r="L32" i="54"/>
  <c r="K32" i="54"/>
  <c r="J32" i="54"/>
  <c r="F32" i="54"/>
  <c r="D32" i="54"/>
  <c r="C32" i="54"/>
  <c r="B32" i="54"/>
  <c r="R31" i="54"/>
  <c r="P31" i="54"/>
  <c r="O31" i="54"/>
  <c r="L31" i="54"/>
  <c r="K31" i="54"/>
  <c r="J31" i="54"/>
  <c r="H31" i="54"/>
  <c r="G31" i="54"/>
  <c r="F31" i="54"/>
  <c r="D31" i="54"/>
  <c r="C31" i="54"/>
  <c r="B31" i="54"/>
  <c r="R30" i="54"/>
  <c r="P30" i="54"/>
  <c r="O30" i="54"/>
  <c r="L30" i="54"/>
  <c r="K30" i="54"/>
  <c r="J30" i="54"/>
  <c r="H30" i="54"/>
  <c r="G30" i="54"/>
  <c r="F30" i="54"/>
  <c r="D30" i="54"/>
  <c r="C30" i="54"/>
  <c r="B30" i="54"/>
  <c r="R29" i="54"/>
  <c r="P29" i="54"/>
  <c r="O29" i="54"/>
  <c r="L29" i="54"/>
  <c r="K29" i="54"/>
  <c r="J29" i="54"/>
  <c r="I29" i="54"/>
  <c r="H29" i="54"/>
  <c r="G29" i="54"/>
  <c r="F29" i="54"/>
  <c r="D29" i="54"/>
  <c r="C29" i="54"/>
  <c r="B29" i="54"/>
  <c r="R28" i="54"/>
  <c r="P28" i="54"/>
  <c r="O28" i="54"/>
  <c r="L28" i="54"/>
  <c r="K28" i="54"/>
  <c r="J28" i="54"/>
  <c r="I28" i="54"/>
  <c r="H28" i="54"/>
  <c r="G28" i="54"/>
  <c r="F28" i="54"/>
  <c r="D28" i="54"/>
  <c r="C28" i="54"/>
  <c r="B28" i="54"/>
  <c r="Q24" i="54"/>
  <c r="P24" i="54"/>
  <c r="O24" i="54"/>
  <c r="N24" i="54"/>
  <c r="M24" i="54"/>
  <c r="L24" i="54"/>
  <c r="K24" i="54"/>
  <c r="J24" i="54"/>
  <c r="I24" i="54"/>
  <c r="H24" i="54"/>
  <c r="G24" i="54"/>
  <c r="F24" i="54"/>
  <c r="E24" i="54"/>
  <c r="D24" i="54"/>
  <c r="C24" i="54"/>
  <c r="B24" i="54"/>
  <c r="R68" i="53"/>
  <c r="R67" i="53"/>
  <c r="R66" i="53"/>
  <c r="R65" i="53"/>
  <c r="R64" i="53"/>
  <c r="R63" i="53"/>
  <c r="R62" i="53"/>
  <c r="R61" i="53"/>
  <c r="R60" i="53"/>
  <c r="R59" i="53"/>
  <c r="R58" i="53"/>
  <c r="R57" i="53"/>
  <c r="R56" i="53"/>
  <c r="R55" i="53"/>
  <c r="R54" i="53"/>
  <c r="R53" i="53"/>
  <c r="R52" i="53"/>
  <c r="R51" i="53"/>
  <c r="R50" i="53"/>
  <c r="K50" i="53"/>
  <c r="R49" i="53"/>
  <c r="K49" i="53"/>
  <c r="R48" i="53"/>
  <c r="K48" i="53"/>
  <c r="R47" i="53"/>
  <c r="K47" i="53"/>
  <c r="R46" i="53"/>
  <c r="K46" i="53"/>
  <c r="R45" i="53"/>
  <c r="K45" i="53"/>
  <c r="R44" i="53"/>
  <c r="L44" i="53"/>
  <c r="K44" i="53"/>
  <c r="R43" i="53"/>
  <c r="L43" i="53"/>
  <c r="K43" i="53"/>
  <c r="R42" i="53"/>
  <c r="L42" i="53"/>
  <c r="K42" i="53"/>
  <c r="R41" i="53"/>
  <c r="L41" i="53"/>
  <c r="K41" i="53"/>
  <c r="R40" i="53"/>
  <c r="O40" i="53"/>
  <c r="L40" i="53"/>
  <c r="K40" i="53"/>
  <c r="C40" i="53"/>
  <c r="R39" i="53"/>
  <c r="O39" i="53"/>
  <c r="L39" i="53"/>
  <c r="K39" i="53"/>
  <c r="C39" i="53"/>
  <c r="R38" i="53"/>
  <c r="O38" i="53"/>
  <c r="L38" i="53"/>
  <c r="K38" i="53"/>
  <c r="C38" i="53"/>
  <c r="R37" i="53"/>
  <c r="P37" i="53"/>
  <c r="O37" i="53"/>
  <c r="L37" i="53"/>
  <c r="K37" i="53"/>
  <c r="C37" i="53"/>
  <c r="R36" i="53"/>
  <c r="P36" i="53"/>
  <c r="L36" i="53"/>
  <c r="K36" i="53"/>
  <c r="D36" i="53"/>
  <c r="C36" i="53"/>
  <c r="B36" i="53"/>
  <c r="R35" i="53"/>
  <c r="P35" i="53"/>
  <c r="O35" i="53"/>
  <c r="L35" i="53"/>
  <c r="K35" i="53"/>
  <c r="F35" i="53"/>
  <c r="D35" i="53"/>
  <c r="C35" i="53"/>
  <c r="B35" i="53"/>
  <c r="R34" i="53"/>
  <c r="P34" i="53"/>
  <c r="O34" i="53"/>
  <c r="L34" i="53"/>
  <c r="K34" i="53"/>
  <c r="J34" i="53"/>
  <c r="F34" i="53"/>
  <c r="D34" i="53"/>
  <c r="C34" i="53"/>
  <c r="B34" i="53"/>
  <c r="R33" i="53"/>
  <c r="P33" i="53"/>
  <c r="O33" i="53"/>
  <c r="L33" i="53"/>
  <c r="K33" i="53"/>
  <c r="J33" i="53"/>
  <c r="F33" i="53"/>
  <c r="D33" i="53"/>
  <c r="C33" i="53"/>
  <c r="B33" i="53"/>
  <c r="R32" i="53"/>
  <c r="P32" i="53"/>
  <c r="O32" i="53"/>
  <c r="L32" i="53"/>
  <c r="K32" i="53"/>
  <c r="J32" i="53"/>
  <c r="F32" i="53"/>
  <c r="D32" i="53"/>
  <c r="C32" i="53"/>
  <c r="B32" i="53"/>
  <c r="R31" i="53"/>
  <c r="P31" i="53"/>
  <c r="O31" i="53"/>
  <c r="L31" i="53"/>
  <c r="K31" i="53"/>
  <c r="J31" i="53"/>
  <c r="H31" i="53"/>
  <c r="G31" i="53"/>
  <c r="F31" i="53"/>
  <c r="D31" i="53"/>
  <c r="C31" i="53"/>
  <c r="B31" i="53"/>
  <c r="R30" i="53"/>
  <c r="P30" i="53"/>
  <c r="O30" i="53"/>
  <c r="L30" i="53"/>
  <c r="K30" i="53"/>
  <c r="J30" i="53"/>
  <c r="H30" i="53"/>
  <c r="G30" i="53"/>
  <c r="F30" i="53"/>
  <c r="D30" i="53"/>
  <c r="C30" i="53"/>
  <c r="B30" i="53"/>
  <c r="R29" i="53"/>
  <c r="P29" i="53"/>
  <c r="O29" i="53"/>
  <c r="L29" i="53"/>
  <c r="K29" i="53"/>
  <c r="J29" i="53"/>
  <c r="I29" i="53"/>
  <c r="H29" i="53"/>
  <c r="G29" i="53"/>
  <c r="F29" i="53"/>
  <c r="D29" i="53"/>
  <c r="C29" i="53"/>
  <c r="B29" i="53"/>
  <c r="R28" i="53"/>
  <c r="P28" i="53"/>
  <c r="O28" i="53"/>
  <c r="L28" i="53"/>
  <c r="K28" i="53"/>
  <c r="J28" i="53"/>
  <c r="I28" i="53"/>
  <c r="H28" i="53"/>
  <c r="G28" i="53"/>
  <c r="F28" i="53"/>
  <c r="D28" i="53"/>
  <c r="C28" i="53"/>
  <c r="B28" i="53"/>
  <c r="Q24" i="53"/>
  <c r="P24" i="53"/>
  <c r="O24" i="53"/>
  <c r="N24" i="53"/>
  <c r="M24" i="53"/>
  <c r="L24" i="53"/>
  <c r="K24" i="53"/>
  <c r="J24" i="53"/>
  <c r="I24" i="53"/>
  <c r="H24" i="53"/>
  <c r="G24" i="53"/>
  <c r="F24" i="53"/>
  <c r="E24" i="53"/>
  <c r="D24" i="53"/>
  <c r="C24" i="53"/>
  <c r="B24" i="53"/>
  <c r="R68" i="52"/>
  <c r="R67" i="52"/>
  <c r="R66" i="52"/>
  <c r="R65" i="52"/>
  <c r="R64" i="52"/>
  <c r="R63" i="52"/>
  <c r="R62" i="52"/>
  <c r="R61" i="52"/>
  <c r="R60" i="52"/>
  <c r="R59" i="52"/>
  <c r="R58" i="52"/>
  <c r="R57" i="52"/>
  <c r="R56" i="52"/>
  <c r="R55" i="52"/>
  <c r="R54" i="52"/>
  <c r="R53" i="52"/>
  <c r="R52" i="52"/>
  <c r="R51" i="52"/>
  <c r="R50" i="52"/>
  <c r="K50" i="52"/>
  <c r="R49" i="52"/>
  <c r="K49" i="52"/>
  <c r="R48" i="52"/>
  <c r="K48" i="52"/>
  <c r="R47" i="52"/>
  <c r="K47" i="52"/>
  <c r="R46" i="52"/>
  <c r="K46" i="52"/>
  <c r="R45" i="52"/>
  <c r="K45" i="52"/>
  <c r="R44" i="52"/>
  <c r="L44" i="52"/>
  <c r="K44" i="52"/>
  <c r="R43" i="52"/>
  <c r="L43" i="52"/>
  <c r="K43" i="52"/>
  <c r="R42" i="52"/>
  <c r="L42" i="52"/>
  <c r="K42" i="52"/>
  <c r="R41" i="52"/>
  <c r="L41" i="52"/>
  <c r="K41" i="52"/>
  <c r="R40" i="52"/>
  <c r="O40" i="52"/>
  <c r="L40" i="52"/>
  <c r="K40" i="52"/>
  <c r="C40" i="52"/>
  <c r="R39" i="52"/>
  <c r="O39" i="52"/>
  <c r="L39" i="52"/>
  <c r="K39" i="52"/>
  <c r="C39" i="52"/>
  <c r="R38" i="52"/>
  <c r="O38" i="52"/>
  <c r="L38" i="52"/>
  <c r="K38" i="52"/>
  <c r="C38" i="52"/>
  <c r="R37" i="52"/>
  <c r="P37" i="52"/>
  <c r="O37" i="52"/>
  <c r="L37" i="52"/>
  <c r="K37" i="52"/>
  <c r="C37" i="52"/>
  <c r="R36" i="52"/>
  <c r="P36" i="52"/>
  <c r="L36" i="52"/>
  <c r="K36" i="52"/>
  <c r="D36" i="52"/>
  <c r="C36" i="52"/>
  <c r="B36" i="52"/>
  <c r="R35" i="52"/>
  <c r="P35" i="52"/>
  <c r="O35" i="52"/>
  <c r="L35" i="52"/>
  <c r="K35" i="52"/>
  <c r="F35" i="52"/>
  <c r="D35" i="52"/>
  <c r="C35" i="52"/>
  <c r="B35" i="52"/>
  <c r="R34" i="52"/>
  <c r="P34" i="52"/>
  <c r="O34" i="52"/>
  <c r="L34" i="52"/>
  <c r="K34" i="52"/>
  <c r="J34" i="52"/>
  <c r="F34" i="52"/>
  <c r="D34" i="52"/>
  <c r="C34" i="52"/>
  <c r="B34" i="52"/>
  <c r="R33" i="52"/>
  <c r="P33" i="52"/>
  <c r="O33" i="52"/>
  <c r="L33" i="52"/>
  <c r="K33" i="52"/>
  <c r="J33" i="52"/>
  <c r="F33" i="52"/>
  <c r="D33" i="52"/>
  <c r="C33" i="52"/>
  <c r="B33" i="52"/>
  <c r="R32" i="52"/>
  <c r="P32" i="52"/>
  <c r="O32" i="52"/>
  <c r="L32" i="52"/>
  <c r="K32" i="52"/>
  <c r="J32" i="52"/>
  <c r="F32" i="52"/>
  <c r="D32" i="52"/>
  <c r="C32" i="52"/>
  <c r="B32" i="52"/>
  <c r="R31" i="52"/>
  <c r="P31" i="52"/>
  <c r="O31" i="52"/>
  <c r="L31" i="52"/>
  <c r="K31" i="52"/>
  <c r="J31" i="52"/>
  <c r="H31" i="52"/>
  <c r="G31" i="52"/>
  <c r="F31" i="52"/>
  <c r="D31" i="52"/>
  <c r="C31" i="52"/>
  <c r="B31" i="52"/>
  <c r="R30" i="52"/>
  <c r="P30" i="52"/>
  <c r="O30" i="52"/>
  <c r="L30" i="52"/>
  <c r="K30" i="52"/>
  <c r="J30" i="52"/>
  <c r="H30" i="52"/>
  <c r="G30" i="52"/>
  <c r="F30" i="52"/>
  <c r="D30" i="52"/>
  <c r="C30" i="52"/>
  <c r="B30" i="52"/>
  <c r="R29" i="52"/>
  <c r="P29" i="52"/>
  <c r="O29" i="52"/>
  <c r="L29" i="52"/>
  <c r="K29" i="52"/>
  <c r="J29" i="52"/>
  <c r="I29" i="52"/>
  <c r="H29" i="52"/>
  <c r="G29" i="52"/>
  <c r="F29" i="52"/>
  <c r="D29" i="52"/>
  <c r="C29" i="52"/>
  <c r="B29" i="52"/>
  <c r="R28" i="52"/>
  <c r="P28" i="52"/>
  <c r="O28" i="52"/>
  <c r="L28" i="52"/>
  <c r="K28" i="52"/>
  <c r="J28" i="52"/>
  <c r="I28" i="52"/>
  <c r="H28" i="52"/>
  <c r="G28" i="52"/>
  <c r="F28" i="52"/>
  <c r="D28" i="52"/>
  <c r="C28" i="52"/>
  <c r="B28" i="52"/>
  <c r="Q24" i="52"/>
  <c r="P24" i="52"/>
  <c r="O24" i="52"/>
  <c r="N24" i="52"/>
  <c r="M24" i="52"/>
  <c r="L24" i="52"/>
  <c r="K24" i="52"/>
  <c r="J24" i="52"/>
  <c r="I24" i="52"/>
  <c r="H24" i="52"/>
  <c r="G24" i="52"/>
  <c r="F24" i="52"/>
  <c r="E24" i="52"/>
  <c r="D24" i="52"/>
  <c r="C24" i="52"/>
  <c r="B24" i="52"/>
  <c r="R68" i="51"/>
  <c r="R67" i="51"/>
  <c r="R66" i="51"/>
  <c r="R65" i="51"/>
  <c r="R64" i="51"/>
  <c r="R63" i="51"/>
  <c r="R62" i="51"/>
  <c r="R61" i="51"/>
  <c r="R60" i="51"/>
  <c r="R59" i="51"/>
  <c r="R58" i="51"/>
  <c r="R57" i="51"/>
  <c r="R56" i="51"/>
  <c r="R55" i="51"/>
  <c r="R54" i="51"/>
  <c r="R53" i="51"/>
  <c r="R52" i="51"/>
  <c r="R51" i="51"/>
  <c r="R50" i="51"/>
  <c r="K50" i="51"/>
  <c r="R49" i="51"/>
  <c r="K49" i="51"/>
  <c r="R48" i="51"/>
  <c r="K48" i="51"/>
  <c r="R47" i="51"/>
  <c r="K47" i="51"/>
  <c r="R46" i="51"/>
  <c r="K46" i="51"/>
  <c r="R45" i="51"/>
  <c r="K45" i="51"/>
  <c r="R44" i="51"/>
  <c r="L44" i="51"/>
  <c r="K44" i="51"/>
  <c r="R43" i="51"/>
  <c r="L43" i="51"/>
  <c r="K43" i="51"/>
  <c r="R42" i="51"/>
  <c r="L42" i="51"/>
  <c r="K42" i="51"/>
  <c r="R41" i="51"/>
  <c r="L41" i="51"/>
  <c r="K41" i="51"/>
  <c r="R40" i="51"/>
  <c r="O40" i="51"/>
  <c r="L40" i="51"/>
  <c r="K40" i="51"/>
  <c r="C40" i="51"/>
  <c r="R39" i="51"/>
  <c r="O39" i="51"/>
  <c r="L39" i="51"/>
  <c r="K39" i="51"/>
  <c r="C39" i="51"/>
  <c r="R38" i="51"/>
  <c r="O38" i="51"/>
  <c r="L38" i="51"/>
  <c r="K38" i="51"/>
  <c r="C38" i="51"/>
  <c r="R37" i="51"/>
  <c r="P37" i="51"/>
  <c r="O37" i="51"/>
  <c r="L37" i="51"/>
  <c r="K37" i="51"/>
  <c r="C37" i="51"/>
  <c r="R36" i="51"/>
  <c r="P36" i="51"/>
  <c r="L36" i="51"/>
  <c r="K36" i="51"/>
  <c r="D36" i="51"/>
  <c r="C36" i="51"/>
  <c r="B36" i="51"/>
  <c r="R35" i="51"/>
  <c r="P35" i="51"/>
  <c r="O35" i="51"/>
  <c r="L35" i="51"/>
  <c r="K35" i="51"/>
  <c r="F35" i="51"/>
  <c r="D35" i="51"/>
  <c r="C35" i="51"/>
  <c r="B35" i="51"/>
  <c r="R34" i="51"/>
  <c r="P34" i="51"/>
  <c r="O34" i="51"/>
  <c r="L34" i="51"/>
  <c r="K34" i="51"/>
  <c r="J34" i="51"/>
  <c r="F34" i="51"/>
  <c r="D34" i="51"/>
  <c r="C34" i="51"/>
  <c r="B34" i="51"/>
  <c r="R33" i="51"/>
  <c r="P33" i="51"/>
  <c r="O33" i="51"/>
  <c r="L33" i="51"/>
  <c r="K33" i="51"/>
  <c r="J33" i="51"/>
  <c r="F33" i="51"/>
  <c r="D33" i="51"/>
  <c r="C33" i="51"/>
  <c r="B33" i="51"/>
  <c r="R32" i="51"/>
  <c r="P32" i="51"/>
  <c r="O32" i="51"/>
  <c r="L32" i="51"/>
  <c r="K32" i="51"/>
  <c r="J32" i="51"/>
  <c r="F32" i="51"/>
  <c r="D32" i="51"/>
  <c r="C32" i="51"/>
  <c r="B32" i="51"/>
  <c r="R31" i="51"/>
  <c r="P31" i="51"/>
  <c r="O31" i="51"/>
  <c r="L31" i="51"/>
  <c r="K31" i="51"/>
  <c r="J31" i="51"/>
  <c r="H31" i="51"/>
  <c r="G31" i="51"/>
  <c r="F31" i="51"/>
  <c r="D31" i="51"/>
  <c r="C31" i="51"/>
  <c r="B31" i="51"/>
  <c r="R30" i="51"/>
  <c r="P30" i="51"/>
  <c r="O30" i="51"/>
  <c r="L30" i="51"/>
  <c r="K30" i="51"/>
  <c r="J30" i="51"/>
  <c r="H30" i="51"/>
  <c r="G30" i="51"/>
  <c r="F30" i="51"/>
  <c r="D30" i="51"/>
  <c r="C30" i="51"/>
  <c r="B30" i="51"/>
  <c r="R29" i="51"/>
  <c r="P29" i="51"/>
  <c r="O29" i="51"/>
  <c r="L29" i="51"/>
  <c r="K29" i="51"/>
  <c r="J29" i="51"/>
  <c r="I29" i="51"/>
  <c r="H29" i="51"/>
  <c r="G29" i="51"/>
  <c r="F29" i="51"/>
  <c r="D29" i="51"/>
  <c r="C29" i="51"/>
  <c r="B29" i="51"/>
  <c r="R28" i="51"/>
  <c r="P28" i="51"/>
  <c r="O28" i="51"/>
  <c r="L28" i="51"/>
  <c r="K28" i="51"/>
  <c r="J28" i="51"/>
  <c r="I28" i="51"/>
  <c r="H28" i="51"/>
  <c r="G28" i="51"/>
  <c r="F28" i="51"/>
  <c r="D28" i="51"/>
  <c r="C28" i="51"/>
  <c r="B28" i="51"/>
  <c r="Q24" i="51"/>
  <c r="P24" i="51"/>
  <c r="O24" i="51"/>
  <c r="N24" i="51"/>
  <c r="M24" i="51"/>
  <c r="L24" i="51"/>
  <c r="K24" i="51"/>
  <c r="J24" i="51"/>
  <c r="I24" i="51"/>
  <c r="H24" i="51"/>
  <c r="G24" i="51"/>
  <c r="F24" i="51"/>
  <c r="E24" i="51"/>
  <c r="D24" i="51"/>
  <c r="C24" i="51"/>
  <c r="B24" i="51"/>
  <c r="R68" i="50"/>
  <c r="R67" i="50"/>
  <c r="R66" i="50"/>
  <c r="R65" i="50"/>
  <c r="R64" i="50"/>
  <c r="R63" i="50"/>
  <c r="R62" i="50"/>
  <c r="R61" i="50"/>
  <c r="R60" i="50"/>
  <c r="R59" i="50"/>
  <c r="R58" i="50"/>
  <c r="R57" i="50"/>
  <c r="R56" i="50"/>
  <c r="R55" i="50"/>
  <c r="R54" i="50"/>
  <c r="R53" i="50"/>
  <c r="R52" i="50"/>
  <c r="R51" i="50"/>
  <c r="R50" i="50"/>
  <c r="K50" i="50"/>
  <c r="R49" i="50"/>
  <c r="K49" i="50"/>
  <c r="R48" i="50"/>
  <c r="K48" i="50"/>
  <c r="R47" i="50"/>
  <c r="K47" i="50"/>
  <c r="R46" i="50"/>
  <c r="K46" i="50"/>
  <c r="R45" i="50"/>
  <c r="K45" i="50"/>
  <c r="R44" i="50"/>
  <c r="L44" i="50"/>
  <c r="K44" i="50"/>
  <c r="R43" i="50"/>
  <c r="L43" i="50"/>
  <c r="K43" i="50"/>
  <c r="R42" i="50"/>
  <c r="L42" i="50"/>
  <c r="K42" i="50"/>
  <c r="R41" i="50"/>
  <c r="L41" i="50"/>
  <c r="K41" i="50"/>
  <c r="R40" i="50"/>
  <c r="O40" i="50"/>
  <c r="L40" i="50"/>
  <c r="K40" i="50"/>
  <c r="C40" i="50"/>
  <c r="R39" i="50"/>
  <c r="O39" i="50"/>
  <c r="L39" i="50"/>
  <c r="K39" i="50"/>
  <c r="C39" i="50"/>
  <c r="R38" i="50"/>
  <c r="O38" i="50"/>
  <c r="L38" i="50"/>
  <c r="K38" i="50"/>
  <c r="C38" i="50"/>
  <c r="R37" i="50"/>
  <c r="P37" i="50"/>
  <c r="O37" i="50"/>
  <c r="L37" i="50"/>
  <c r="K37" i="50"/>
  <c r="C37" i="50"/>
  <c r="R36" i="50"/>
  <c r="P36" i="50"/>
  <c r="L36" i="50"/>
  <c r="K36" i="50"/>
  <c r="D36" i="50"/>
  <c r="C36" i="50"/>
  <c r="B36" i="50"/>
  <c r="R35" i="50"/>
  <c r="P35" i="50"/>
  <c r="O35" i="50"/>
  <c r="L35" i="50"/>
  <c r="K35" i="50"/>
  <c r="F35" i="50"/>
  <c r="D35" i="50"/>
  <c r="C35" i="50"/>
  <c r="B35" i="50"/>
  <c r="R34" i="50"/>
  <c r="P34" i="50"/>
  <c r="O34" i="50"/>
  <c r="L34" i="50"/>
  <c r="K34" i="50"/>
  <c r="J34" i="50"/>
  <c r="F34" i="50"/>
  <c r="D34" i="50"/>
  <c r="C34" i="50"/>
  <c r="B34" i="50"/>
  <c r="R33" i="50"/>
  <c r="P33" i="50"/>
  <c r="O33" i="50"/>
  <c r="L33" i="50"/>
  <c r="K33" i="50"/>
  <c r="J33" i="50"/>
  <c r="F33" i="50"/>
  <c r="D33" i="50"/>
  <c r="C33" i="50"/>
  <c r="B33" i="50"/>
  <c r="R32" i="50"/>
  <c r="P32" i="50"/>
  <c r="O32" i="50"/>
  <c r="L32" i="50"/>
  <c r="K32" i="50"/>
  <c r="J32" i="50"/>
  <c r="F32" i="50"/>
  <c r="D32" i="50"/>
  <c r="C32" i="50"/>
  <c r="B32" i="50"/>
  <c r="R31" i="50"/>
  <c r="P31" i="50"/>
  <c r="O31" i="50"/>
  <c r="L31" i="50"/>
  <c r="K31" i="50"/>
  <c r="J31" i="50"/>
  <c r="H31" i="50"/>
  <c r="G31" i="50"/>
  <c r="F31" i="50"/>
  <c r="D31" i="50"/>
  <c r="C31" i="50"/>
  <c r="B31" i="50"/>
  <c r="R30" i="50"/>
  <c r="P30" i="50"/>
  <c r="O30" i="50"/>
  <c r="L30" i="50"/>
  <c r="K30" i="50"/>
  <c r="J30" i="50"/>
  <c r="H30" i="50"/>
  <c r="G30" i="50"/>
  <c r="F30" i="50"/>
  <c r="D30" i="50"/>
  <c r="C30" i="50"/>
  <c r="B30" i="50"/>
  <c r="R29" i="50"/>
  <c r="P29" i="50"/>
  <c r="O29" i="50"/>
  <c r="L29" i="50"/>
  <c r="K29" i="50"/>
  <c r="J29" i="50"/>
  <c r="I29" i="50"/>
  <c r="H29" i="50"/>
  <c r="G29" i="50"/>
  <c r="F29" i="50"/>
  <c r="D29" i="50"/>
  <c r="C29" i="50"/>
  <c r="B29" i="50"/>
  <c r="R28" i="50"/>
  <c r="P28" i="50"/>
  <c r="O28" i="50"/>
  <c r="L28" i="50"/>
  <c r="K28" i="50"/>
  <c r="J28" i="50"/>
  <c r="I28" i="50"/>
  <c r="H28" i="50"/>
  <c r="G28" i="50"/>
  <c r="F28" i="50"/>
  <c r="D28" i="50"/>
  <c r="C28" i="50"/>
  <c r="B28" i="50"/>
  <c r="Q24" i="50"/>
  <c r="P24" i="50"/>
  <c r="O24" i="50"/>
  <c r="N24" i="50"/>
  <c r="M24" i="50"/>
  <c r="L24" i="50"/>
  <c r="K24" i="50"/>
  <c r="J24" i="50"/>
  <c r="I24" i="50"/>
  <c r="H24" i="50"/>
  <c r="G24" i="50"/>
  <c r="F24" i="50"/>
  <c r="E24" i="50"/>
  <c r="D24" i="50"/>
  <c r="C24" i="50"/>
  <c r="B24" i="50"/>
  <c r="R68" i="49"/>
  <c r="R67" i="49"/>
  <c r="R66" i="49"/>
  <c r="R65" i="49"/>
  <c r="R64" i="49"/>
  <c r="R63" i="49"/>
  <c r="R62" i="49"/>
  <c r="R61" i="49"/>
  <c r="R60" i="49"/>
  <c r="R59" i="49"/>
  <c r="R58" i="49"/>
  <c r="R57" i="49"/>
  <c r="R56" i="49"/>
  <c r="R55" i="49"/>
  <c r="R54" i="49"/>
  <c r="R53" i="49"/>
  <c r="R52" i="49"/>
  <c r="R51" i="49"/>
  <c r="R50" i="49"/>
  <c r="K50" i="49"/>
  <c r="R49" i="49"/>
  <c r="K49" i="49"/>
  <c r="R48" i="49"/>
  <c r="K48" i="49"/>
  <c r="R47" i="49"/>
  <c r="K47" i="49"/>
  <c r="R46" i="49"/>
  <c r="K46" i="49"/>
  <c r="R45" i="49"/>
  <c r="K45" i="49"/>
  <c r="R44" i="49"/>
  <c r="L44" i="49"/>
  <c r="K44" i="49"/>
  <c r="R43" i="49"/>
  <c r="L43" i="49"/>
  <c r="K43" i="49"/>
  <c r="R42" i="49"/>
  <c r="L42" i="49"/>
  <c r="K42" i="49"/>
  <c r="R41" i="49"/>
  <c r="L41" i="49"/>
  <c r="K41" i="49"/>
  <c r="R40" i="49"/>
  <c r="O40" i="49"/>
  <c r="L40" i="49"/>
  <c r="K40" i="49"/>
  <c r="C40" i="49"/>
  <c r="R39" i="49"/>
  <c r="O39" i="49"/>
  <c r="L39" i="49"/>
  <c r="K39" i="49"/>
  <c r="C39" i="49"/>
  <c r="R38" i="49"/>
  <c r="O38" i="49"/>
  <c r="L38" i="49"/>
  <c r="K38" i="49"/>
  <c r="C38" i="49"/>
  <c r="R37" i="49"/>
  <c r="P37" i="49"/>
  <c r="O37" i="49"/>
  <c r="L37" i="49"/>
  <c r="K37" i="49"/>
  <c r="C37" i="49"/>
  <c r="R36" i="49"/>
  <c r="P36" i="49"/>
  <c r="L36" i="49"/>
  <c r="K36" i="49"/>
  <c r="D36" i="49"/>
  <c r="C36" i="49"/>
  <c r="B36" i="49"/>
  <c r="R35" i="49"/>
  <c r="P35" i="49"/>
  <c r="O35" i="49"/>
  <c r="L35" i="49"/>
  <c r="K35" i="49"/>
  <c r="F35" i="49"/>
  <c r="D35" i="49"/>
  <c r="C35" i="49"/>
  <c r="B35" i="49"/>
  <c r="R34" i="49"/>
  <c r="P34" i="49"/>
  <c r="O34" i="49"/>
  <c r="L34" i="49"/>
  <c r="K34" i="49"/>
  <c r="J34" i="49"/>
  <c r="F34" i="49"/>
  <c r="D34" i="49"/>
  <c r="C34" i="49"/>
  <c r="B34" i="49"/>
  <c r="R33" i="49"/>
  <c r="P33" i="49"/>
  <c r="O33" i="49"/>
  <c r="L33" i="49"/>
  <c r="K33" i="49"/>
  <c r="J33" i="49"/>
  <c r="F33" i="49"/>
  <c r="D33" i="49"/>
  <c r="C33" i="49"/>
  <c r="B33" i="49"/>
  <c r="R32" i="49"/>
  <c r="P32" i="49"/>
  <c r="O32" i="49"/>
  <c r="L32" i="49"/>
  <c r="K32" i="49"/>
  <c r="J32" i="49"/>
  <c r="F32" i="49"/>
  <c r="D32" i="49"/>
  <c r="C32" i="49"/>
  <c r="B32" i="49"/>
  <c r="R31" i="49"/>
  <c r="P31" i="49"/>
  <c r="O31" i="49"/>
  <c r="L31" i="49"/>
  <c r="K31" i="49"/>
  <c r="J31" i="49"/>
  <c r="H31" i="49"/>
  <c r="G31" i="49"/>
  <c r="F31" i="49"/>
  <c r="D31" i="49"/>
  <c r="C31" i="49"/>
  <c r="B31" i="49"/>
  <c r="R30" i="49"/>
  <c r="P30" i="49"/>
  <c r="O30" i="49"/>
  <c r="L30" i="49"/>
  <c r="K30" i="49"/>
  <c r="J30" i="49"/>
  <c r="H30" i="49"/>
  <c r="G30" i="49"/>
  <c r="F30" i="49"/>
  <c r="D30" i="49"/>
  <c r="C30" i="49"/>
  <c r="B30" i="49"/>
  <c r="R29" i="49"/>
  <c r="P29" i="49"/>
  <c r="O29" i="49"/>
  <c r="L29" i="49"/>
  <c r="K29" i="49"/>
  <c r="J29" i="49"/>
  <c r="I29" i="49"/>
  <c r="H29" i="49"/>
  <c r="G29" i="49"/>
  <c r="F29" i="49"/>
  <c r="D29" i="49"/>
  <c r="C29" i="49"/>
  <c r="B29" i="49"/>
  <c r="R28" i="49"/>
  <c r="P28" i="49"/>
  <c r="O28" i="49"/>
  <c r="L28" i="49"/>
  <c r="K28" i="49"/>
  <c r="J28" i="49"/>
  <c r="I28" i="49"/>
  <c r="H28" i="49"/>
  <c r="G28" i="49"/>
  <c r="F28" i="49"/>
  <c r="D28" i="49"/>
  <c r="C28" i="49"/>
  <c r="B28" i="49"/>
  <c r="Q24" i="49"/>
  <c r="P24" i="49"/>
  <c r="O24" i="49"/>
  <c r="N24" i="49"/>
  <c r="M24" i="49"/>
  <c r="L24" i="49"/>
  <c r="K24" i="49"/>
  <c r="J24" i="49"/>
  <c r="I24" i="49"/>
  <c r="H24" i="49"/>
  <c r="G24" i="49"/>
  <c r="F24" i="49"/>
  <c r="E24" i="49"/>
  <c r="D24" i="49"/>
  <c r="C24" i="49"/>
  <c r="B24" i="49"/>
  <c r="R68" i="48"/>
  <c r="R67" i="48"/>
  <c r="R66" i="48"/>
  <c r="R65" i="48"/>
  <c r="R64" i="48"/>
  <c r="R63" i="48"/>
  <c r="R62" i="48"/>
  <c r="R61" i="48"/>
  <c r="R60" i="48"/>
  <c r="R59" i="48"/>
  <c r="R58" i="48"/>
  <c r="R57" i="48"/>
  <c r="R56" i="48"/>
  <c r="R55" i="48"/>
  <c r="R54" i="48"/>
  <c r="R53" i="48"/>
  <c r="R52" i="48"/>
  <c r="R51" i="48"/>
  <c r="R50" i="48"/>
  <c r="K50" i="48"/>
  <c r="R49" i="48"/>
  <c r="K49" i="48"/>
  <c r="R48" i="48"/>
  <c r="K48" i="48"/>
  <c r="R47" i="48"/>
  <c r="K47" i="48"/>
  <c r="R46" i="48"/>
  <c r="K46" i="48"/>
  <c r="R45" i="48"/>
  <c r="K45" i="48"/>
  <c r="R44" i="48"/>
  <c r="L44" i="48"/>
  <c r="K44" i="48"/>
  <c r="R43" i="48"/>
  <c r="L43" i="48"/>
  <c r="K43" i="48"/>
  <c r="R42" i="48"/>
  <c r="L42" i="48"/>
  <c r="K42" i="48"/>
  <c r="R41" i="48"/>
  <c r="L41" i="48"/>
  <c r="K41" i="48"/>
  <c r="R40" i="48"/>
  <c r="O40" i="48"/>
  <c r="L40" i="48"/>
  <c r="K40" i="48"/>
  <c r="C40" i="48"/>
  <c r="R39" i="48"/>
  <c r="O39" i="48"/>
  <c r="L39" i="48"/>
  <c r="K39" i="48"/>
  <c r="C39" i="48"/>
  <c r="R38" i="48"/>
  <c r="O38" i="48"/>
  <c r="L38" i="48"/>
  <c r="K38" i="48"/>
  <c r="C38" i="48"/>
  <c r="R37" i="48"/>
  <c r="P37" i="48"/>
  <c r="O37" i="48"/>
  <c r="L37" i="48"/>
  <c r="K37" i="48"/>
  <c r="C37" i="48"/>
  <c r="R36" i="48"/>
  <c r="P36" i="48"/>
  <c r="L36" i="48"/>
  <c r="K36" i="48"/>
  <c r="D36" i="48"/>
  <c r="C36" i="48"/>
  <c r="B36" i="48"/>
  <c r="R35" i="48"/>
  <c r="P35" i="48"/>
  <c r="O35" i="48"/>
  <c r="L35" i="48"/>
  <c r="K35" i="48"/>
  <c r="F35" i="48"/>
  <c r="D35" i="48"/>
  <c r="C35" i="48"/>
  <c r="B35" i="48"/>
  <c r="R34" i="48"/>
  <c r="P34" i="48"/>
  <c r="O34" i="48"/>
  <c r="L34" i="48"/>
  <c r="K34" i="48"/>
  <c r="J34" i="48"/>
  <c r="F34" i="48"/>
  <c r="D34" i="48"/>
  <c r="C34" i="48"/>
  <c r="B34" i="48"/>
  <c r="R33" i="48"/>
  <c r="P33" i="48"/>
  <c r="O33" i="48"/>
  <c r="L33" i="48"/>
  <c r="K33" i="48"/>
  <c r="J33" i="48"/>
  <c r="F33" i="48"/>
  <c r="D33" i="48"/>
  <c r="C33" i="48"/>
  <c r="B33" i="48"/>
  <c r="R32" i="48"/>
  <c r="P32" i="48"/>
  <c r="O32" i="48"/>
  <c r="L32" i="48"/>
  <c r="K32" i="48"/>
  <c r="J32" i="48"/>
  <c r="F32" i="48"/>
  <c r="D32" i="48"/>
  <c r="C32" i="48"/>
  <c r="B32" i="48"/>
  <c r="R31" i="48"/>
  <c r="P31" i="48"/>
  <c r="O31" i="48"/>
  <c r="L31" i="48"/>
  <c r="K31" i="48"/>
  <c r="J31" i="48"/>
  <c r="H31" i="48"/>
  <c r="G31" i="48"/>
  <c r="F31" i="48"/>
  <c r="D31" i="48"/>
  <c r="C31" i="48"/>
  <c r="B31" i="48"/>
  <c r="R30" i="48"/>
  <c r="P30" i="48"/>
  <c r="O30" i="48"/>
  <c r="L30" i="48"/>
  <c r="K30" i="48"/>
  <c r="J30" i="48"/>
  <c r="H30" i="48"/>
  <c r="G30" i="48"/>
  <c r="F30" i="48"/>
  <c r="D30" i="48"/>
  <c r="C30" i="48"/>
  <c r="B30" i="48"/>
  <c r="R29" i="48"/>
  <c r="P29" i="48"/>
  <c r="O29" i="48"/>
  <c r="L29" i="48"/>
  <c r="K29" i="48"/>
  <c r="J29" i="48"/>
  <c r="I29" i="48"/>
  <c r="H29" i="48"/>
  <c r="G29" i="48"/>
  <c r="F29" i="48"/>
  <c r="D29" i="48"/>
  <c r="C29" i="48"/>
  <c r="B29" i="48"/>
  <c r="R28" i="48"/>
  <c r="P28" i="48"/>
  <c r="O28" i="48"/>
  <c r="L28" i="48"/>
  <c r="K28" i="48"/>
  <c r="J28" i="48"/>
  <c r="I28" i="48"/>
  <c r="H28" i="48"/>
  <c r="G28" i="48"/>
  <c r="F28" i="48"/>
  <c r="D28" i="48"/>
  <c r="C28" i="48"/>
  <c r="B28" i="48"/>
  <c r="Q24" i="48"/>
  <c r="P24" i="48"/>
  <c r="O24" i="48"/>
  <c r="N24" i="48"/>
  <c r="M24" i="48"/>
  <c r="L24" i="48"/>
  <c r="K24" i="48"/>
  <c r="J24" i="48"/>
  <c r="I24" i="48"/>
  <c r="H24" i="48"/>
  <c r="G24" i="48"/>
  <c r="F24" i="48"/>
  <c r="E24" i="48"/>
  <c r="D24" i="48"/>
  <c r="C24" i="48"/>
  <c r="B24" i="48"/>
  <c r="R68" i="47"/>
  <c r="R67" i="47"/>
  <c r="R66" i="47"/>
  <c r="R65" i="47"/>
  <c r="R64" i="47"/>
  <c r="R63" i="47"/>
  <c r="R62" i="47"/>
  <c r="R61" i="47"/>
  <c r="R60" i="47"/>
  <c r="R59" i="47"/>
  <c r="R58" i="47"/>
  <c r="R57" i="47"/>
  <c r="R56" i="47"/>
  <c r="R55" i="47"/>
  <c r="R54" i="47"/>
  <c r="R53" i="47"/>
  <c r="R52" i="47"/>
  <c r="R51" i="47"/>
  <c r="R50" i="47"/>
  <c r="K50" i="47"/>
  <c r="R49" i="47"/>
  <c r="K49" i="47"/>
  <c r="R48" i="47"/>
  <c r="K48" i="47"/>
  <c r="R47" i="47"/>
  <c r="K47" i="47"/>
  <c r="R46" i="47"/>
  <c r="K46" i="47"/>
  <c r="R45" i="47"/>
  <c r="K45" i="47"/>
  <c r="R44" i="47"/>
  <c r="L44" i="47"/>
  <c r="K44" i="47"/>
  <c r="R43" i="47"/>
  <c r="L43" i="47"/>
  <c r="K43" i="47"/>
  <c r="R42" i="47"/>
  <c r="L42" i="47"/>
  <c r="K42" i="47"/>
  <c r="R41" i="47"/>
  <c r="L41" i="47"/>
  <c r="K41" i="47"/>
  <c r="R40" i="47"/>
  <c r="O40" i="47"/>
  <c r="L40" i="47"/>
  <c r="K40" i="47"/>
  <c r="C40" i="47"/>
  <c r="R39" i="47"/>
  <c r="O39" i="47"/>
  <c r="L39" i="47"/>
  <c r="K39" i="47"/>
  <c r="C39" i="47"/>
  <c r="R38" i="47"/>
  <c r="O38" i="47"/>
  <c r="L38" i="47"/>
  <c r="K38" i="47"/>
  <c r="C38" i="47"/>
  <c r="R37" i="47"/>
  <c r="P37" i="47"/>
  <c r="O37" i="47"/>
  <c r="L37" i="47"/>
  <c r="K37" i="47"/>
  <c r="C37" i="47"/>
  <c r="R36" i="47"/>
  <c r="P36" i="47"/>
  <c r="L36" i="47"/>
  <c r="K36" i="47"/>
  <c r="D36" i="47"/>
  <c r="C36" i="47"/>
  <c r="B36" i="47"/>
  <c r="R35" i="47"/>
  <c r="P35" i="47"/>
  <c r="O35" i="47"/>
  <c r="L35" i="47"/>
  <c r="K35" i="47"/>
  <c r="F35" i="47"/>
  <c r="D35" i="47"/>
  <c r="C35" i="47"/>
  <c r="B35" i="47"/>
  <c r="R34" i="47"/>
  <c r="P34" i="47"/>
  <c r="O34" i="47"/>
  <c r="L34" i="47"/>
  <c r="K34" i="47"/>
  <c r="J34" i="47"/>
  <c r="F34" i="47"/>
  <c r="D34" i="47"/>
  <c r="C34" i="47"/>
  <c r="B34" i="47"/>
  <c r="R33" i="47"/>
  <c r="P33" i="47"/>
  <c r="O33" i="47"/>
  <c r="L33" i="47"/>
  <c r="K33" i="47"/>
  <c r="J33" i="47"/>
  <c r="F33" i="47"/>
  <c r="D33" i="47"/>
  <c r="C33" i="47"/>
  <c r="B33" i="47"/>
  <c r="R32" i="47"/>
  <c r="P32" i="47"/>
  <c r="O32" i="47"/>
  <c r="L32" i="47"/>
  <c r="K32" i="47"/>
  <c r="J32" i="47"/>
  <c r="F32" i="47"/>
  <c r="D32" i="47"/>
  <c r="C32" i="47"/>
  <c r="B32" i="47"/>
  <c r="R31" i="47"/>
  <c r="P31" i="47"/>
  <c r="O31" i="47"/>
  <c r="L31" i="47"/>
  <c r="K31" i="47"/>
  <c r="J31" i="47"/>
  <c r="H31" i="47"/>
  <c r="G31" i="47"/>
  <c r="F31" i="47"/>
  <c r="D31" i="47"/>
  <c r="C31" i="47"/>
  <c r="B31" i="47"/>
  <c r="R30" i="47"/>
  <c r="P30" i="47"/>
  <c r="O30" i="47"/>
  <c r="L30" i="47"/>
  <c r="K30" i="47"/>
  <c r="J30" i="47"/>
  <c r="H30" i="47"/>
  <c r="G30" i="47"/>
  <c r="F30" i="47"/>
  <c r="D30" i="47"/>
  <c r="C30" i="47"/>
  <c r="B30" i="47"/>
  <c r="R29" i="47"/>
  <c r="P29" i="47"/>
  <c r="O29" i="47"/>
  <c r="L29" i="47"/>
  <c r="K29" i="47"/>
  <c r="J29" i="47"/>
  <c r="I29" i="47"/>
  <c r="H29" i="47"/>
  <c r="G29" i="47"/>
  <c r="F29" i="47"/>
  <c r="D29" i="47"/>
  <c r="C29" i="47"/>
  <c r="B29" i="47"/>
  <c r="R28" i="47"/>
  <c r="P28" i="47"/>
  <c r="O28" i="47"/>
  <c r="L28" i="47"/>
  <c r="K28" i="47"/>
  <c r="J28" i="47"/>
  <c r="I28" i="47"/>
  <c r="H28" i="47"/>
  <c r="G28" i="47"/>
  <c r="F28" i="47"/>
  <c r="D28" i="47"/>
  <c r="C28" i="47"/>
  <c r="B28" i="47"/>
  <c r="Q24" i="47"/>
  <c r="P24" i="47"/>
  <c r="O24" i="47"/>
  <c r="N24" i="47"/>
  <c r="M24" i="47"/>
  <c r="L24" i="47"/>
  <c r="K24" i="47"/>
  <c r="J24" i="47"/>
  <c r="I24" i="47"/>
  <c r="H24" i="47"/>
  <c r="G24" i="47"/>
  <c r="F24" i="47"/>
  <c r="E24" i="47"/>
  <c r="D24" i="47"/>
  <c r="C24" i="47"/>
  <c r="B24" i="47"/>
  <c r="R68" i="46"/>
  <c r="R67" i="46"/>
  <c r="R66" i="46"/>
  <c r="R65" i="46"/>
  <c r="R64" i="46"/>
  <c r="R63" i="46"/>
  <c r="R62" i="46"/>
  <c r="R61" i="46"/>
  <c r="R60" i="46"/>
  <c r="R59" i="46"/>
  <c r="R58" i="46"/>
  <c r="R57" i="46"/>
  <c r="R56" i="46"/>
  <c r="R55" i="46"/>
  <c r="R54" i="46"/>
  <c r="R53" i="46"/>
  <c r="R52" i="46"/>
  <c r="R51" i="46"/>
  <c r="R50" i="46"/>
  <c r="K50" i="46"/>
  <c r="R49" i="46"/>
  <c r="K49" i="46"/>
  <c r="R48" i="46"/>
  <c r="K48" i="46"/>
  <c r="R47" i="46"/>
  <c r="K47" i="46"/>
  <c r="R46" i="46"/>
  <c r="K46" i="46"/>
  <c r="R45" i="46"/>
  <c r="K45" i="46"/>
  <c r="R44" i="46"/>
  <c r="L44" i="46"/>
  <c r="K44" i="46"/>
  <c r="R43" i="46"/>
  <c r="L43" i="46"/>
  <c r="K43" i="46"/>
  <c r="R42" i="46"/>
  <c r="L42" i="46"/>
  <c r="K42" i="46"/>
  <c r="R41" i="46"/>
  <c r="L41" i="46"/>
  <c r="K41" i="46"/>
  <c r="R40" i="46"/>
  <c r="O40" i="46"/>
  <c r="L40" i="46"/>
  <c r="K40" i="46"/>
  <c r="C40" i="46"/>
  <c r="R39" i="46"/>
  <c r="O39" i="46"/>
  <c r="L39" i="46"/>
  <c r="K39" i="46"/>
  <c r="C39" i="46"/>
  <c r="R38" i="46"/>
  <c r="O38" i="46"/>
  <c r="L38" i="46"/>
  <c r="K38" i="46"/>
  <c r="C38" i="46"/>
  <c r="R37" i="46"/>
  <c r="P37" i="46"/>
  <c r="O37" i="46"/>
  <c r="L37" i="46"/>
  <c r="K37" i="46"/>
  <c r="C37" i="46"/>
  <c r="R36" i="46"/>
  <c r="P36" i="46"/>
  <c r="L36" i="46"/>
  <c r="K36" i="46"/>
  <c r="D36" i="46"/>
  <c r="C36" i="46"/>
  <c r="B36" i="46"/>
  <c r="R35" i="46"/>
  <c r="P35" i="46"/>
  <c r="O35" i="46"/>
  <c r="L35" i="46"/>
  <c r="K35" i="46"/>
  <c r="F35" i="46"/>
  <c r="D35" i="46"/>
  <c r="C35" i="46"/>
  <c r="B35" i="46"/>
  <c r="R34" i="46"/>
  <c r="P34" i="46"/>
  <c r="O34" i="46"/>
  <c r="L34" i="46"/>
  <c r="K34" i="46"/>
  <c r="J34" i="46"/>
  <c r="F34" i="46"/>
  <c r="D34" i="46"/>
  <c r="C34" i="46"/>
  <c r="B34" i="46"/>
  <c r="R33" i="46"/>
  <c r="P33" i="46"/>
  <c r="O33" i="46"/>
  <c r="L33" i="46"/>
  <c r="K33" i="46"/>
  <c r="J33" i="46"/>
  <c r="F33" i="46"/>
  <c r="D33" i="46"/>
  <c r="C33" i="46"/>
  <c r="B33" i="46"/>
  <c r="R32" i="46"/>
  <c r="P32" i="46"/>
  <c r="O32" i="46"/>
  <c r="L32" i="46"/>
  <c r="K32" i="46"/>
  <c r="J32" i="46"/>
  <c r="F32" i="46"/>
  <c r="D32" i="46"/>
  <c r="C32" i="46"/>
  <c r="B32" i="46"/>
  <c r="R31" i="46"/>
  <c r="P31" i="46"/>
  <c r="O31" i="46"/>
  <c r="L31" i="46"/>
  <c r="K31" i="46"/>
  <c r="J31" i="46"/>
  <c r="H31" i="46"/>
  <c r="G31" i="46"/>
  <c r="F31" i="46"/>
  <c r="D31" i="46"/>
  <c r="C31" i="46"/>
  <c r="B31" i="46"/>
  <c r="R30" i="46"/>
  <c r="P30" i="46"/>
  <c r="O30" i="46"/>
  <c r="L30" i="46"/>
  <c r="K30" i="46"/>
  <c r="J30" i="46"/>
  <c r="H30" i="46"/>
  <c r="G30" i="46"/>
  <c r="F30" i="46"/>
  <c r="D30" i="46"/>
  <c r="C30" i="46"/>
  <c r="B30" i="46"/>
  <c r="R29" i="46"/>
  <c r="P29" i="46"/>
  <c r="O29" i="46"/>
  <c r="L29" i="46"/>
  <c r="K29" i="46"/>
  <c r="J29" i="46"/>
  <c r="I29" i="46"/>
  <c r="H29" i="46"/>
  <c r="G29" i="46"/>
  <c r="F29" i="46"/>
  <c r="D29" i="46"/>
  <c r="C29" i="46"/>
  <c r="B29" i="46"/>
  <c r="R28" i="46"/>
  <c r="P28" i="46"/>
  <c r="O28" i="46"/>
  <c r="L28" i="46"/>
  <c r="K28" i="46"/>
  <c r="J28" i="46"/>
  <c r="I28" i="46"/>
  <c r="H28" i="46"/>
  <c r="G28" i="46"/>
  <c r="F28" i="46"/>
  <c r="D28" i="46"/>
  <c r="C28" i="46"/>
  <c r="B28" i="46"/>
  <c r="Q24" i="46"/>
  <c r="P24" i="46"/>
  <c r="O24" i="46"/>
  <c r="N24" i="46"/>
  <c r="M24" i="46"/>
  <c r="L24" i="46"/>
  <c r="K24" i="46"/>
  <c r="J24" i="46"/>
  <c r="I24" i="46"/>
  <c r="H24" i="46"/>
  <c r="G24" i="46"/>
  <c r="F24" i="46"/>
  <c r="E24" i="46"/>
  <c r="D24" i="46"/>
  <c r="C24" i="46"/>
  <c r="B24" i="46"/>
  <c r="R68" i="45"/>
  <c r="R67" i="45"/>
  <c r="R66" i="45"/>
  <c r="R65" i="45"/>
  <c r="R64" i="45"/>
  <c r="R63" i="45"/>
  <c r="R62" i="45"/>
  <c r="R61" i="45"/>
  <c r="R60" i="45"/>
  <c r="R59" i="45"/>
  <c r="R58" i="45"/>
  <c r="R57" i="45"/>
  <c r="R56" i="45"/>
  <c r="R55" i="45"/>
  <c r="R54" i="45"/>
  <c r="R53" i="45"/>
  <c r="R52" i="45"/>
  <c r="R51" i="45"/>
  <c r="R50" i="45"/>
  <c r="K50" i="45"/>
  <c r="R49" i="45"/>
  <c r="K49" i="45"/>
  <c r="R48" i="45"/>
  <c r="K48" i="45"/>
  <c r="R47" i="45"/>
  <c r="K47" i="45"/>
  <c r="R46" i="45"/>
  <c r="K46" i="45"/>
  <c r="R45" i="45"/>
  <c r="K45" i="45"/>
  <c r="R44" i="45"/>
  <c r="L44" i="45"/>
  <c r="K44" i="45"/>
  <c r="R43" i="45"/>
  <c r="L43" i="45"/>
  <c r="K43" i="45"/>
  <c r="R42" i="45"/>
  <c r="L42" i="45"/>
  <c r="K42" i="45"/>
  <c r="R41" i="45"/>
  <c r="L41" i="45"/>
  <c r="K41" i="45"/>
  <c r="R40" i="45"/>
  <c r="O40" i="45"/>
  <c r="L40" i="45"/>
  <c r="K40" i="45"/>
  <c r="C40" i="45"/>
  <c r="R39" i="45"/>
  <c r="O39" i="45"/>
  <c r="L39" i="45"/>
  <c r="K39" i="45"/>
  <c r="C39" i="45"/>
  <c r="R38" i="45"/>
  <c r="O38" i="45"/>
  <c r="L38" i="45"/>
  <c r="K38" i="45"/>
  <c r="C38" i="45"/>
  <c r="R37" i="45"/>
  <c r="P37" i="45"/>
  <c r="O37" i="45"/>
  <c r="L37" i="45"/>
  <c r="K37" i="45"/>
  <c r="C37" i="45"/>
  <c r="R36" i="45"/>
  <c r="P36" i="45"/>
  <c r="L36" i="45"/>
  <c r="K36" i="45"/>
  <c r="D36" i="45"/>
  <c r="C36" i="45"/>
  <c r="B36" i="45"/>
  <c r="R35" i="45"/>
  <c r="P35" i="45"/>
  <c r="O35" i="45"/>
  <c r="L35" i="45"/>
  <c r="K35" i="45"/>
  <c r="F35" i="45"/>
  <c r="D35" i="45"/>
  <c r="C35" i="45"/>
  <c r="B35" i="45"/>
  <c r="R34" i="45"/>
  <c r="P34" i="45"/>
  <c r="O34" i="45"/>
  <c r="L34" i="45"/>
  <c r="K34" i="45"/>
  <c r="J34" i="45"/>
  <c r="F34" i="45"/>
  <c r="D34" i="45"/>
  <c r="C34" i="45"/>
  <c r="B34" i="45"/>
  <c r="R33" i="45"/>
  <c r="P33" i="45"/>
  <c r="O33" i="45"/>
  <c r="L33" i="45"/>
  <c r="K33" i="45"/>
  <c r="J33" i="45"/>
  <c r="F33" i="45"/>
  <c r="D33" i="45"/>
  <c r="C33" i="45"/>
  <c r="B33" i="45"/>
  <c r="R32" i="45"/>
  <c r="P32" i="45"/>
  <c r="O32" i="45"/>
  <c r="L32" i="45"/>
  <c r="K32" i="45"/>
  <c r="J32" i="45"/>
  <c r="F32" i="45"/>
  <c r="D32" i="45"/>
  <c r="C32" i="45"/>
  <c r="B32" i="45"/>
  <c r="R31" i="45"/>
  <c r="P31" i="45"/>
  <c r="O31" i="45"/>
  <c r="L31" i="45"/>
  <c r="K31" i="45"/>
  <c r="J31" i="45"/>
  <c r="H31" i="45"/>
  <c r="G31" i="45"/>
  <c r="F31" i="45"/>
  <c r="D31" i="45"/>
  <c r="C31" i="45"/>
  <c r="B31" i="45"/>
  <c r="R30" i="45"/>
  <c r="P30" i="45"/>
  <c r="O30" i="45"/>
  <c r="L30" i="45"/>
  <c r="K30" i="45"/>
  <c r="J30" i="45"/>
  <c r="H30" i="45"/>
  <c r="G30" i="45"/>
  <c r="F30" i="45"/>
  <c r="D30" i="45"/>
  <c r="C30" i="45"/>
  <c r="B30" i="45"/>
  <c r="R29" i="45"/>
  <c r="P29" i="45"/>
  <c r="O29" i="45"/>
  <c r="L29" i="45"/>
  <c r="K29" i="45"/>
  <c r="J29" i="45"/>
  <c r="I29" i="45"/>
  <c r="H29" i="45"/>
  <c r="G29" i="45"/>
  <c r="F29" i="45"/>
  <c r="D29" i="45"/>
  <c r="C29" i="45"/>
  <c r="B29" i="45"/>
  <c r="R28" i="45"/>
  <c r="P28" i="45"/>
  <c r="O28" i="45"/>
  <c r="L28" i="45"/>
  <c r="K28" i="45"/>
  <c r="J28" i="45"/>
  <c r="I28" i="45"/>
  <c r="H28" i="45"/>
  <c r="G28" i="45"/>
  <c r="F28" i="45"/>
  <c r="D28" i="45"/>
  <c r="C28" i="45"/>
  <c r="B28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C24" i="45"/>
  <c r="B24" i="45"/>
  <c r="R68" i="44"/>
  <c r="R67" i="44"/>
  <c r="R66" i="44"/>
  <c r="R65" i="44"/>
  <c r="R64" i="44"/>
  <c r="R63" i="44"/>
  <c r="R62" i="44"/>
  <c r="R61" i="44"/>
  <c r="R60" i="44"/>
  <c r="R59" i="44"/>
  <c r="R58" i="44"/>
  <c r="R57" i="44"/>
  <c r="R56" i="44"/>
  <c r="R55" i="44"/>
  <c r="R54" i="44"/>
  <c r="R53" i="44"/>
  <c r="R52" i="44"/>
  <c r="R51" i="44"/>
  <c r="R50" i="44"/>
  <c r="K50" i="44"/>
  <c r="R49" i="44"/>
  <c r="K49" i="44"/>
  <c r="R48" i="44"/>
  <c r="K48" i="44"/>
  <c r="R47" i="44"/>
  <c r="K47" i="44"/>
  <c r="R46" i="44"/>
  <c r="K46" i="44"/>
  <c r="R45" i="44"/>
  <c r="K45" i="44"/>
  <c r="R44" i="44"/>
  <c r="L44" i="44"/>
  <c r="K44" i="44"/>
  <c r="R43" i="44"/>
  <c r="L43" i="44"/>
  <c r="K43" i="44"/>
  <c r="R42" i="44"/>
  <c r="L42" i="44"/>
  <c r="K42" i="44"/>
  <c r="R41" i="44"/>
  <c r="L41" i="44"/>
  <c r="K41" i="44"/>
  <c r="R40" i="44"/>
  <c r="O40" i="44"/>
  <c r="L40" i="44"/>
  <c r="K40" i="44"/>
  <c r="C40" i="44"/>
  <c r="R39" i="44"/>
  <c r="O39" i="44"/>
  <c r="L39" i="44"/>
  <c r="K39" i="44"/>
  <c r="C39" i="44"/>
  <c r="R38" i="44"/>
  <c r="O38" i="44"/>
  <c r="L38" i="44"/>
  <c r="K38" i="44"/>
  <c r="C38" i="44"/>
  <c r="R37" i="44"/>
  <c r="P37" i="44"/>
  <c r="O37" i="44"/>
  <c r="L37" i="44"/>
  <c r="K37" i="44"/>
  <c r="C37" i="44"/>
  <c r="R36" i="44"/>
  <c r="P36" i="44"/>
  <c r="L36" i="44"/>
  <c r="K36" i="44"/>
  <c r="D36" i="44"/>
  <c r="C36" i="44"/>
  <c r="B36" i="44"/>
  <c r="R35" i="44"/>
  <c r="P35" i="44"/>
  <c r="O35" i="44"/>
  <c r="L35" i="44"/>
  <c r="K35" i="44"/>
  <c r="F35" i="44"/>
  <c r="D35" i="44"/>
  <c r="C35" i="44"/>
  <c r="B35" i="44"/>
  <c r="R34" i="44"/>
  <c r="P34" i="44"/>
  <c r="O34" i="44"/>
  <c r="L34" i="44"/>
  <c r="K34" i="44"/>
  <c r="J34" i="44"/>
  <c r="F34" i="44"/>
  <c r="D34" i="44"/>
  <c r="C34" i="44"/>
  <c r="B34" i="44"/>
  <c r="R33" i="44"/>
  <c r="P33" i="44"/>
  <c r="O33" i="44"/>
  <c r="L33" i="44"/>
  <c r="K33" i="44"/>
  <c r="J33" i="44"/>
  <c r="F33" i="44"/>
  <c r="D33" i="44"/>
  <c r="C33" i="44"/>
  <c r="B33" i="44"/>
  <c r="R32" i="44"/>
  <c r="P32" i="44"/>
  <c r="O32" i="44"/>
  <c r="L32" i="44"/>
  <c r="K32" i="44"/>
  <c r="J32" i="44"/>
  <c r="F32" i="44"/>
  <c r="D32" i="44"/>
  <c r="C32" i="44"/>
  <c r="B32" i="44"/>
  <c r="R31" i="44"/>
  <c r="P31" i="44"/>
  <c r="O31" i="44"/>
  <c r="L31" i="44"/>
  <c r="K31" i="44"/>
  <c r="J31" i="44"/>
  <c r="H31" i="44"/>
  <c r="G31" i="44"/>
  <c r="F31" i="44"/>
  <c r="D31" i="44"/>
  <c r="C31" i="44"/>
  <c r="B31" i="44"/>
  <c r="R30" i="44"/>
  <c r="P30" i="44"/>
  <c r="O30" i="44"/>
  <c r="L30" i="44"/>
  <c r="K30" i="44"/>
  <c r="J30" i="44"/>
  <c r="H30" i="44"/>
  <c r="G30" i="44"/>
  <c r="F30" i="44"/>
  <c r="D30" i="44"/>
  <c r="C30" i="44"/>
  <c r="B30" i="44"/>
  <c r="R29" i="44"/>
  <c r="P29" i="44"/>
  <c r="O29" i="44"/>
  <c r="L29" i="44"/>
  <c r="K29" i="44"/>
  <c r="J29" i="44"/>
  <c r="I29" i="44"/>
  <c r="H29" i="44"/>
  <c r="G29" i="44"/>
  <c r="F29" i="44"/>
  <c r="D29" i="44"/>
  <c r="C29" i="44"/>
  <c r="B29" i="44"/>
  <c r="R28" i="44"/>
  <c r="P28" i="44"/>
  <c r="O28" i="44"/>
  <c r="L28" i="44"/>
  <c r="K28" i="44"/>
  <c r="J28" i="44"/>
  <c r="I28" i="44"/>
  <c r="H28" i="44"/>
  <c r="G28" i="44"/>
  <c r="F28" i="44"/>
  <c r="D28" i="44"/>
  <c r="C28" i="44"/>
  <c r="B28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C24" i="44"/>
  <c r="B24" i="44"/>
  <c r="R68" i="43"/>
  <c r="R67" i="43"/>
  <c r="R66" i="43"/>
  <c r="R65" i="43"/>
  <c r="R64" i="43"/>
  <c r="R63" i="43"/>
  <c r="R62" i="43"/>
  <c r="R61" i="43"/>
  <c r="R60" i="43"/>
  <c r="R59" i="43"/>
  <c r="R58" i="43"/>
  <c r="R57" i="43"/>
  <c r="R56" i="43"/>
  <c r="R55" i="43"/>
  <c r="R54" i="43"/>
  <c r="R53" i="43"/>
  <c r="R52" i="43"/>
  <c r="R51" i="43"/>
  <c r="R50" i="43"/>
  <c r="K50" i="43"/>
  <c r="R49" i="43"/>
  <c r="K49" i="43"/>
  <c r="R48" i="43"/>
  <c r="K48" i="43"/>
  <c r="R47" i="43"/>
  <c r="K47" i="43"/>
  <c r="R46" i="43"/>
  <c r="K46" i="43"/>
  <c r="R45" i="43"/>
  <c r="K45" i="43"/>
  <c r="R44" i="43"/>
  <c r="L44" i="43"/>
  <c r="K44" i="43"/>
  <c r="R43" i="43"/>
  <c r="L43" i="43"/>
  <c r="K43" i="43"/>
  <c r="R42" i="43"/>
  <c r="L42" i="43"/>
  <c r="K42" i="43"/>
  <c r="R41" i="43"/>
  <c r="L41" i="43"/>
  <c r="K41" i="43"/>
  <c r="R40" i="43"/>
  <c r="O40" i="43"/>
  <c r="L40" i="43"/>
  <c r="K40" i="43"/>
  <c r="C40" i="43"/>
  <c r="R39" i="43"/>
  <c r="O39" i="43"/>
  <c r="L39" i="43"/>
  <c r="K39" i="43"/>
  <c r="C39" i="43"/>
  <c r="R38" i="43"/>
  <c r="O38" i="43"/>
  <c r="L38" i="43"/>
  <c r="K38" i="43"/>
  <c r="C38" i="43"/>
  <c r="R37" i="43"/>
  <c r="P37" i="43"/>
  <c r="O37" i="43"/>
  <c r="L37" i="43"/>
  <c r="K37" i="43"/>
  <c r="C37" i="43"/>
  <c r="R36" i="43"/>
  <c r="P36" i="43"/>
  <c r="L36" i="43"/>
  <c r="K36" i="43"/>
  <c r="D36" i="43"/>
  <c r="C36" i="43"/>
  <c r="B36" i="43"/>
  <c r="R35" i="43"/>
  <c r="P35" i="43"/>
  <c r="O35" i="43"/>
  <c r="L35" i="43"/>
  <c r="K35" i="43"/>
  <c r="F35" i="43"/>
  <c r="D35" i="43"/>
  <c r="C35" i="43"/>
  <c r="B35" i="43"/>
  <c r="R34" i="43"/>
  <c r="P34" i="43"/>
  <c r="O34" i="43"/>
  <c r="L34" i="43"/>
  <c r="K34" i="43"/>
  <c r="J34" i="43"/>
  <c r="F34" i="43"/>
  <c r="D34" i="43"/>
  <c r="C34" i="43"/>
  <c r="B34" i="43"/>
  <c r="R33" i="43"/>
  <c r="P33" i="43"/>
  <c r="O33" i="43"/>
  <c r="L33" i="43"/>
  <c r="K33" i="43"/>
  <c r="J33" i="43"/>
  <c r="F33" i="43"/>
  <c r="D33" i="43"/>
  <c r="C33" i="43"/>
  <c r="B33" i="43"/>
  <c r="R32" i="43"/>
  <c r="P32" i="43"/>
  <c r="O32" i="43"/>
  <c r="L32" i="43"/>
  <c r="K32" i="43"/>
  <c r="J32" i="43"/>
  <c r="F32" i="43"/>
  <c r="D32" i="43"/>
  <c r="C32" i="43"/>
  <c r="B32" i="43"/>
  <c r="R31" i="43"/>
  <c r="P31" i="43"/>
  <c r="O31" i="43"/>
  <c r="L31" i="43"/>
  <c r="K31" i="43"/>
  <c r="J31" i="43"/>
  <c r="H31" i="43"/>
  <c r="G31" i="43"/>
  <c r="F31" i="43"/>
  <c r="D31" i="43"/>
  <c r="C31" i="43"/>
  <c r="B31" i="43"/>
  <c r="R30" i="43"/>
  <c r="P30" i="43"/>
  <c r="O30" i="43"/>
  <c r="L30" i="43"/>
  <c r="K30" i="43"/>
  <c r="J30" i="43"/>
  <c r="H30" i="43"/>
  <c r="G30" i="43"/>
  <c r="F30" i="43"/>
  <c r="D30" i="43"/>
  <c r="C30" i="43"/>
  <c r="B30" i="43"/>
  <c r="R29" i="43"/>
  <c r="P29" i="43"/>
  <c r="O29" i="43"/>
  <c r="L29" i="43"/>
  <c r="K29" i="43"/>
  <c r="J29" i="43"/>
  <c r="I29" i="43"/>
  <c r="H29" i="43"/>
  <c r="G29" i="43"/>
  <c r="F29" i="43"/>
  <c r="D29" i="43"/>
  <c r="C29" i="43"/>
  <c r="B29" i="43"/>
  <c r="R28" i="43"/>
  <c r="P28" i="43"/>
  <c r="O28" i="43"/>
  <c r="L28" i="43"/>
  <c r="K28" i="43"/>
  <c r="J28" i="43"/>
  <c r="I28" i="43"/>
  <c r="H28" i="43"/>
  <c r="G28" i="43"/>
  <c r="F28" i="43"/>
  <c r="D28" i="43"/>
  <c r="C28" i="43"/>
  <c r="B28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C24" i="43"/>
  <c r="B24" i="43"/>
  <c r="R68" i="42"/>
  <c r="R67" i="42"/>
  <c r="R66" i="42"/>
  <c r="R65" i="42"/>
  <c r="R64" i="42"/>
  <c r="R63" i="42"/>
  <c r="R62" i="42"/>
  <c r="R61" i="42"/>
  <c r="R60" i="42"/>
  <c r="R59" i="42"/>
  <c r="R58" i="42"/>
  <c r="R57" i="42"/>
  <c r="R56" i="42"/>
  <c r="R55" i="42"/>
  <c r="R54" i="42"/>
  <c r="R53" i="42"/>
  <c r="R52" i="42"/>
  <c r="R51" i="42"/>
  <c r="R50" i="42"/>
  <c r="K50" i="42"/>
  <c r="R49" i="42"/>
  <c r="K49" i="42"/>
  <c r="R48" i="42"/>
  <c r="K48" i="42"/>
  <c r="R47" i="42"/>
  <c r="K47" i="42"/>
  <c r="R46" i="42"/>
  <c r="K46" i="42"/>
  <c r="R45" i="42"/>
  <c r="K45" i="42"/>
  <c r="R44" i="42"/>
  <c r="L44" i="42"/>
  <c r="K44" i="42"/>
  <c r="R43" i="42"/>
  <c r="L43" i="42"/>
  <c r="K43" i="42"/>
  <c r="R42" i="42"/>
  <c r="L42" i="42"/>
  <c r="K42" i="42"/>
  <c r="R41" i="42"/>
  <c r="L41" i="42"/>
  <c r="K41" i="42"/>
  <c r="R40" i="42"/>
  <c r="O40" i="42"/>
  <c r="L40" i="42"/>
  <c r="K40" i="42"/>
  <c r="C40" i="42"/>
  <c r="R39" i="42"/>
  <c r="O39" i="42"/>
  <c r="L39" i="42"/>
  <c r="K39" i="42"/>
  <c r="C39" i="42"/>
  <c r="R38" i="42"/>
  <c r="O38" i="42"/>
  <c r="L38" i="42"/>
  <c r="K38" i="42"/>
  <c r="C38" i="42"/>
  <c r="R37" i="42"/>
  <c r="P37" i="42"/>
  <c r="O37" i="42"/>
  <c r="L37" i="42"/>
  <c r="K37" i="42"/>
  <c r="C37" i="42"/>
  <c r="R36" i="42"/>
  <c r="P36" i="42"/>
  <c r="L36" i="42"/>
  <c r="K36" i="42"/>
  <c r="D36" i="42"/>
  <c r="C36" i="42"/>
  <c r="B36" i="42"/>
  <c r="R35" i="42"/>
  <c r="P35" i="42"/>
  <c r="O35" i="42"/>
  <c r="L35" i="42"/>
  <c r="K35" i="42"/>
  <c r="F35" i="42"/>
  <c r="D35" i="42"/>
  <c r="C35" i="42"/>
  <c r="B35" i="42"/>
  <c r="R34" i="42"/>
  <c r="P34" i="42"/>
  <c r="O34" i="42"/>
  <c r="L34" i="42"/>
  <c r="K34" i="42"/>
  <c r="J34" i="42"/>
  <c r="F34" i="42"/>
  <c r="D34" i="42"/>
  <c r="C34" i="42"/>
  <c r="B34" i="42"/>
  <c r="R33" i="42"/>
  <c r="P33" i="42"/>
  <c r="O33" i="42"/>
  <c r="L33" i="42"/>
  <c r="K33" i="42"/>
  <c r="J33" i="42"/>
  <c r="F33" i="42"/>
  <c r="D33" i="42"/>
  <c r="C33" i="42"/>
  <c r="B33" i="42"/>
  <c r="R32" i="42"/>
  <c r="P32" i="42"/>
  <c r="O32" i="42"/>
  <c r="L32" i="42"/>
  <c r="K32" i="42"/>
  <c r="J32" i="42"/>
  <c r="F32" i="42"/>
  <c r="D32" i="42"/>
  <c r="C32" i="42"/>
  <c r="B32" i="42"/>
  <c r="R31" i="42"/>
  <c r="P31" i="42"/>
  <c r="O31" i="42"/>
  <c r="L31" i="42"/>
  <c r="K31" i="42"/>
  <c r="J31" i="42"/>
  <c r="H31" i="42"/>
  <c r="G31" i="42"/>
  <c r="F31" i="42"/>
  <c r="D31" i="42"/>
  <c r="C31" i="42"/>
  <c r="B31" i="42"/>
  <c r="R30" i="42"/>
  <c r="P30" i="42"/>
  <c r="O30" i="42"/>
  <c r="L30" i="42"/>
  <c r="K30" i="42"/>
  <c r="J30" i="42"/>
  <c r="H30" i="42"/>
  <c r="G30" i="42"/>
  <c r="F30" i="42"/>
  <c r="D30" i="42"/>
  <c r="C30" i="42"/>
  <c r="B30" i="42"/>
  <c r="R29" i="42"/>
  <c r="P29" i="42"/>
  <c r="O29" i="42"/>
  <c r="L29" i="42"/>
  <c r="K29" i="42"/>
  <c r="J29" i="42"/>
  <c r="I29" i="42"/>
  <c r="H29" i="42"/>
  <c r="G29" i="42"/>
  <c r="F29" i="42"/>
  <c r="D29" i="42"/>
  <c r="C29" i="42"/>
  <c r="B29" i="42"/>
  <c r="R28" i="42"/>
  <c r="P28" i="42"/>
  <c r="O28" i="42"/>
  <c r="L28" i="42"/>
  <c r="K28" i="42"/>
  <c r="J28" i="42"/>
  <c r="I28" i="42"/>
  <c r="H28" i="42"/>
  <c r="G28" i="42"/>
  <c r="F28" i="42"/>
  <c r="D28" i="42"/>
  <c r="C28" i="42"/>
  <c r="B28" i="42"/>
  <c r="Q24" i="42"/>
  <c r="P24" i="42"/>
  <c r="O24" i="42"/>
  <c r="N24" i="42"/>
  <c r="M24" i="42"/>
  <c r="L24" i="42"/>
  <c r="K24" i="42"/>
  <c r="J24" i="42"/>
  <c r="I24" i="42"/>
  <c r="H24" i="42"/>
  <c r="G24" i="42"/>
  <c r="F24" i="42"/>
  <c r="E24" i="42"/>
  <c r="D24" i="42"/>
  <c r="C24" i="42"/>
  <c r="B24" i="42"/>
  <c r="R68" i="41"/>
  <c r="R67" i="41"/>
  <c r="R66" i="41"/>
  <c r="R65" i="41"/>
  <c r="R64" i="41"/>
  <c r="R63" i="41"/>
  <c r="R62" i="41"/>
  <c r="R61" i="41"/>
  <c r="R60" i="41"/>
  <c r="R59" i="41"/>
  <c r="R58" i="41"/>
  <c r="R57" i="41"/>
  <c r="R56" i="41"/>
  <c r="R55" i="41"/>
  <c r="R54" i="41"/>
  <c r="R53" i="41"/>
  <c r="R52" i="41"/>
  <c r="R51" i="41"/>
  <c r="R50" i="41"/>
  <c r="K50" i="41"/>
  <c r="R49" i="41"/>
  <c r="K49" i="41"/>
  <c r="R48" i="41"/>
  <c r="K48" i="41"/>
  <c r="R47" i="41"/>
  <c r="K47" i="41"/>
  <c r="R46" i="41"/>
  <c r="K46" i="41"/>
  <c r="R45" i="41"/>
  <c r="K45" i="41"/>
  <c r="R44" i="41"/>
  <c r="L44" i="41"/>
  <c r="K44" i="41"/>
  <c r="R43" i="41"/>
  <c r="L43" i="41"/>
  <c r="K43" i="41"/>
  <c r="R42" i="41"/>
  <c r="L42" i="41"/>
  <c r="K42" i="41"/>
  <c r="R41" i="41"/>
  <c r="L41" i="41"/>
  <c r="K41" i="41"/>
  <c r="R40" i="41"/>
  <c r="O40" i="41"/>
  <c r="L40" i="41"/>
  <c r="K40" i="41"/>
  <c r="C40" i="41"/>
  <c r="R39" i="41"/>
  <c r="O39" i="41"/>
  <c r="L39" i="41"/>
  <c r="K39" i="41"/>
  <c r="C39" i="41"/>
  <c r="R38" i="41"/>
  <c r="O38" i="41"/>
  <c r="L38" i="41"/>
  <c r="K38" i="41"/>
  <c r="C38" i="41"/>
  <c r="R37" i="41"/>
  <c r="P37" i="41"/>
  <c r="O37" i="41"/>
  <c r="L37" i="41"/>
  <c r="K37" i="41"/>
  <c r="C37" i="41"/>
  <c r="R36" i="41"/>
  <c r="P36" i="41"/>
  <c r="L36" i="41"/>
  <c r="K36" i="41"/>
  <c r="D36" i="41"/>
  <c r="C36" i="41"/>
  <c r="B36" i="41"/>
  <c r="R35" i="41"/>
  <c r="P35" i="41"/>
  <c r="O35" i="41"/>
  <c r="L35" i="41"/>
  <c r="K35" i="41"/>
  <c r="F35" i="41"/>
  <c r="D35" i="41"/>
  <c r="C35" i="41"/>
  <c r="B35" i="41"/>
  <c r="R34" i="41"/>
  <c r="P34" i="41"/>
  <c r="O34" i="41"/>
  <c r="L34" i="41"/>
  <c r="K34" i="41"/>
  <c r="J34" i="41"/>
  <c r="F34" i="41"/>
  <c r="D34" i="41"/>
  <c r="C34" i="41"/>
  <c r="B34" i="41"/>
  <c r="R33" i="41"/>
  <c r="P33" i="41"/>
  <c r="O33" i="41"/>
  <c r="L33" i="41"/>
  <c r="K33" i="41"/>
  <c r="J33" i="41"/>
  <c r="F33" i="41"/>
  <c r="D33" i="41"/>
  <c r="C33" i="41"/>
  <c r="B33" i="41"/>
  <c r="R32" i="41"/>
  <c r="P32" i="41"/>
  <c r="O32" i="41"/>
  <c r="L32" i="41"/>
  <c r="K32" i="41"/>
  <c r="J32" i="41"/>
  <c r="F32" i="41"/>
  <c r="D32" i="41"/>
  <c r="C32" i="41"/>
  <c r="B32" i="41"/>
  <c r="R31" i="41"/>
  <c r="P31" i="41"/>
  <c r="O31" i="41"/>
  <c r="L31" i="41"/>
  <c r="K31" i="41"/>
  <c r="J31" i="41"/>
  <c r="H31" i="41"/>
  <c r="G31" i="41"/>
  <c r="F31" i="41"/>
  <c r="D31" i="41"/>
  <c r="C31" i="41"/>
  <c r="B31" i="41"/>
  <c r="R30" i="41"/>
  <c r="P30" i="41"/>
  <c r="O30" i="41"/>
  <c r="L30" i="41"/>
  <c r="K30" i="41"/>
  <c r="J30" i="41"/>
  <c r="H30" i="41"/>
  <c r="G30" i="41"/>
  <c r="F30" i="41"/>
  <c r="D30" i="41"/>
  <c r="C30" i="41"/>
  <c r="B30" i="41"/>
  <c r="R29" i="41"/>
  <c r="P29" i="41"/>
  <c r="O29" i="41"/>
  <c r="L29" i="41"/>
  <c r="K29" i="41"/>
  <c r="J29" i="41"/>
  <c r="I29" i="41"/>
  <c r="H29" i="41"/>
  <c r="G29" i="41"/>
  <c r="F29" i="41"/>
  <c r="D29" i="41"/>
  <c r="C29" i="41"/>
  <c r="B29" i="41"/>
  <c r="R28" i="41"/>
  <c r="P28" i="41"/>
  <c r="O28" i="41"/>
  <c r="L28" i="41"/>
  <c r="K28" i="41"/>
  <c r="J28" i="41"/>
  <c r="I28" i="41"/>
  <c r="H28" i="41"/>
  <c r="G28" i="41"/>
  <c r="F28" i="41"/>
  <c r="D28" i="41"/>
  <c r="C28" i="41"/>
  <c r="B28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C24" i="41"/>
  <c r="B24" i="41"/>
  <c r="R68" i="40"/>
  <c r="R67" i="40"/>
  <c r="R66" i="40"/>
  <c r="R65" i="40"/>
  <c r="R64" i="40"/>
  <c r="R63" i="40"/>
  <c r="R62" i="40"/>
  <c r="R61" i="40"/>
  <c r="R60" i="40"/>
  <c r="R59" i="40"/>
  <c r="R58" i="40"/>
  <c r="R57" i="40"/>
  <c r="R56" i="40"/>
  <c r="R55" i="40"/>
  <c r="R54" i="40"/>
  <c r="R53" i="40"/>
  <c r="R52" i="40"/>
  <c r="R51" i="40"/>
  <c r="R50" i="40"/>
  <c r="K50" i="40"/>
  <c r="R49" i="40"/>
  <c r="K49" i="40"/>
  <c r="R48" i="40"/>
  <c r="K48" i="40"/>
  <c r="R47" i="40"/>
  <c r="K47" i="40"/>
  <c r="R46" i="40"/>
  <c r="K46" i="40"/>
  <c r="R45" i="40"/>
  <c r="K45" i="40"/>
  <c r="R44" i="40"/>
  <c r="L44" i="40"/>
  <c r="K44" i="40"/>
  <c r="R43" i="40"/>
  <c r="L43" i="40"/>
  <c r="K43" i="40"/>
  <c r="R42" i="40"/>
  <c r="L42" i="40"/>
  <c r="K42" i="40"/>
  <c r="R41" i="40"/>
  <c r="L41" i="40"/>
  <c r="K41" i="40"/>
  <c r="R40" i="40"/>
  <c r="O40" i="40"/>
  <c r="L40" i="40"/>
  <c r="K40" i="40"/>
  <c r="C40" i="40"/>
  <c r="R39" i="40"/>
  <c r="O39" i="40"/>
  <c r="L39" i="40"/>
  <c r="K39" i="40"/>
  <c r="C39" i="40"/>
  <c r="R38" i="40"/>
  <c r="O38" i="40"/>
  <c r="L38" i="40"/>
  <c r="K38" i="40"/>
  <c r="C38" i="40"/>
  <c r="R37" i="40"/>
  <c r="P37" i="40"/>
  <c r="O37" i="40"/>
  <c r="L37" i="40"/>
  <c r="K37" i="40"/>
  <c r="C37" i="40"/>
  <c r="R36" i="40"/>
  <c r="P36" i="40"/>
  <c r="L36" i="40"/>
  <c r="K36" i="40"/>
  <c r="D36" i="40"/>
  <c r="C36" i="40"/>
  <c r="B36" i="40"/>
  <c r="R35" i="40"/>
  <c r="P35" i="40"/>
  <c r="O35" i="40"/>
  <c r="L35" i="40"/>
  <c r="K35" i="40"/>
  <c r="F35" i="40"/>
  <c r="D35" i="40"/>
  <c r="C35" i="40"/>
  <c r="B35" i="40"/>
  <c r="R34" i="40"/>
  <c r="P34" i="40"/>
  <c r="O34" i="40"/>
  <c r="L34" i="40"/>
  <c r="K34" i="40"/>
  <c r="J34" i="40"/>
  <c r="F34" i="40"/>
  <c r="D34" i="40"/>
  <c r="C34" i="40"/>
  <c r="B34" i="40"/>
  <c r="R33" i="40"/>
  <c r="P33" i="40"/>
  <c r="O33" i="40"/>
  <c r="L33" i="40"/>
  <c r="K33" i="40"/>
  <c r="J33" i="40"/>
  <c r="F33" i="40"/>
  <c r="D33" i="40"/>
  <c r="C33" i="40"/>
  <c r="B33" i="40"/>
  <c r="R32" i="40"/>
  <c r="P32" i="40"/>
  <c r="O32" i="40"/>
  <c r="L32" i="40"/>
  <c r="K32" i="40"/>
  <c r="J32" i="40"/>
  <c r="F32" i="40"/>
  <c r="D32" i="40"/>
  <c r="C32" i="40"/>
  <c r="B32" i="40"/>
  <c r="R31" i="40"/>
  <c r="P31" i="40"/>
  <c r="O31" i="40"/>
  <c r="L31" i="40"/>
  <c r="K31" i="40"/>
  <c r="J31" i="40"/>
  <c r="H31" i="40"/>
  <c r="G31" i="40"/>
  <c r="F31" i="40"/>
  <c r="D31" i="40"/>
  <c r="C31" i="40"/>
  <c r="B31" i="40"/>
  <c r="R30" i="40"/>
  <c r="P30" i="40"/>
  <c r="O30" i="40"/>
  <c r="L30" i="40"/>
  <c r="K30" i="40"/>
  <c r="J30" i="40"/>
  <c r="H30" i="40"/>
  <c r="G30" i="40"/>
  <c r="F30" i="40"/>
  <c r="D30" i="40"/>
  <c r="C30" i="40"/>
  <c r="B30" i="40"/>
  <c r="R29" i="40"/>
  <c r="P29" i="40"/>
  <c r="O29" i="40"/>
  <c r="L29" i="40"/>
  <c r="K29" i="40"/>
  <c r="J29" i="40"/>
  <c r="I29" i="40"/>
  <c r="H29" i="40"/>
  <c r="G29" i="40"/>
  <c r="F29" i="40"/>
  <c r="D29" i="40"/>
  <c r="C29" i="40"/>
  <c r="B29" i="40"/>
  <c r="R28" i="40"/>
  <c r="P28" i="40"/>
  <c r="O28" i="40"/>
  <c r="L28" i="40"/>
  <c r="K28" i="40"/>
  <c r="J28" i="40"/>
  <c r="I28" i="40"/>
  <c r="H28" i="40"/>
  <c r="G28" i="40"/>
  <c r="F28" i="40"/>
  <c r="D28" i="40"/>
  <c r="C28" i="40"/>
  <c r="B28" i="40"/>
  <c r="Q24" i="40"/>
  <c r="P24" i="40"/>
  <c r="O24" i="40"/>
  <c r="N24" i="40"/>
  <c r="M24" i="40"/>
  <c r="L24" i="40"/>
  <c r="K24" i="40"/>
  <c r="J24" i="40"/>
  <c r="I24" i="40"/>
  <c r="H24" i="40"/>
  <c r="G24" i="40"/>
  <c r="F24" i="40"/>
  <c r="E24" i="40"/>
  <c r="D24" i="40"/>
  <c r="C24" i="40"/>
  <c r="B24" i="40"/>
  <c r="R68" i="39"/>
  <c r="R67" i="39"/>
  <c r="R66" i="39"/>
  <c r="R65" i="39"/>
  <c r="R64" i="39"/>
  <c r="R63" i="39"/>
  <c r="R62" i="39"/>
  <c r="R61" i="39"/>
  <c r="R60" i="39"/>
  <c r="R59" i="39"/>
  <c r="R58" i="39"/>
  <c r="R57" i="39"/>
  <c r="R56" i="39"/>
  <c r="R55" i="39"/>
  <c r="R54" i="39"/>
  <c r="R53" i="39"/>
  <c r="R52" i="39"/>
  <c r="R51" i="39"/>
  <c r="R50" i="39"/>
  <c r="K50" i="39"/>
  <c r="R49" i="39"/>
  <c r="K49" i="39"/>
  <c r="R48" i="39"/>
  <c r="K48" i="39"/>
  <c r="R47" i="39"/>
  <c r="K47" i="39"/>
  <c r="R46" i="39"/>
  <c r="K46" i="39"/>
  <c r="R45" i="39"/>
  <c r="K45" i="39"/>
  <c r="R44" i="39"/>
  <c r="L44" i="39"/>
  <c r="K44" i="39"/>
  <c r="R43" i="39"/>
  <c r="L43" i="39"/>
  <c r="K43" i="39"/>
  <c r="R42" i="39"/>
  <c r="L42" i="39"/>
  <c r="K42" i="39"/>
  <c r="R41" i="39"/>
  <c r="L41" i="39"/>
  <c r="K41" i="39"/>
  <c r="R40" i="39"/>
  <c r="O40" i="39"/>
  <c r="L40" i="39"/>
  <c r="K40" i="39"/>
  <c r="C40" i="39"/>
  <c r="R39" i="39"/>
  <c r="O39" i="39"/>
  <c r="L39" i="39"/>
  <c r="K39" i="39"/>
  <c r="C39" i="39"/>
  <c r="R38" i="39"/>
  <c r="O38" i="39"/>
  <c r="L38" i="39"/>
  <c r="K38" i="39"/>
  <c r="C38" i="39"/>
  <c r="R37" i="39"/>
  <c r="P37" i="39"/>
  <c r="O37" i="39"/>
  <c r="L37" i="39"/>
  <c r="K37" i="39"/>
  <c r="C37" i="39"/>
  <c r="R36" i="39"/>
  <c r="P36" i="39"/>
  <c r="L36" i="39"/>
  <c r="K36" i="39"/>
  <c r="D36" i="39"/>
  <c r="C36" i="39"/>
  <c r="B36" i="39"/>
  <c r="R35" i="39"/>
  <c r="P35" i="39"/>
  <c r="O35" i="39"/>
  <c r="L35" i="39"/>
  <c r="K35" i="39"/>
  <c r="F35" i="39"/>
  <c r="D35" i="39"/>
  <c r="C35" i="39"/>
  <c r="B35" i="39"/>
  <c r="R34" i="39"/>
  <c r="P34" i="39"/>
  <c r="O34" i="39"/>
  <c r="L34" i="39"/>
  <c r="K34" i="39"/>
  <c r="J34" i="39"/>
  <c r="F34" i="39"/>
  <c r="D34" i="39"/>
  <c r="C34" i="39"/>
  <c r="B34" i="39"/>
  <c r="R33" i="39"/>
  <c r="P33" i="39"/>
  <c r="O33" i="39"/>
  <c r="L33" i="39"/>
  <c r="K33" i="39"/>
  <c r="J33" i="39"/>
  <c r="F33" i="39"/>
  <c r="D33" i="39"/>
  <c r="C33" i="39"/>
  <c r="B33" i="39"/>
  <c r="R32" i="39"/>
  <c r="P32" i="39"/>
  <c r="O32" i="39"/>
  <c r="L32" i="39"/>
  <c r="K32" i="39"/>
  <c r="J32" i="39"/>
  <c r="F32" i="39"/>
  <c r="D32" i="39"/>
  <c r="C32" i="39"/>
  <c r="B32" i="39"/>
  <c r="R31" i="39"/>
  <c r="P31" i="39"/>
  <c r="O31" i="39"/>
  <c r="L31" i="39"/>
  <c r="K31" i="39"/>
  <c r="J31" i="39"/>
  <c r="H31" i="39"/>
  <c r="G31" i="39"/>
  <c r="F31" i="39"/>
  <c r="D31" i="39"/>
  <c r="C31" i="39"/>
  <c r="B31" i="39"/>
  <c r="R30" i="39"/>
  <c r="P30" i="39"/>
  <c r="O30" i="39"/>
  <c r="L30" i="39"/>
  <c r="K30" i="39"/>
  <c r="J30" i="39"/>
  <c r="H30" i="39"/>
  <c r="G30" i="39"/>
  <c r="F30" i="39"/>
  <c r="D30" i="39"/>
  <c r="C30" i="39"/>
  <c r="B30" i="39"/>
  <c r="R29" i="39"/>
  <c r="P29" i="39"/>
  <c r="O29" i="39"/>
  <c r="L29" i="39"/>
  <c r="K29" i="39"/>
  <c r="J29" i="39"/>
  <c r="I29" i="39"/>
  <c r="H29" i="39"/>
  <c r="G29" i="39"/>
  <c r="F29" i="39"/>
  <c r="D29" i="39"/>
  <c r="C29" i="39"/>
  <c r="B29" i="39"/>
  <c r="R28" i="39"/>
  <c r="P28" i="39"/>
  <c r="O28" i="39"/>
  <c r="L28" i="39"/>
  <c r="K28" i="39"/>
  <c r="J28" i="39"/>
  <c r="I28" i="39"/>
  <c r="H28" i="39"/>
  <c r="G28" i="39"/>
  <c r="F28" i="39"/>
  <c r="D28" i="39"/>
  <c r="C28" i="39"/>
  <c r="B28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B24" i="39"/>
  <c r="R68" i="38"/>
  <c r="R67" i="38"/>
  <c r="R66" i="38"/>
  <c r="R65" i="38"/>
  <c r="R64" i="38"/>
  <c r="R63" i="38"/>
  <c r="R62" i="38"/>
  <c r="R61" i="38"/>
  <c r="R60" i="38"/>
  <c r="R59" i="38"/>
  <c r="R58" i="38"/>
  <c r="R57" i="38"/>
  <c r="R56" i="38"/>
  <c r="R55" i="38"/>
  <c r="R54" i="38"/>
  <c r="R53" i="38"/>
  <c r="R52" i="38"/>
  <c r="R51" i="38"/>
  <c r="R50" i="38"/>
  <c r="K50" i="38"/>
  <c r="R49" i="38"/>
  <c r="K49" i="38"/>
  <c r="R48" i="38"/>
  <c r="K48" i="38"/>
  <c r="R47" i="38"/>
  <c r="K47" i="38"/>
  <c r="R46" i="38"/>
  <c r="K46" i="38"/>
  <c r="R45" i="38"/>
  <c r="K45" i="38"/>
  <c r="R44" i="38"/>
  <c r="L44" i="38"/>
  <c r="K44" i="38"/>
  <c r="R43" i="38"/>
  <c r="L43" i="38"/>
  <c r="K43" i="38"/>
  <c r="R42" i="38"/>
  <c r="L42" i="38"/>
  <c r="K42" i="38"/>
  <c r="R41" i="38"/>
  <c r="L41" i="38"/>
  <c r="K41" i="38"/>
  <c r="R40" i="38"/>
  <c r="O40" i="38"/>
  <c r="L40" i="38"/>
  <c r="K40" i="38"/>
  <c r="C40" i="38"/>
  <c r="R39" i="38"/>
  <c r="O39" i="38"/>
  <c r="L39" i="38"/>
  <c r="K39" i="38"/>
  <c r="C39" i="38"/>
  <c r="R38" i="38"/>
  <c r="O38" i="38"/>
  <c r="L38" i="38"/>
  <c r="K38" i="38"/>
  <c r="C38" i="38"/>
  <c r="R37" i="38"/>
  <c r="P37" i="38"/>
  <c r="O37" i="38"/>
  <c r="L37" i="38"/>
  <c r="K37" i="38"/>
  <c r="C37" i="38"/>
  <c r="R36" i="38"/>
  <c r="P36" i="38"/>
  <c r="L36" i="38"/>
  <c r="K36" i="38"/>
  <c r="D36" i="38"/>
  <c r="C36" i="38"/>
  <c r="B36" i="38"/>
  <c r="R35" i="38"/>
  <c r="P35" i="38"/>
  <c r="O35" i="38"/>
  <c r="L35" i="38"/>
  <c r="K35" i="38"/>
  <c r="F35" i="38"/>
  <c r="D35" i="38"/>
  <c r="C35" i="38"/>
  <c r="B35" i="38"/>
  <c r="R34" i="38"/>
  <c r="P34" i="38"/>
  <c r="O34" i="38"/>
  <c r="L34" i="38"/>
  <c r="K34" i="38"/>
  <c r="J34" i="38"/>
  <c r="F34" i="38"/>
  <c r="D34" i="38"/>
  <c r="C34" i="38"/>
  <c r="B34" i="38"/>
  <c r="R33" i="38"/>
  <c r="P33" i="38"/>
  <c r="O33" i="38"/>
  <c r="L33" i="38"/>
  <c r="K33" i="38"/>
  <c r="J33" i="38"/>
  <c r="F33" i="38"/>
  <c r="D33" i="38"/>
  <c r="C33" i="38"/>
  <c r="B33" i="38"/>
  <c r="R32" i="38"/>
  <c r="P32" i="38"/>
  <c r="O32" i="38"/>
  <c r="L32" i="38"/>
  <c r="K32" i="38"/>
  <c r="J32" i="38"/>
  <c r="F32" i="38"/>
  <c r="D32" i="38"/>
  <c r="C32" i="38"/>
  <c r="B32" i="38"/>
  <c r="R31" i="38"/>
  <c r="P31" i="38"/>
  <c r="O31" i="38"/>
  <c r="L31" i="38"/>
  <c r="K31" i="38"/>
  <c r="J31" i="38"/>
  <c r="H31" i="38"/>
  <c r="G31" i="38"/>
  <c r="F31" i="38"/>
  <c r="D31" i="38"/>
  <c r="C31" i="38"/>
  <c r="B31" i="38"/>
  <c r="R30" i="38"/>
  <c r="P30" i="38"/>
  <c r="O30" i="38"/>
  <c r="L30" i="38"/>
  <c r="K30" i="38"/>
  <c r="J30" i="38"/>
  <c r="H30" i="38"/>
  <c r="G30" i="38"/>
  <c r="F30" i="38"/>
  <c r="D30" i="38"/>
  <c r="C30" i="38"/>
  <c r="B30" i="38"/>
  <c r="R29" i="38"/>
  <c r="P29" i="38"/>
  <c r="O29" i="38"/>
  <c r="L29" i="38"/>
  <c r="K29" i="38"/>
  <c r="J29" i="38"/>
  <c r="I29" i="38"/>
  <c r="H29" i="38"/>
  <c r="G29" i="38"/>
  <c r="F29" i="38"/>
  <c r="D29" i="38"/>
  <c r="C29" i="38"/>
  <c r="B29" i="38"/>
  <c r="R28" i="38"/>
  <c r="P28" i="38"/>
  <c r="O28" i="38"/>
  <c r="L28" i="38"/>
  <c r="K28" i="38"/>
  <c r="J28" i="38"/>
  <c r="I28" i="38"/>
  <c r="H28" i="38"/>
  <c r="G28" i="38"/>
  <c r="F28" i="38"/>
  <c r="D28" i="38"/>
  <c r="C28" i="38"/>
  <c r="B28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C24" i="38"/>
  <c r="B24" i="38"/>
  <c r="R68" i="37"/>
  <c r="R67" i="37"/>
  <c r="R66" i="37"/>
  <c r="R65" i="37"/>
  <c r="R64" i="37"/>
  <c r="R63" i="37"/>
  <c r="R62" i="37"/>
  <c r="R61" i="37"/>
  <c r="R60" i="37"/>
  <c r="R59" i="37"/>
  <c r="R58" i="37"/>
  <c r="R57" i="37"/>
  <c r="R56" i="37"/>
  <c r="R55" i="37"/>
  <c r="R54" i="37"/>
  <c r="R53" i="37"/>
  <c r="R52" i="37"/>
  <c r="R51" i="37"/>
  <c r="R50" i="37"/>
  <c r="K50" i="37"/>
  <c r="R49" i="37"/>
  <c r="K49" i="37"/>
  <c r="R48" i="37"/>
  <c r="K48" i="37"/>
  <c r="R47" i="37"/>
  <c r="K47" i="37"/>
  <c r="R46" i="37"/>
  <c r="K46" i="37"/>
  <c r="R45" i="37"/>
  <c r="K45" i="37"/>
  <c r="R44" i="37"/>
  <c r="L44" i="37"/>
  <c r="K44" i="37"/>
  <c r="R43" i="37"/>
  <c r="L43" i="37"/>
  <c r="K43" i="37"/>
  <c r="R42" i="37"/>
  <c r="L42" i="37"/>
  <c r="K42" i="37"/>
  <c r="R41" i="37"/>
  <c r="L41" i="37"/>
  <c r="K41" i="37"/>
  <c r="R40" i="37"/>
  <c r="O40" i="37"/>
  <c r="L40" i="37"/>
  <c r="K40" i="37"/>
  <c r="C40" i="37"/>
  <c r="R39" i="37"/>
  <c r="O39" i="37"/>
  <c r="L39" i="37"/>
  <c r="K39" i="37"/>
  <c r="C39" i="37"/>
  <c r="R38" i="37"/>
  <c r="O38" i="37"/>
  <c r="L38" i="37"/>
  <c r="K38" i="37"/>
  <c r="C38" i="37"/>
  <c r="R37" i="37"/>
  <c r="P37" i="37"/>
  <c r="O37" i="37"/>
  <c r="L37" i="37"/>
  <c r="K37" i="37"/>
  <c r="C37" i="37"/>
  <c r="R36" i="37"/>
  <c r="P36" i="37"/>
  <c r="L36" i="37"/>
  <c r="K36" i="37"/>
  <c r="D36" i="37"/>
  <c r="C36" i="37"/>
  <c r="B36" i="37"/>
  <c r="R35" i="37"/>
  <c r="P35" i="37"/>
  <c r="O35" i="37"/>
  <c r="L35" i="37"/>
  <c r="K35" i="37"/>
  <c r="F35" i="37"/>
  <c r="D35" i="37"/>
  <c r="C35" i="37"/>
  <c r="B35" i="37"/>
  <c r="R34" i="37"/>
  <c r="P34" i="37"/>
  <c r="O34" i="37"/>
  <c r="L34" i="37"/>
  <c r="K34" i="37"/>
  <c r="J34" i="37"/>
  <c r="F34" i="37"/>
  <c r="D34" i="37"/>
  <c r="C34" i="37"/>
  <c r="B34" i="37"/>
  <c r="R33" i="37"/>
  <c r="P33" i="37"/>
  <c r="O33" i="37"/>
  <c r="L33" i="37"/>
  <c r="K33" i="37"/>
  <c r="J33" i="37"/>
  <c r="F33" i="37"/>
  <c r="D33" i="37"/>
  <c r="C33" i="37"/>
  <c r="B33" i="37"/>
  <c r="R32" i="37"/>
  <c r="P32" i="37"/>
  <c r="O32" i="37"/>
  <c r="L32" i="37"/>
  <c r="K32" i="37"/>
  <c r="J32" i="37"/>
  <c r="F32" i="37"/>
  <c r="D32" i="37"/>
  <c r="C32" i="37"/>
  <c r="B32" i="37"/>
  <c r="R31" i="37"/>
  <c r="P31" i="37"/>
  <c r="O31" i="37"/>
  <c r="L31" i="37"/>
  <c r="K31" i="37"/>
  <c r="J31" i="37"/>
  <c r="H31" i="37"/>
  <c r="G31" i="37"/>
  <c r="F31" i="37"/>
  <c r="D31" i="37"/>
  <c r="C31" i="37"/>
  <c r="B31" i="37"/>
  <c r="R30" i="37"/>
  <c r="P30" i="37"/>
  <c r="O30" i="37"/>
  <c r="L30" i="37"/>
  <c r="K30" i="37"/>
  <c r="J30" i="37"/>
  <c r="H30" i="37"/>
  <c r="G30" i="37"/>
  <c r="F30" i="37"/>
  <c r="D30" i="37"/>
  <c r="C30" i="37"/>
  <c r="B30" i="37"/>
  <c r="R29" i="37"/>
  <c r="P29" i="37"/>
  <c r="O29" i="37"/>
  <c r="L29" i="37"/>
  <c r="K29" i="37"/>
  <c r="J29" i="37"/>
  <c r="I29" i="37"/>
  <c r="H29" i="37"/>
  <c r="G29" i="37"/>
  <c r="F29" i="37"/>
  <c r="D29" i="37"/>
  <c r="C29" i="37"/>
  <c r="B29" i="37"/>
  <c r="R28" i="37"/>
  <c r="P28" i="37"/>
  <c r="O28" i="37"/>
  <c r="L28" i="37"/>
  <c r="K28" i="37"/>
  <c r="J28" i="37"/>
  <c r="I28" i="37"/>
  <c r="H28" i="37"/>
  <c r="G28" i="37"/>
  <c r="F28" i="37"/>
  <c r="D28" i="37"/>
  <c r="C28" i="37"/>
  <c r="B28" i="37"/>
  <c r="Q24" i="37"/>
  <c r="P24" i="37"/>
  <c r="O24" i="37"/>
  <c r="N24" i="37"/>
  <c r="M24" i="37"/>
  <c r="L24" i="37"/>
  <c r="K24" i="37"/>
  <c r="J24" i="37"/>
  <c r="I24" i="37"/>
  <c r="H24" i="37"/>
  <c r="G24" i="37"/>
  <c r="F24" i="37"/>
  <c r="E24" i="37"/>
  <c r="D24" i="37"/>
  <c r="C24" i="37"/>
  <c r="B24" i="37"/>
  <c r="R68" i="36"/>
  <c r="R67" i="36"/>
  <c r="R66" i="36"/>
  <c r="R65" i="36"/>
  <c r="R64" i="36"/>
  <c r="R63" i="36"/>
  <c r="R62" i="36"/>
  <c r="R61" i="36"/>
  <c r="R60" i="36"/>
  <c r="R59" i="36"/>
  <c r="R58" i="36"/>
  <c r="R57" i="36"/>
  <c r="R56" i="36"/>
  <c r="R55" i="36"/>
  <c r="R54" i="36"/>
  <c r="R53" i="36"/>
  <c r="R52" i="36"/>
  <c r="R51" i="36"/>
  <c r="R50" i="36"/>
  <c r="K50" i="36"/>
  <c r="R49" i="36"/>
  <c r="K49" i="36"/>
  <c r="R48" i="36"/>
  <c r="K48" i="36"/>
  <c r="R47" i="36"/>
  <c r="K47" i="36"/>
  <c r="R46" i="36"/>
  <c r="K46" i="36"/>
  <c r="R45" i="36"/>
  <c r="K45" i="36"/>
  <c r="R44" i="36"/>
  <c r="L44" i="36"/>
  <c r="K44" i="36"/>
  <c r="R43" i="36"/>
  <c r="L43" i="36"/>
  <c r="K43" i="36"/>
  <c r="R42" i="36"/>
  <c r="L42" i="36"/>
  <c r="K42" i="36"/>
  <c r="R41" i="36"/>
  <c r="L41" i="36"/>
  <c r="K41" i="36"/>
  <c r="R40" i="36"/>
  <c r="O40" i="36"/>
  <c r="L40" i="36"/>
  <c r="K40" i="36"/>
  <c r="C40" i="36"/>
  <c r="R39" i="36"/>
  <c r="O39" i="36"/>
  <c r="L39" i="36"/>
  <c r="K39" i="36"/>
  <c r="C39" i="36"/>
  <c r="R38" i="36"/>
  <c r="O38" i="36"/>
  <c r="L38" i="36"/>
  <c r="K38" i="36"/>
  <c r="C38" i="36"/>
  <c r="R37" i="36"/>
  <c r="P37" i="36"/>
  <c r="O37" i="36"/>
  <c r="L37" i="36"/>
  <c r="K37" i="36"/>
  <c r="C37" i="36"/>
  <c r="R36" i="36"/>
  <c r="P36" i="36"/>
  <c r="L36" i="36"/>
  <c r="K36" i="36"/>
  <c r="D36" i="36"/>
  <c r="C36" i="36"/>
  <c r="B36" i="36"/>
  <c r="R35" i="36"/>
  <c r="P35" i="36"/>
  <c r="O35" i="36"/>
  <c r="L35" i="36"/>
  <c r="K35" i="36"/>
  <c r="F35" i="36"/>
  <c r="D35" i="36"/>
  <c r="C35" i="36"/>
  <c r="B35" i="36"/>
  <c r="R34" i="36"/>
  <c r="P34" i="36"/>
  <c r="O34" i="36"/>
  <c r="L34" i="36"/>
  <c r="K34" i="36"/>
  <c r="J34" i="36"/>
  <c r="F34" i="36"/>
  <c r="D34" i="36"/>
  <c r="C34" i="36"/>
  <c r="B34" i="36"/>
  <c r="R33" i="36"/>
  <c r="P33" i="36"/>
  <c r="O33" i="36"/>
  <c r="L33" i="36"/>
  <c r="K33" i="36"/>
  <c r="J33" i="36"/>
  <c r="F33" i="36"/>
  <c r="D33" i="36"/>
  <c r="C33" i="36"/>
  <c r="B33" i="36"/>
  <c r="R32" i="36"/>
  <c r="P32" i="36"/>
  <c r="O32" i="36"/>
  <c r="L32" i="36"/>
  <c r="K32" i="36"/>
  <c r="J32" i="36"/>
  <c r="F32" i="36"/>
  <c r="D32" i="36"/>
  <c r="C32" i="36"/>
  <c r="B32" i="36"/>
  <c r="R31" i="36"/>
  <c r="P31" i="36"/>
  <c r="O31" i="36"/>
  <c r="L31" i="36"/>
  <c r="K31" i="36"/>
  <c r="J31" i="36"/>
  <c r="H31" i="36"/>
  <c r="G31" i="36"/>
  <c r="F31" i="36"/>
  <c r="D31" i="36"/>
  <c r="C31" i="36"/>
  <c r="B31" i="36"/>
  <c r="R30" i="36"/>
  <c r="P30" i="36"/>
  <c r="O30" i="36"/>
  <c r="L30" i="36"/>
  <c r="K30" i="36"/>
  <c r="J30" i="36"/>
  <c r="H30" i="36"/>
  <c r="G30" i="36"/>
  <c r="F30" i="36"/>
  <c r="D30" i="36"/>
  <c r="C30" i="36"/>
  <c r="B30" i="36"/>
  <c r="R29" i="36"/>
  <c r="P29" i="36"/>
  <c r="O29" i="36"/>
  <c r="L29" i="36"/>
  <c r="K29" i="36"/>
  <c r="J29" i="36"/>
  <c r="I29" i="36"/>
  <c r="H29" i="36"/>
  <c r="G29" i="36"/>
  <c r="F29" i="36"/>
  <c r="D29" i="36"/>
  <c r="C29" i="36"/>
  <c r="B29" i="36"/>
  <c r="R28" i="36"/>
  <c r="P28" i="36"/>
  <c r="O28" i="36"/>
  <c r="L28" i="36"/>
  <c r="K28" i="36"/>
  <c r="J28" i="36"/>
  <c r="I28" i="36"/>
  <c r="H28" i="36"/>
  <c r="G28" i="36"/>
  <c r="F28" i="36"/>
  <c r="D28" i="36"/>
  <c r="C28" i="36"/>
  <c r="B28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B24" i="36"/>
  <c r="R68" i="35"/>
  <c r="R67" i="35"/>
  <c r="R66" i="35"/>
  <c r="R65" i="35"/>
  <c r="R64" i="35"/>
  <c r="R63" i="35"/>
  <c r="R62" i="35"/>
  <c r="R61" i="35"/>
  <c r="R60" i="35"/>
  <c r="R59" i="35"/>
  <c r="R58" i="35"/>
  <c r="R57" i="35"/>
  <c r="R56" i="35"/>
  <c r="R55" i="35"/>
  <c r="R54" i="35"/>
  <c r="R53" i="35"/>
  <c r="R52" i="35"/>
  <c r="R51" i="35"/>
  <c r="R50" i="35"/>
  <c r="K50" i="35"/>
  <c r="R49" i="35"/>
  <c r="K49" i="35"/>
  <c r="R48" i="35"/>
  <c r="K48" i="35"/>
  <c r="R47" i="35"/>
  <c r="K47" i="35"/>
  <c r="R46" i="35"/>
  <c r="K46" i="35"/>
  <c r="R45" i="35"/>
  <c r="K45" i="35"/>
  <c r="R44" i="35"/>
  <c r="L44" i="35"/>
  <c r="K44" i="35"/>
  <c r="R43" i="35"/>
  <c r="L43" i="35"/>
  <c r="K43" i="35"/>
  <c r="R42" i="35"/>
  <c r="L42" i="35"/>
  <c r="K42" i="35"/>
  <c r="R41" i="35"/>
  <c r="L41" i="35"/>
  <c r="K41" i="35"/>
  <c r="R40" i="35"/>
  <c r="O40" i="35"/>
  <c r="L40" i="35"/>
  <c r="K40" i="35"/>
  <c r="C40" i="35"/>
  <c r="R39" i="35"/>
  <c r="O39" i="35"/>
  <c r="L39" i="35"/>
  <c r="K39" i="35"/>
  <c r="C39" i="35"/>
  <c r="R38" i="35"/>
  <c r="O38" i="35"/>
  <c r="L38" i="35"/>
  <c r="K38" i="35"/>
  <c r="C38" i="35"/>
  <c r="R37" i="35"/>
  <c r="P37" i="35"/>
  <c r="O37" i="35"/>
  <c r="L37" i="35"/>
  <c r="K37" i="35"/>
  <c r="C37" i="35"/>
  <c r="R36" i="35"/>
  <c r="P36" i="35"/>
  <c r="L36" i="35"/>
  <c r="K36" i="35"/>
  <c r="D36" i="35"/>
  <c r="C36" i="35"/>
  <c r="B36" i="35"/>
  <c r="R35" i="35"/>
  <c r="P35" i="35"/>
  <c r="O35" i="35"/>
  <c r="L35" i="35"/>
  <c r="K35" i="35"/>
  <c r="F35" i="35"/>
  <c r="D35" i="35"/>
  <c r="C35" i="35"/>
  <c r="B35" i="35"/>
  <c r="R34" i="35"/>
  <c r="P34" i="35"/>
  <c r="O34" i="35"/>
  <c r="L34" i="35"/>
  <c r="K34" i="35"/>
  <c r="J34" i="35"/>
  <c r="F34" i="35"/>
  <c r="D34" i="35"/>
  <c r="C34" i="35"/>
  <c r="B34" i="35"/>
  <c r="R33" i="35"/>
  <c r="P33" i="35"/>
  <c r="O33" i="35"/>
  <c r="L33" i="35"/>
  <c r="K33" i="35"/>
  <c r="J33" i="35"/>
  <c r="F33" i="35"/>
  <c r="D33" i="35"/>
  <c r="C33" i="35"/>
  <c r="B33" i="35"/>
  <c r="R32" i="35"/>
  <c r="P32" i="35"/>
  <c r="O32" i="35"/>
  <c r="L32" i="35"/>
  <c r="K32" i="35"/>
  <c r="J32" i="35"/>
  <c r="F32" i="35"/>
  <c r="D32" i="35"/>
  <c r="C32" i="35"/>
  <c r="B32" i="35"/>
  <c r="R31" i="35"/>
  <c r="P31" i="35"/>
  <c r="O31" i="35"/>
  <c r="L31" i="35"/>
  <c r="K31" i="35"/>
  <c r="J31" i="35"/>
  <c r="H31" i="35"/>
  <c r="G31" i="35"/>
  <c r="F31" i="35"/>
  <c r="D31" i="35"/>
  <c r="C31" i="35"/>
  <c r="B31" i="35"/>
  <c r="R30" i="35"/>
  <c r="P30" i="35"/>
  <c r="O30" i="35"/>
  <c r="L30" i="35"/>
  <c r="K30" i="35"/>
  <c r="J30" i="35"/>
  <c r="H30" i="35"/>
  <c r="G30" i="35"/>
  <c r="F30" i="35"/>
  <c r="D30" i="35"/>
  <c r="C30" i="35"/>
  <c r="B30" i="35"/>
  <c r="R29" i="35"/>
  <c r="P29" i="35"/>
  <c r="O29" i="35"/>
  <c r="L29" i="35"/>
  <c r="K29" i="35"/>
  <c r="J29" i="35"/>
  <c r="I29" i="35"/>
  <c r="H29" i="35"/>
  <c r="G29" i="35"/>
  <c r="F29" i="35"/>
  <c r="D29" i="35"/>
  <c r="C29" i="35"/>
  <c r="B29" i="35"/>
  <c r="R28" i="35"/>
  <c r="P28" i="35"/>
  <c r="O28" i="35"/>
  <c r="L28" i="35"/>
  <c r="K28" i="35"/>
  <c r="J28" i="35"/>
  <c r="I28" i="35"/>
  <c r="H28" i="35"/>
  <c r="G28" i="35"/>
  <c r="F28" i="35"/>
  <c r="D28" i="35"/>
  <c r="C28" i="35"/>
  <c r="B28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C24" i="35"/>
  <c r="B24" i="35"/>
  <c r="R68" i="34"/>
  <c r="R67" i="34"/>
  <c r="R66" i="34"/>
  <c r="R65" i="34"/>
  <c r="R64" i="34"/>
  <c r="R63" i="34"/>
  <c r="R62" i="34"/>
  <c r="R61" i="34"/>
  <c r="R60" i="34"/>
  <c r="R59" i="34"/>
  <c r="R58" i="34"/>
  <c r="R57" i="34"/>
  <c r="R56" i="34"/>
  <c r="R55" i="34"/>
  <c r="R54" i="34"/>
  <c r="R53" i="34"/>
  <c r="R52" i="34"/>
  <c r="R51" i="34"/>
  <c r="R50" i="34"/>
  <c r="K50" i="34"/>
  <c r="R49" i="34"/>
  <c r="K49" i="34"/>
  <c r="R48" i="34"/>
  <c r="K48" i="34"/>
  <c r="R47" i="34"/>
  <c r="K47" i="34"/>
  <c r="R46" i="34"/>
  <c r="K46" i="34"/>
  <c r="R45" i="34"/>
  <c r="K45" i="34"/>
  <c r="R44" i="34"/>
  <c r="L44" i="34"/>
  <c r="K44" i="34"/>
  <c r="R43" i="34"/>
  <c r="L43" i="34"/>
  <c r="K43" i="34"/>
  <c r="R42" i="34"/>
  <c r="L42" i="34"/>
  <c r="K42" i="34"/>
  <c r="R41" i="34"/>
  <c r="L41" i="34"/>
  <c r="K41" i="34"/>
  <c r="R40" i="34"/>
  <c r="O40" i="34"/>
  <c r="L40" i="34"/>
  <c r="K40" i="34"/>
  <c r="C40" i="34"/>
  <c r="R39" i="34"/>
  <c r="O39" i="34"/>
  <c r="L39" i="34"/>
  <c r="K39" i="34"/>
  <c r="C39" i="34"/>
  <c r="R38" i="34"/>
  <c r="O38" i="34"/>
  <c r="L38" i="34"/>
  <c r="K38" i="34"/>
  <c r="C38" i="34"/>
  <c r="R37" i="34"/>
  <c r="P37" i="34"/>
  <c r="O37" i="34"/>
  <c r="L37" i="34"/>
  <c r="K37" i="34"/>
  <c r="C37" i="34"/>
  <c r="R36" i="34"/>
  <c r="P36" i="34"/>
  <c r="L36" i="34"/>
  <c r="K36" i="34"/>
  <c r="D36" i="34"/>
  <c r="C36" i="34"/>
  <c r="B36" i="34"/>
  <c r="R35" i="34"/>
  <c r="P35" i="34"/>
  <c r="O35" i="34"/>
  <c r="L35" i="34"/>
  <c r="K35" i="34"/>
  <c r="F35" i="34"/>
  <c r="D35" i="34"/>
  <c r="C35" i="34"/>
  <c r="B35" i="34"/>
  <c r="R34" i="34"/>
  <c r="P34" i="34"/>
  <c r="O34" i="34"/>
  <c r="L34" i="34"/>
  <c r="K34" i="34"/>
  <c r="J34" i="34"/>
  <c r="F34" i="34"/>
  <c r="D34" i="34"/>
  <c r="C34" i="34"/>
  <c r="B34" i="34"/>
  <c r="R33" i="34"/>
  <c r="P33" i="34"/>
  <c r="O33" i="34"/>
  <c r="L33" i="34"/>
  <c r="K33" i="34"/>
  <c r="J33" i="34"/>
  <c r="F33" i="34"/>
  <c r="D33" i="34"/>
  <c r="C33" i="34"/>
  <c r="B33" i="34"/>
  <c r="R32" i="34"/>
  <c r="P32" i="34"/>
  <c r="O32" i="34"/>
  <c r="L32" i="34"/>
  <c r="K32" i="34"/>
  <c r="J32" i="34"/>
  <c r="F32" i="34"/>
  <c r="D32" i="34"/>
  <c r="C32" i="34"/>
  <c r="B32" i="34"/>
  <c r="R31" i="34"/>
  <c r="P31" i="34"/>
  <c r="O31" i="34"/>
  <c r="L31" i="34"/>
  <c r="K31" i="34"/>
  <c r="J31" i="34"/>
  <c r="H31" i="34"/>
  <c r="G31" i="34"/>
  <c r="F31" i="34"/>
  <c r="D31" i="34"/>
  <c r="C31" i="34"/>
  <c r="B31" i="34"/>
  <c r="R30" i="34"/>
  <c r="P30" i="34"/>
  <c r="O30" i="34"/>
  <c r="L30" i="34"/>
  <c r="K30" i="34"/>
  <c r="J30" i="34"/>
  <c r="H30" i="34"/>
  <c r="G30" i="34"/>
  <c r="F30" i="34"/>
  <c r="D30" i="34"/>
  <c r="C30" i="34"/>
  <c r="B30" i="34"/>
  <c r="R29" i="34"/>
  <c r="P29" i="34"/>
  <c r="O29" i="34"/>
  <c r="L29" i="34"/>
  <c r="K29" i="34"/>
  <c r="J29" i="34"/>
  <c r="I29" i="34"/>
  <c r="H29" i="34"/>
  <c r="G29" i="34"/>
  <c r="F29" i="34"/>
  <c r="D29" i="34"/>
  <c r="C29" i="34"/>
  <c r="B29" i="34"/>
  <c r="R28" i="34"/>
  <c r="P28" i="34"/>
  <c r="O28" i="34"/>
  <c r="L28" i="34"/>
  <c r="K28" i="34"/>
  <c r="J28" i="34"/>
  <c r="I28" i="34"/>
  <c r="H28" i="34"/>
  <c r="G28" i="34"/>
  <c r="F28" i="34"/>
  <c r="D28" i="34"/>
  <c r="C28" i="34"/>
  <c r="B28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C24" i="34"/>
  <c r="B24" i="34"/>
  <c r="R68" i="33"/>
  <c r="R67" i="33"/>
  <c r="R66" i="33"/>
  <c r="R65" i="33"/>
  <c r="R64" i="33"/>
  <c r="R63" i="33"/>
  <c r="R62" i="33"/>
  <c r="R61" i="33"/>
  <c r="R60" i="33"/>
  <c r="R59" i="33"/>
  <c r="R58" i="33"/>
  <c r="R57" i="33"/>
  <c r="R56" i="33"/>
  <c r="R55" i="33"/>
  <c r="R54" i="33"/>
  <c r="R53" i="33"/>
  <c r="R52" i="33"/>
  <c r="R51" i="33"/>
  <c r="R50" i="33"/>
  <c r="K50" i="33"/>
  <c r="R49" i="33"/>
  <c r="K49" i="33"/>
  <c r="R48" i="33"/>
  <c r="K48" i="33"/>
  <c r="R47" i="33"/>
  <c r="K47" i="33"/>
  <c r="R46" i="33"/>
  <c r="K46" i="33"/>
  <c r="R45" i="33"/>
  <c r="K45" i="33"/>
  <c r="R44" i="33"/>
  <c r="L44" i="33"/>
  <c r="K44" i="33"/>
  <c r="R43" i="33"/>
  <c r="L43" i="33"/>
  <c r="K43" i="33"/>
  <c r="R42" i="33"/>
  <c r="L42" i="33"/>
  <c r="K42" i="33"/>
  <c r="R41" i="33"/>
  <c r="L41" i="33"/>
  <c r="K41" i="33"/>
  <c r="R40" i="33"/>
  <c r="O40" i="33"/>
  <c r="L40" i="33"/>
  <c r="K40" i="33"/>
  <c r="C40" i="33"/>
  <c r="R39" i="33"/>
  <c r="O39" i="33"/>
  <c r="L39" i="33"/>
  <c r="K39" i="33"/>
  <c r="C39" i="33"/>
  <c r="R38" i="33"/>
  <c r="O38" i="33"/>
  <c r="L38" i="33"/>
  <c r="K38" i="33"/>
  <c r="C38" i="33"/>
  <c r="R37" i="33"/>
  <c r="P37" i="33"/>
  <c r="O37" i="33"/>
  <c r="L37" i="33"/>
  <c r="K37" i="33"/>
  <c r="C37" i="33"/>
  <c r="R36" i="33"/>
  <c r="P36" i="33"/>
  <c r="L36" i="33"/>
  <c r="K36" i="33"/>
  <c r="D36" i="33"/>
  <c r="C36" i="33"/>
  <c r="B36" i="33"/>
  <c r="R35" i="33"/>
  <c r="P35" i="33"/>
  <c r="O35" i="33"/>
  <c r="L35" i="33"/>
  <c r="K35" i="33"/>
  <c r="F35" i="33"/>
  <c r="D35" i="33"/>
  <c r="C35" i="33"/>
  <c r="B35" i="33"/>
  <c r="R34" i="33"/>
  <c r="P34" i="33"/>
  <c r="O34" i="33"/>
  <c r="L34" i="33"/>
  <c r="K34" i="33"/>
  <c r="J34" i="33"/>
  <c r="F34" i="33"/>
  <c r="D34" i="33"/>
  <c r="C34" i="33"/>
  <c r="B34" i="33"/>
  <c r="R33" i="33"/>
  <c r="P33" i="33"/>
  <c r="O33" i="33"/>
  <c r="L33" i="33"/>
  <c r="K33" i="33"/>
  <c r="J33" i="33"/>
  <c r="F33" i="33"/>
  <c r="D33" i="33"/>
  <c r="C33" i="33"/>
  <c r="B33" i="33"/>
  <c r="R32" i="33"/>
  <c r="P32" i="33"/>
  <c r="O32" i="33"/>
  <c r="L32" i="33"/>
  <c r="K32" i="33"/>
  <c r="J32" i="33"/>
  <c r="F32" i="33"/>
  <c r="D32" i="33"/>
  <c r="C32" i="33"/>
  <c r="B32" i="33"/>
  <c r="R31" i="33"/>
  <c r="P31" i="33"/>
  <c r="O31" i="33"/>
  <c r="L31" i="33"/>
  <c r="K31" i="33"/>
  <c r="J31" i="33"/>
  <c r="H31" i="33"/>
  <c r="G31" i="33"/>
  <c r="F31" i="33"/>
  <c r="D31" i="33"/>
  <c r="C31" i="33"/>
  <c r="B31" i="33"/>
  <c r="R30" i="33"/>
  <c r="P30" i="33"/>
  <c r="O30" i="33"/>
  <c r="L30" i="33"/>
  <c r="K30" i="33"/>
  <c r="J30" i="33"/>
  <c r="H30" i="33"/>
  <c r="G30" i="33"/>
  <c r="F30" i="33"/>
  <c r="D30" i="33"/>
  <c r="C30" i="33"/>
  <c r="B30" i="33"/>
  <c r="R29" i="33"/>
  <c r="P29" i="33"/>
  <c r="O29" i="33"/>
  <c r="L29" i="33"/>
  <c r="K29" i="33"/>
  <c r="J29" i="33"/>
  <c r="I29" i="33"/>
  <c r="H29" i="33"/>
  <c r="G29" i="33"/>
  <c r="F29" i="33"/>
  <c r="D29" i="33"/>
  <c r="C29" i="33"/>
  <c r="B29" i="33"/>
  <c r="R28" i="33"/>
  <c r="P28" i="33"/>
  <c r="O28" i="33"/>
  <c r="L28" i="33"/>
  <c r="K28" i="33"/>
  <c r="J28" i="33"/>
  <c r="I28" i="33"/>
  <c r="H28" i="33"/>
  <c r="G28" i="33"/>
  <c r="F28" i="33"/>
  <c r="D28" i="33"/>
  <c r="C28" i="33"/>
  <c r="B28" i="33"/>
  <c r="Q24" i="33"/>
  <c r="P24" i="33"/>
  <c r="O24" i="33"/>
  <c r="N24" i="33"/>
  <c r="M24" i="33"/>
  <c r="L24" i="33"/>
  <c r="K24" i="33"/>
  <c r="J24" i="33"/>
  <c r="I24" i="33"/>
  <c r="H24" i="33"/>
  <c r="G24" i="33"/>
  <c r="F24" i="33"/>
  <c r="E24" i="33"/>
  <c r="D24" i="33"/>
  <c r="C24" i="33"/>
  <c r="B24" i="33"/>
  <c r="R68" i="32"/>
  <c r="R67" i="32"/>
  <c r="R66" i="32"/>
  <c r="R65" i="32"/>
  <c r="R64" i="32"/>
  <c r="R63" i="32"/>
  <c r="R62" i="32"/>
  <c r="R61" i="32"/>
  <c r="R60" i="32"/>
  <c r="R59" i="32"/>
  <c r="R58" i="32"/>
  <c r="R57" i="32"/>
  <c r="R56" i="32"/>
  <c r="R55" i="32"/>
  <c r="R54" i="32"/>
  <c r="R53" i="32"/>
  <c r="R52" i="32"/>
  <c r="R51" i="32"/>
  <c r="R50" i="32"/>
  <c r="K50" i="32"/>
  <c r="R49" i="32"/>
  <c r="K49" i="32"/>
  <c r="R48" i="32"/>
  <c r="K48" i="32"/>
  <c r="R47" i="32"/>
  <c r="K47" i="32"/>
  <c r="R46" i="32"/>
  <c r="K46" i="32"/>
  <c r="R45" i="32"/>
  <c r="K45" i="32"/>
  <c r="R44" i="32"/>
  <c r="L44" i="32"/>
  <c r="K44" i="32"/>
  <c r="R43" i="32"/>
  <c r="L43" i="32"/>
  <c r="K43" i="32"/>
  <c r="R42" i="32"/>
  <c r="L42" i="32"/>
  <c r="K42" i="32"/>
  <c r="R41" i="32"/>
  <c r="L41" i="32"/>
  <c r="K41" i="32"/>
  <c r="R40" i="32"/>
  <c r="O40" i="32"/>
  <c r="L40" i="32"/>
  <c r="K40" i="32"/>
  <c r="C40" i="32"/>
  <c r="R39" i="32"/>
  <c r="O39" i="32"/>
  <c r="L39" i="32"/>
  <c r="K39" i="32"/>
  <c r="C39" i="32"/>
  <c r="R38" i="32"/>
  <c r="O38" i="32"/>
  <c r="L38" i="32"/>
  <c r="K38" i="32"/>
  <c r="C38" i="32"/>
  <c r="R37" i="32"/>
  <c r="P37" i="32"/>
  <c r="O37" i="32"/>
  <c r="L37" i="32"/>
  <c r="K37" i="32"/>
  <c r="C37" i="32"/>
  <c r="R36" i="32"/>
  <c r="P36" i="32"/>
  <c r="L36" i="32"/>
  <c r="K36" i="32"/>
  <c r="D36" i="32"/>
  <c r="C36" i="32"/>
  <c r="B36" i="32"/>
  <c r="R35" i="32"/>
  <c r="P35" i="32"/>
  <c r="O35" i="32"/>
  <c r="L35" i="32"/>
  <c r="K35" i="32"/>
  <c r="F35" i="32"/>
  <c r="D35" i="32"/>
  <c r="C35" i="32"/>
  <c r="B35" i="32"/>
  <c r="R34" i="32"/>
  <c r="P34" i="32"/>
  <c r="O34" i="32"/>
  <c r="L34" i="32"/>
  <c r="K34" i="32"/>
  <c r="J34" i="32"/>
  <c r="F34" i="32"/>
  <c r="D34" i="32"/>
  <c r="C34" i="32"/>
  <c r="B34" i="32"/>
  <c r="R33" i="32"/>
  <c r="P33" i="32"/>
  <c r="O33" i="32"/>
  <c r="L33" i="32"/>
  <c r="K33" i="32"/>
  <c r="J33" i="32"/>
  <c r="F33" i="32"/>
  <c r="D33" i="32"/>
  <c r="C33" i="32"/>
  <c r="B33" i="32"/>
  <c r="R32" i="32"/>
  <c r="P32" i="32"/>
  <c r="O32" i="32"/>
  <c r="L32" i="32"/>
  <c r="K32" i="32"/>
  <c r="J32" i="32"/>
  <c r="F32" i="32"/>
  <c r="D32" i="32"/>
  <c r="C32" i="32"/>
  <c r="B32" i="32"/>
  <c r="R31" i="32"/>
  <c r="P31" i="32"/>
  <c r="O31" i="32"/>
  <c r="L31" i="32"/>
  <c r="K31" i="32"/>
  <c r="J31" i="32"/>
  <c r="H31" i="32"/>
  <c r="G31" i="32"/>
  <c r="F31" i="32"/>
  <c r="D31" i="32"/>
  <c r="C31" i="32"/>
  <c r="B31" i="32"/>
  <c r="R30" i="32"/>
  <c r="P30" i="32"/>
  <c r="O30" i="32"/>
  <c r="L30" i="32"/>
  <c r="K30" i="32"/>
  <c r="J30" i="32"/>
  <c r="H30" i="32"/>
  <c r="G30" i="32"/>
  <c r="F30" i="32"/>
  <c r="D30" i="32"/>
  <c r="C30" i="32"/>
  <c r="B30" i="32"/>
  <c r="R29" i="32"/>
  <c r="P29" i="32"/>
  <c r="O29" i="32"/>
  <c r="L29" i="32"/>
  <c r="K29" i="32"/>
  <c r="J29" i="32"/>
  <c r="I29" i="32"/>
  <c r="H29" i="32"/>
  <c r="G29" i="32"/>
  <c r="F29" i="32"/>
  <c r="D29" i="32"/>
  <c r="C29" i="32"/>
  <c r="B29" i="32"/>
  <c r="R28" i="32"/>
  <c r="P28" i="32"/>
  <c r="O28" i="32"/>
  <c r="L28" i="32"/>
  <c r="K28" i="32"/>
  <c r="J28" i="32"/>
  <c r="I28" i="32"/>
  <c r="H28" i="32"/>
  <c r="G28" i="32"/>
  <c r="F28" i="32"/>
  <c r="D28" i="32"/>
  <c r="C28" i="32"/>
  <c r="B28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C24" i="32"/>
  <c r="B24" i="32"/>
  <c r="R68" i="31"/>
  <c r="R67" i="31"/>
  <c r="R66" i="31"/>
  <c r="R65" i="31"/>
  <c r="R64" i="31"/>
  <c r="R63" i="31"/>
  <c r="R62" i="31"/>
  <c r="R61" i="31"/>
  <c r="R60" i="31"/>
  <c r="R59" i="31"/>
  <c r="R58" i="31"/>
  <c r="R57" i="31"/>
  <c r="R56" i="31"/>
  <c r="R55" i="31"/>
  <c r="R54" i="31"/>
  <c r="R53" i="31"/>
  <c r="R52" i="31"/>
  <c r="R51" i="31"/>
  <c r="R50" i="31"/>
  <c r="K50" i="31"/>
  <c r="R49" i="31"/>
  <c r="K49" i="31"/>
  <c r="R48" i="31"/>
  <c r="K48" i="31"/>
  <c r="R47" i="31"/>
  <c r="K47" i="31"/>
  <c r="R46" i="31"/>
  <c r="K46" i="31"/>
  <c r="R45" i="31"/>
  <c r="K45" i="31"/>
  <c r="R44" i="31"/>
  <c r="L44" i="31"/>
  <c r="K44" i="31"/>
  <c r="R43" i="31"/>
  <c r="L43" i="31"/>
  <c r="K43" i="31"/>
  <c r="R42" i="31"/>
  <c r="L42" i="31"/>
  <c r="K42" i="31"/>
  <c r="R41" i="31"/>
  <c r="L41" i="31"/>
  <c r="K41" i="31"/>
  <c r="R40" i="31"/>
  <c r="O40" i="31"/>
  <c r="L40" i="31"/>
  <c r="K40" i="31"/>
  <c r="C40" i="31"/>
  <c r="R39" i="31"/>
  <c r="O39" i="31"/>
  <c r="L39" i="31"/>
  <c r="K39" i="31"/>
  <c r="C39" i="31"/>
  <c r="R38" i="31"/>
  <c r="O38" i="31"/>
  <c r="L38" i="31"/>
  <c r="K38" i="31"/>
  <c r="C38" i="31"/>
  <c r="R37" i="31"/>
  <c r="P37" i="31"/>
  <c r="O37" i="31"/>
  <c r="L37" i="31"/>
  <c r="K37" i="31"/>
  <c r="C37" i="31"/>
  <c r="R36" i="31"/>
  <c r="P36" i="31"/>
  <c r="L36" i="31"/>
  <c r="K36" i="31"/>
  <c r="D36" i="31"/>
  <c r="C36" i="31"/>
  <c r="B36" i="31"/>
  <c r="R35" i="31"/>
  <c r="P35" i="31"/>
  <c r="O35" i="31"/>
  <c r="L35" i="31"/>
  <c r="K35" i="31"/>
  <c r="F35" i="31"/>
  <c r="D35" i="31"/>
  <c r="C35" i="31"/>
  <c r="B35" i="31"/>
  <c r="R34" i="31"/>
  <c r="P34" i="31"/>
  <c r="O34" i="31"/>
  <c r="L34" i="31"/>
  <c r="K34" i="31"/>
  <c r="J34" i="31"/>
  <c r="F34" i="31"/>
  <c r="D34" i="31"/>
  <c r="C34" i="31"/>
  <c r="B34" i="31"/>
  <c r="R33" i="31"/>
  <c r="P33" i="31"/>
  <c r="O33" i="31"/>
  <c r="L33" i="31"/>
  <c r="K33" i="31"/>
  <c r="J33" i="31"/>
  <c r="F33" i="31"/>
  <c r="D33" i="31"/>
  <c r="C33" i="31"/>
  <c r="B33" i="31"/>
  <c r="R32" i="31"/>
  <c r="P32" i="31"/>
  <c r="O32" i="31"/>
  <c r="L32" i="31"/>
  <c r="K32" i="31"/>
  <c r="J32" i="31"/>
  <c r="F32" i="31"/>
  <c r="D32" i="31"/>
  <c r="C32" i="31"/>
  <c r="B32" i="31"/>
  <c r="R31" i="31"/>
  <c r="P31" i="31"/>
  <c r="O31" i="31"/>
  <c r="L31" i="31"/>
  <c r="K31" i="31"/>
  <c r="J31" i="31"/>
  <c r="H31" i="31"/>
  <c r="G31" i="31"/>
  <c r="F31" i="31"/>
  <c r="D31" i="31"/>
  <c r="C31" i="31"/>
  <c r="B31" i="31"/>
  <c r="R30" i="31"/>
  <c r="P30" i="31"/>
  <c r="O30" i="31"/>
  <c r="L30" i="31"/>
  <c r="K30" i="31"/>
  <c r="J30" i="31"/>
  <c r="H30" i="31"/>
  <c r="G30" i="31"/>
  <c r="F30" i="31"/>
  <c r="D30" i="31"/>
  <c r="C30" i="31"/>
  <c r="B30" i="31"/>
  <c r="R29" i="31"/>
  <c r="P29" i="31"/>
  <c r="O29" i="31"/>
  <c r="L29" i="31"/>
  <c r="K29" i="31"/>
  <c r="J29" i="31"/>
  <c r="I29" i="31"/>
  <c r="H29" i="31"/>
  <c r="G29" i="31"/>
  <c r="F29" i="31"/>
  <c r="D29" i="31"/>
  <c r="C29" i="31"/>
  <c r="B29" i="31"/>
  <c r="R28" i="31"/>
  <c r="P28" i="31"/>
  <c r="O28" i="31"/>
  <c r="L28" i="31"/>
  <c r="K28" i="31"/>
  <c r="J28" i="31"/>
  <c r="I28" i="31"/>
  <c r="H28" i="31"/>
  <c r="G28" i="31"/>
  <c r="F28" i="31"/>
  <c r="D28" i="31"/>
  <c r="C28" i="31"/>
  <c r="B28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C24" i="31"/>
  <c r="B24" i="31"/>
  <c r="R68" i="30"/>
  <c r="R67" i="30"/>
  <c r="R66" i="30"/>
  <c r="R65" i="30"/>
  <c r="R64" i="30"/>
  <c r="R63" i="30"/>
  <c r="R62" i="30"/>
  <c r="R61" i="30"/>
  <c r="R60" i="30"/>
  <c r="R59" i="30"/>
  <c r="R58" i="30"/>
  <c r="R57" i="30"/>
  <c r="R56" i="30"/>
  <c r="R55" i="30"/>
  <c r="R54" i="30"/>
  <c r="R53" i="30"/>
  <c r="R52" i="30"/>
  <c r="R51" i="30"/>
  <c r="R50" i="30"/>
  <c r="K50" i="30"/>
  <c r="R49" i="30"/>
  <c r="K49" i="30"/>
  <c r="R48" i="30"/>
  <c r="K48" i="30"/>
  <c r="R47" i="30"/>
  <c r="K47" i="30"/>
  <c r="R46" i="30"/>
  <c r="K46" i="30"/>
  <c r="R45" i="30"/>
  <c r="K45" i="30"/>
  <c r="R44" i="30"/>
  <c r="L44" i="30"/>
  <c r="K44" i="30"/>
  <c r="R43" i="30"/>
  <c r="L43" i="30"/>
  <c r="K43" i="30"/>
  <c r="R42" i="30"/>
  <c r="L42" i="30"/>
  <c r="K42" i="30"/>
  <c r="R41" i="30"/>
  <c r="L41" i="30"/>
  <c r="K41" i="30"/>
  <c r="R40" i="30"/>
  <c r="O40" i="30"/>
  <c r="L40" i="30"/>
  <c r="K40" i="30"/>
  <c r="C40" i="30"/>
  <c r="R39" i="30"/>
  <c r="O39" i="30"/>
  <c r="L39" i="30"/>
  <c r="K39" i="30"/>
  <c r="C39" i="30"/>
  <c r="R38" i="30"/>
  <c r="O38" i="30"/>
  <c r="L38" i="30"/>
  <c r="K38" i="30"/>
  <c r="C38" i="30"/>
  <c r="R37" i="30"/>
  <c r="P37" i="30"/>
  <c r="O37" i="30"/>
  <c r="L37" i="30"/>
  <c r="K37" i="30"/>
  <c r="C37" i="30"/>
  <c r="R36" i="30"/>
  <c r="P36" i="30"/>
  <c r="L36" i="30"/>
  <c r="K36" i="30"/>
  <c r="D36" i="30"/>
  <c r="C36" i="30"/>
  <c r="B36" i="30"/>
  <c r="R35" i="30"/>
  <c r="P35" i="30"/>
  <c r="O35" i="30"/>
  <c r="L35" i="30"/>
  <c r="K35" i="30"/>
  <c r="F35" i="30"/>
  <c r="D35" i="30"/>
  <c r="C35" i="30"/>
  <c r="B35" i="30"/>
  <c r="R34" i="30"/>
  <c r="P34" i="30"/>
  <c r="O34" i="30"/>
  <c r="L34" i="30"/>
  <c r="K34" i="30"/>
  <c r="J34" i="30"/>
  <c r="F34" i="30"/>
  <c r="D34" i="30"/>
  <c r="C34" i="30"/>
  <c r="B34" i="30"/>
  <c r="R33" i="30"/>
  <c r="P33" i="30"/>
  <c r="O33" i="30"/>
  <c r="L33" i="30"/>
  <c r="K33" i="30"/>
  <c r="J33" i="30"/>
  <c r="F33" i="30"/>
  <c r="D33" i="30"/>
  <c r="C33" i="30"/>
  <c r="B33" i="30"/>
  <c r="R32" i="30"/>
  <c r="P32" i="30"/>
  <c r="O32" i="30"/>
  <c r="L32" i="30"/>
  <c r="K32" i="30"/>
  <c r="J32" i="30"/>
  <c r="F32" i="30"/>
  <c r="D32" i="30"/>
  <c r="C32" i="30"/>
  <c r="B32" i="30"/>
  <c r="R31" i="30"/>
  <c r="P31" i="30"/>
  <c r="O31" i="30"/>
  <c r="L31" i="30"/>
  <c r="K31" i="30"/>
  <c r="J31" i="30"/>
  <c r="H31" i="30"/>
  <c r="G31" i="30"/>
  <c r="F31" i="30"/>
  <c r="D31" i="30"/>
  <c r="C31" i="30"/>
  <c r="B31" i="30"/>
  <c r="R30" i="30"/>
  <c r="P30" i="30"/>
  <c r="O30" i="30"/>
  <c r="L30" i="30"/>
  <c r="K30" i="30"/>
  <c r="J30" i="30"/>
  <c r="H30" i="30"/>
  <c r="G30" i="30"/>
  <c r="F30" i="30"/>
  <c r="D30" i="30"/>
  <c r="C30" i="30"/>
  <c r="B30" i="30"/>
  <c r="R29" i="30"/>
  <c r="P29" i="30"/>
  <c r="O29" i="30"/>
  <c r="L29" i="30"/>
  <c r="K29" i="30"/>
  <c r="J29" i="30"/>
  <c r="I29" i="30"/>
  <c r="H29" i="30"/>
  <c r="G29" i="30"/>
  <c r="F29" i="30"/>
  <c r="D29" i="30"/>
  <c r="C29" i="30"/>
  <c r="B29" i="30"/>
  <c r="R28" i="30"/>
  <c r="P28" i="30"/>
  <c r="O28" i="30"/>
  <c r="L28" i="30"/>
  <c r="K28" i="30"/>
  <c r="J28" i="30"/>
  <c r="I28" i="30"/>
  <c r="H28" i="30"/>
  <c r="G28" i="30"/>
  <c r="F28" i="30"/>
  <c r="D28" i="30"/>
  <c r="C28" i="30"/>
  <c r="B28" i="30"/>
  <c r="Q24" i="30"/>
  <c r="P24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B24" i="30"/>
  <c r="R68" i="29"/>
  <c r="R67" i="29"/>
  <c r="R66" i="29"/>
  <c r="R65" i="29"/>
  <c r="R64" i="29"/>
  <c r="R63" i="29"/>
  <c r="R62" i="29"/>
  <c r="R61" i="29"/>
  <c r="R60" i="29"/>
  <c r="R59" i="29"/>
  <c r="R58" i="29"/>
  <c r="R57" i="29"/>
  <c r="R56" i="29"/>
  <c r="R55" i="29"/>
  <c r="R54" i="29"/>
  <c r="R53" i="29"/>
  <c r="R52" i="29"/>
  <c r="R51" i="29"/>
  <c r="R50" i="29"/>
  <c r="K50" i="29"/>
  <c r="R49" i="29"/>
  <c r="K49" i="29"/>
  <c r="R48" i="29"/>
  <c r="K48" i="29"/>
  <c r="R47" i="29"/>
  <c r="K47" i="29"/>
  <c r="R46" i="29"/>
  <c r="K46" i="29"/>
  <c r="R45" i="29"/>
  <c r="K45" i="29"/>
  <c r="R44" i="29"/>
  <c r="L44" i="29"/>
  <c r="K44" i="29"/>
  <c r="R43" i="29"/>
  <c r="L43" i="29"/>
  <c r="K43" i="29"/>
  <c r="R42" i="29"/>
  <c r="L42" i="29"/>
  <c r="K42" i="29"/>
  <c r="R41" i="29"/>
  <c r="L41" i="29"/>
  <c r="K41" i="29"/>
  <c r="R40" i="29"/>
  <c r="O40" i="29"/>
  <c r="L40" i="29"/>
  <c r="K40" i="29"/>
  <c r="C40" i="29"/>
  <c r="R39" i="29"/>
  <c r="O39" i="29"/>
  <c r="L39" i="29"/>
  <c r="K39" i="29"/>
  <c r="C39" i="29"/>
  <c r="R38" i="29"/>
  <c r="O38" i="29"/>
  <c r="L38" i="29"/>
  <c r="K38" i="29"/>
  <c r="C38" i="29"/>
  <c r="R37" i="29"/>
  <c r="P37" i="29"/>
  <c r="O37" i="29"/>
  <c r="L37" i="29"/>
  <c r="K37" i="29"/>
  <c r="C37" i="29"/>
  <c r="R36" i="29"/>
  <c r="P36" i="29"/>
  <c r="L36" i="29"/>
  <c r="K36" i="29"/>
  <c r="D36" i="29"/>
  <c r="C36" i="29"/>
  <c r="B36" i="29"/>
  <c r="R35" i="29"/>
  <c r="P35" i="29"/>
  <c r="O35" i="29"/>
  <c r="L35" i="29"/>
  <c r="K35" i="29"/>
  <c r="F35" i="29"/>
  <c r="D35" i="29"/>
  <c r="C35" i="29"/>
  <c r="B35" i="29"/>
  <c r="R34" i="29"/>
  <c r="P34" i="29"/>
  <c r="O34" i="29"/>
  <c r="L34" i="29"/>
  <c r="K34" i="29"/>
  <c r="J34" i="29"/>
  <c r="F34" i="29"/>
  <c r="D34" i="29"/>
  <c r="C34" i="29"/>
  <c r="B34" i="29"/>
  <c r="R33" i="29"/>
  <c r="P33" i="29"/>
  <c r="O33" i="29"/>
  <c r="L33" i="29"/>
  <c r="K33" i="29"/>
  <c r="J33" i="29"/>
  <c r="F33" i="29"/>
  <c r="D33" i="29"/>
  <c r="C33" i="29"/>
  <c r="B33" i="29"/>
  <c r="R32" i="29"/>
  <c r="P32" i="29"/>
  <c r="O32" i="29"/>
  <c r="L32" i="29"/>
  <c r="K32" i="29"/>
  <c r="J32" i="29"/>
  <c r="F32" i="29"/>
  <c r="D32" i="29"/>
  <c r="C32" i="29"/>
  <c r="B32" i="29"/>
  <c r="R31" i="29"/>
  <c r="P31" i="29"/>
  <c r="O31" i="29"/>
  <c r="L31" i="29"/>
  <c r="K31" i="29"/>
  <c r="J31" i="29"/>
  <c r="H31" i="29"/>
  <c r="G31" i="29"/>
  <c r="F31" i="29"/>
  <c r="D31" i="29"/>
  <c r="C31" i="29"/>
  <c r="B31" i="29"/>
  <c r="R30" i="29"/>
  <c r="P30" i="29"/>
  <c r="O30" i="29"/>
  <c r="L30" i="29"/>
  <c r="K30" i="29"/>
  <c r="J30" i="29"/>
  <c r="H30" i="29"/>
  <c r="G30" i="29"/>
  <c r="F30" i="29"/>
  <c r="D30" i="29"/>
  <c r="C30" i="29"/>
  <c r="B30" i="29"/>
  <c r="R29" i="29"/>
  <c r="P29" i="29"/>
  <c r="O29" i="29"/>
  <c r="L29" i="29"/>
  <c r="K29" i="29"/>
  <c r="J29" i="29"/>
  <c r="I29" i="29"/>
  <c r="H29" i="29"/>
  <c r="G29" i="29"/>
  <c r="F29" i="29"/>
  <c r="D29" i="29"/>
  <c r="C29" i="29"/>
  <c r="B29" i="29"/>
  <c r="R28" i="29"/>
  <c r="P28" i="29"/>
  <c r="O28" i="29"/>
  <c r="L28" i="29"/>
  <c r="K28" i="29"/>
  <c r="J28" i="29"/>
  <c r="I28" i="29"/>
  <c r="H28" i="29"/>
  <c r="G28" i="29"/>
  <c r="F28" i="29"/>
  <c r="D28" i="29"/>
  <c r="C28" i="29"/>
  <c r="B28" i="29"/>
  <c r="Q24" i="29"/>
  <c r="P24" i="29"/>
  <c r="O24" i="29"/>
  <c r="N24" i="29"/>
  <c r="M24" i="29"/>
  <c r="L24" i="29"/>
  <c r="K24" i="29"/>
  <c r="J24" i="29"/>
  <c r="I24" i="29"/>
  <c r="H24" i="29"/>
  <c r="G24" i="29"/>
  <c r="F24" i="29"/>
  <c r="E24" i="29"/>
  <c r="D24" i="29"/>
  <c r="C24" i="29"/>
  <c r="B24" i="29"/>
  <c r="R68" i="28"/>
  <c r="R67" i="28"/>
  <c r="R66" i="28"/>
  <c r="R65" i="28"/>
  <c r="R64" i="28"/>
  <c r="R63" i="28"/>
  <c r="R62" i="28"/>
  <c r="R61" i="28"/>
  <c r="R60" i="28"/>
  <c r="R59" i="28"/>
  <c r="R58" i="28"/>
  <c r="R57" i="28"/>
  <c r="R56" i="28"/>
  <c r="R55" i="28"/>
  <c r="R54" i="28"/>
  <c r="R53" i="28"/>
  <c r="R52" i="28"/>
  <c r="R51" i="28"/>
  <c r="R50" i="28"/>
  <c r="K50" i="28"/>
  <c r="R49" i="28"/>
  <c r="K49" i="28"/>
  <c r="R48" i="28"/>
  <c r="K48" i="28"/>
  <c r="R47" i="28"/>
  <c r="K47" i="28"/>
  <c r="R46" i="28"/>
  <c r="K46" i="28"/>
  <c r="R45" i="28"/>
  <c r="K45" i="28"/>
  <c r="R44" i="28"/>
  <c r="L44" i="28"/>
  <c r="K44" i="28"/>
  <c r="R43" i="28"/>
  <c r="L43" i="28"/>
  <c r="K43" i="28"/>
  <c r="R42" i="28"/>
  <c r="L42" i="28"/>
  <c r="K42" i="28"/>
  <c r="R41" i="28"/>
  <c r="L41" i="28"/>
  <c r="K41" i="28"/>
  <c r="R40" i="28"/>
  <c r="O40" i="28"/>
  <c r="L40" i="28"/>
  <c r="K40" i="28"/>
  <c r="C40" i="28"/>
  <c r="R39" i="28"/>
  <c r="O39" i="28"/>
  <c r="L39" i="28"/>
  <c r="K39" i="28"/>
  <c r="C39" i="28"/>
  <c r="R38" i="28"/>
  <c r="O38" i="28"/>
  <c r="L38" i="28"/>
  <c r="K38" i="28"/>
  <c r="C38" i="28"/>
  <c r="R37" i="28"/>
  <c r="P37" i="28"/>
  <c r="O37" i="28"/>
  <c r="L37" i="28"/>
  <c r="K37" i="28"/>
  <c r="C37" i="28"/>
  <c r="R36" i="28"/>
  <c r="P36" i="28"/>
  <c r="L36" i="28"/>
  <c r="K36" i="28"/>
  <c r="D36" i="28"/>
  <c r="C36" i="28"/>
  <c r="B36" i="28"/>
  <c r="R35" i="28"/>
  <c r="P35" i="28"/>
  <c r="O35" i="28"/>
  <c r="L35" i="28"/>
  <c r="K35" i="28"/>
  <c r="F35" i="28"/>
  <c r="D35" i="28"/>
  <c r="C35" i="28"/>
  <c r="B35" i="28"/>
  <c r="R34" i="28"/>
  <c r="P34" i="28"/>
  <c r="O34" i="28"/>
  <c r="L34" i="28"/>
  <c r="K34" i="28"/>
  <c r="J34" i="28"/>
  <c r="F34" i="28"/>
  <c r="D34" i="28"/>
  <c r="C34" i="28"/>
  <c r="B34" i="28"/>
  <c r="R33" i="28"/>
  <c r="P33" i="28"/>
  <c r="O33" i="28"/>
  <c r="L33" i="28"/>
  <c r="K33" i="28"/>
  <c r="J33" i="28"/>
  <c r="F33" i="28"/>
  <c r="D33" i="28"/>
  <c r="C33" i="28"/>
  <c r="B33" i="28"/>
  <c r="R32" i="28"/>
  <c r="P32" i="28"/>
  <c r="O32" i="28"/>
  <c r="L32" i="28"/>
  <c r="K32" i="28"/>
  <c r="J32" i="28"/>
  <c r="F32" i="28"/>
  <c r="D32" i="28"/>
  <c r="C32" i="28"/>
  <c r="B32" i="28"/>
  <c r="R31" i="28"/>
  <c r="P31" i="28"/>
  <c r="O31" i="28"/>
  <c r="L31" i="28"/>
  <c r="K31" i="28"/>
  <c r="J31" i="28"/>
  <c r="H31" i="28"/>
  <c r="G31" i="28"/>
  <c r="F31" i="28"/>
  <c r="D31" i="28"/>
  <c r="C31" i="28"/>
  <c r="B31" i="28"/>
  <c r="R30" i="28"/>
  <c r="P30" i="28"/>
  <c r="O30" i="28"/>
  <c r="L30" i="28"/>
  <c r="K30" i="28"/>
  <c r="J30" i="28"/>
  <c r="H30" i="28"/>
  <c r="G30" i="28"/>
  <c r="F30" i="28"/>
  <c r="D30" i="28"/>
  <c r="C30" i="28"/>
  <c r="B30" i="28"/>
  <c r="R29" i="28"/>
  <c r="P29" i="28"/>
  <c r="O29" i="28"/>
  <c r="L29" i="28"/>
  <c r="K29" i="28"/>
  <c r="J29" i="28"/>
  <c r="I29" i="28"/>
  <c r="H29" i="28"/>
  <c r="G29" i="28"/>
  <c r="F29" i="28"/>
  <c r="D29" i="28"/>
  <c r="C29" i="28"/>
  <c r="B29" i="28"/>
  <c r="R28" i="28"/>
  <c r="P28" i="28"/>
  <c r="O28" i="28"/>
  <c r="L28" i="28"/>
  <c r="K28" i="28"/>
  <c r="J28" i="28"/>
  <c r="I28" i="28"/>
  <c r="H28" i="28"/>
  <c r="G28" i="28"/>
  <c r="F28" i="28"/>
  <c r="D28" i="28"/>
  <c r="C28" i="28"/>
  <c r="B28" i="28"/>
  <c r="Q24" i="28"/>
  <c r="P24" i="28"/>
  <c r="O24" i="28"/>
  <c r="N24" i="28"/>
  <c r="M24" i="28"/>
  <c r="L24" i="28"/>
  <c r="K24" i="28"/>
  <c r="J24" i="28"/>
  <c r="I24" i="28"/>
  <c r="H24" i="28"/>
  <c r="G24" i="28"/>
  <c r="F24" i="28"/>
  <c r="E24" i="28"/>
  <c r="D24" i="28"/>
  <c r="C24" i="28"/>
  <c r="B24" i="28"/>
  <c r="R68" i="27"/>
  <c r="R67" i="27"/>
  <c r="R66" i="27"/>
  <c r="R65" i="27"/>
  <c r="R64" i="27"/>
  <c r="R63" i="27"/>
  <c r="R62" i="27"/>
  <c r="R61" i="27"/>
  <c r="R60" i="27"/>
  <c r="R59" i="27"/>
  <c r="R58" i="27"/>
  <c r="R57" i="27"/>
  <c r="R56" i="27"/>
  <c r="R55" i="27"/>
  <c r="R54" i="27"/>
  <c r="R53" i="27"/>
  <c r="R52" i="27"/>
  <c r="R51" i="27"/>
  <c r="R50" i="27"/>
  <c r="K50" i="27"/>
  <c r="R49" i="27"/>
  <c r="K49" i="27"/>
  <c r="R48" i="27"/>
  <c r="K48" i="27"/>
  <c r="R47" i="27"/>
  <c r="K47" i="27"/>
  <c r="R46" i="27"/>
  <c r="K46" i="27"/>
  <c r="R45" i="27"/>
  <c r="K45" i="27"/>
  <c r="R44" i="27"/>
  <c r="L44" i="27"/>
  <c r="K44" i="27"/>
  <c r="R43" i="27"/>
  <c r="L43" i="27"/>
  <c r="K43" i="27"/>
  <c r="R42" i="27"/>
  <c r="L42" i="27"/>
  <c r="K42" i="27"/>
  <c r="R41" i="27"/>
  <c r="L41" i="27"/>
  <c r="K41" i="27"/>
  <c r="R40" i="27"/>
  <c r="O40" i="27"/>
  <c r="L40" i="27"/>
  <c r="K40" i="27"/>
  <c r="C40" i="27"/>
  <c r="R39" i="27"/>
  <c r="O39" i="27"/>
  <c r="L39" i="27"/>
  <c r="K39" i="27"/>
  <c r="C39" i="27"/>
  <c r="R38" i="27"/>
  <c r="O38" i="27"/>
  <c r="L38" i="27"/>
  <c r="K38" i="27"/>
  <c r="C38" i="27"/>
  <c r="R37" i="27"/>
  <c r="P37" i="27"/>
  <c r="O37" i="27"/>
  <c r="L37" i="27"/>
  <c r="K37" i="27"/>
  <c r="C37" i="27"/>
  <c r="R36" i="27"/>
  <c r="P36" i="27"/>
  <c r="L36" i="27"/>
  <c r="K36" i="27"/>
  <c r="D36" i="27"/>
  <c r="C36" i="27"/>
  <c r="B36" i="27"/>
  <c r="R35" i="27"/>
  <c r="P35" i="27"/>
  <c r="O35" i="27"/>
  <c r="L35" i="27"/>
  <c r="K35" i="27"/>
  <c r="F35" i="27"/>
  <c r="D35" i="27"/>
  <c r="C35" i="27"/>
  <c r="B35" i="27"/>
  <c r="R34" i="27"/>
  <c r="P34" i="27"/>
  <c r="O34" i="27"/>
  <c r="L34" i="27"/>
  <c r="K34" i="27"/>
  <c r="J34" i="27"/>
  <c r="F34" i="27"/>
  <c r="D34" i="27"/>
  <c r="C34" i="27"/>
  <c r="B34" i="27"/>
  <c r="R33" i="27"/>
  <c r="P33" i="27"/>
  <c r="O33" i="27"/>
  <c r="L33" i="27"/>
  <c r="K33" i="27"/>
  <c r="J33" i="27"/>
  <c r="F33" i="27"/>
  <c r="D33" i="27"/>
  <c r="C33" i="27"/>
  <c r="B33" i="27"/>
  <c r="R32" i="27"/>
  <c r="P32" i="27"/>
  <c r="O32" i="27"/>
  <c r="L32" i="27"/>
  <c r="K32" i="27"/>
  <c r="J32" i="27"/>
  <c r="F32" i="27"/>
  <c r="D32" i="27"/>
  <c r="C32" i="27"/>
  <c r="B32" i="27"/>
  <c r="R31" i="27"/>
  <c r="P31" i="27"/>
  <c r="O31" i="27"/>
  <c r="L31" i="27"/>
  <c r="K31" i="27"/>
  <c r="J31" i="27"/>
  <c r="H31" i="27"/>
  <c r="G31" i="27"/>
  <c r="F31" i="27"/>
  <c r="D31" i="27"/>
  <c r="C31" i="27"/>
  <c r="B31" i="27"/>
  <c r="R30" i="27"/>
  <c r="P30" i="27"/>
  <c r="O30" i="27"/>
  <c r="L30" i="27"/>
  <c r="K30" i="27"/>
  <c r="J30" i="27"/>
  <c r="H30" i="27"/>
  <c r="G30" i="27"/>
  <c r="F30" i="27"/>
  <c r="D30" i="27"/>
  <c r="C30" i="27"/>
  <c r="B30" i="27"/>
  <c r="R29" i="27"/>
  <c r="P29" i="27"/>
  <c r="O29" i="27"/>
  <c r="L29" i="27"/>
  <c r="K29" i="27"/>
  <c r="J29" i="27"/>
  <c r="I29" i="27"/>
  <c r="H29" i="27"/>
  <c r="G29" i="27"/>
  <c r="F29" i="27"/>
  <c r="D29" i="27"/>
  <c r="C29" i="27"/>
  <c r="B29" i="27"/>
  <c r="R28" i="27"/>
  <c r="P28" i="27"/>
  <c r="O28" i="27"/>
  <c r="L28" i="27"/>
  <c r="K28" i="27"/>
  <c r="J28" i="27"/>
  <c r="I28" i="27"/>
  <c r="H28" i="27"/>
  <c r="G28" i="27"/>
  <c r="F28" i="27"/>
  <c r="D28" i="27"/>
  <c r="C28" i="27"/>
  <c r="B28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C24" i="27"/>
  <c r="B24" i="27"/>
  <c r="R68" i="26"/>
  <c r="R67" i="26"/>
  <c r="R66" i="26"/>
  <c r="R65" i="26"/>
  <c r="R64" i="26"/>
  <c r="R63" i="26"/>
  <c r="R62" i="26"/>
  <c r="R61" i="26"/>
  <c r="R60" i="26"/>
  <c r="R59" i="26"/>
  <c r="R58" i="26"/>
  <c r="R57" i="26"/>
  <c r="R56" i="26"/>
  <c r="R55" i="26"/>
  <c r="R54" i="26"/>
  <c r="R53" i="26"/>
  <c r="R52" i="26"/>
  <c r="R51" i="26"/>
  <c r="R50" i="26"/>
  <c r="K50" i="26"/>
  <c r="R49" i="26"/>
  <c r="K49" i="26"/>
  <c r="R48" i="26"/>
  <c r="K48" i="26"/>
  <c r="R47" i="26"/>
  <c r="K47" i="26"/>
  <c r="R46" i="26"/>
  <c r="K46" i="26"/>
  <c r="R45" i="26"/>
  <c r="K45" i="26"/>
  <c r="R44" i="26"/>
  <c r="L44" i="26"/>
  <c r="K44" i="26"/>
  <c r="R43" i="26"/>
  <c r="L43" i="26"/>
  <c r="K43" i="26"/>
  <c r="R42" i="26"/>
  <c r="L42" i="26"/>
  <c r="K42" i="26"/>
  <c r="R41" i="26"/>
  <c r="L41" i="26"/>
  <c r="K41" i="26"/>
  <c r="R40" i="26"/>
  <c r="O40" i="26"/>
  <c r="L40" i="26"/>
  <c r="K40" i="26"/>
  <c r="C40" i="26"/>
  <c r="R39" i="26"/>
  <c r="O39" i="26"/>
  <c r="L39" i="26"/>
  <c r="K39" i="26"/>
  <c r="C39" i="26"/>
  <c r="R38" i="26"/>
  <c r="O38" i="26"/>
  <c r="L38" i="26"/>
  <c r="K38" i="26"/>
  <c r="C38" i="26"/>
  <c r="R37" i="26"/>
  <c r="P37" i="26"/>
  <c r="O37" i="26"/>
  <c r="L37" i="26"/>
  <c r="K37" i="26"/>
  <c r="C37" i="26"/>
  <c r="R36" i="26"/>
  <c r="P36" i="26"/>
  <c r="L36" i="26"/>
  <c r="K36" i="26"/>
  <c r="D36" i="26"/>
  <c r="C36" i="26"/>
  <c r="B36" i="26"/>
  <c r="R35" i="26"/>
  <c r="P35" i="26"/>
  <c r="O35" i="26"/>
  <c r="L35" i="26"/>
  <c r="K35" i="26"/>
  <c r="F35" i="26"/>
  <c r="D35" i="26"/>
  <c r="C35" i="26"/>
  <c r="B35" i="26"/>
  <c r="R34" i="26"/>
  <c r="P34" i="26"/>
  <c r="O34" i="26"/>
  <c r="L34" i="26"/>
  <c r="K34" i="26"/>
  <c r="J34" i="26"/>
  <c r="F34" i="26"/>
  <c r="D34" i="26"/>
  <c r="C34" i="26"/>
  <c r="B34" i="26"/>
  <c r="R33" i="26"/>
  <c r="P33" i="26"/>
  <c r="O33" i="26"/>
  <c r="L33" i="26"/>
  <c r="K33" i="26"/>
  <c r="J33" i="26"/>
  <c r="F33" i="26"/>
  <c r="D33" i="26"/>
  <c r="C33" i="26"/>
  <c r="B33" i="26"/>
  <c r="R32" i="26"/>
  <c r="P32" i="26"/>
  <c r="O32" i="26"/>
  <c r="L32" i="26"/>
  <c r="K32" i="26"/>
  <c r="J32" i="26"/>
  <c r="F32" i="26"/>
  <c r="D32" i="26"/>
  <c r="C32" i="26"/>
  <c r="B32" i="26"/>
  <c r="R31" i="26"/>
  <c r="P31" i="26"/>
  <c r="O31" i="26"/>
  <c r="L31" i="26"/>
  <c r="K31" i="26"/>
  <c r="J31" i="26"/>
  <c r="H31" i="26"/>
  <c r="G31" i="26"/>
  <c r="F31" i="26"/>
  <c r="D31" i="26"/>
  <c r="C31" i="26"/>
  <c r="B31" i="26"/>
  <c r="R30" i="26"/>
  <c r="P30" i="26"/>
  <c r="O30" i="26"/>
  <c r="L30" i="26"/>
  <c r="K30" i="26"/>
  <c r="J30" i="26"/>
  <c r="H30" i="26"/>
  <c r="G30" i="26"/>
  <c r="F30" i="26"/>
  <c r="D30" i="26"/>
  <c r="C30" i="26"/>
  <c r="B30" i="26"/>
  <c r="R29" i="26"/>
  <c r="P29" i="26"/>
  <c r="O29" i="26"/>
  <c r="L29" i="26"/>
  <c r="K29" i="26"/>
  <c r="J29" i="26"/>
  <c r="I29" i="26"/>
  <c r="H29" i="26"/>
  <c r="G29" i="26"/>
  <c r="F29" i="26"/>
  <c r="D29" i="26"/>
  <c r="C29" i="26"/>
  <c r="B29" i="26"/>
  <c r="R28" i="26"/>
  <c r="P28" i="26"/>
  <c r="O28" i="26"/>
  <c r="L28" i="26"/>
  <c r="K28" i="26"/>
  <c r="J28" i="26"/>
  <c r="I28" i="26"/>
  <c r="H28" i="26"/>
  <c r="G28" i="26"/>
  <c r="F28" i="26"/>
  <c r="D28" i="26"/>
  <c r="C28" i="26"/>
  <c r="B28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C24" i="26"/>
  <c r="B24" i="26"/>
  <c r="R68" i="25"/>
  <c r="R67" i="25"/>
  <c r="R66" i="25"/>
  <c r="R65" i="25"/>
  <c r="R64" i="25"/>
  <c r="R63" i="25"/>
  <c r="R62" i="25"/>
  <c r="R61" i="25"/>
  <c r="R60" i="25"/>
  <c r="R59" i="25"/>
  <c r="R58" i="25"/>
  <c r="R57" i="25"/>
  <c r="R56" i="25"/>
  <c r="R55" i="25"/>
  <c r="R54" i="25"/>
  <c r="R53" i="25"/>
  <c r="R52" i="25"/>
  <c r="R51" i="25"/>
  <c r="R50" i="25"/>
  <c r="K50" i="25"/>
  <c r="R49" i="25"/>
  <c r="K49" i="25"/>
  <c r="R48" i="25"/>
  <c r="K48" i="25"/>
  <c r="R47" i="25"/>
  <c r="K47" i="25"/>
  <c r="R46" i="25"/>
  <c r="K46" i="25"/>
  <c r="R45" i="25"/>
  <c r="K45" i="25"/>
  <c r="R44" i="25"/>
  <c r="L44" i="25"/>
  <c r="K44" i="25"/>
  <c r="R43" i="25"/>
  <c r="L43" i="25"/>
  <c r="K43" i="25"/>
  <c r="R42" i="25"/>
  <c r="L42" i="25"/>
  <c r="K42" i="25"/>
  <c r="R41" i="25"/>
  <c r="L41" i="25"/>
  <c r="K41" i="25"/>
  <c r="R40" i="25"/>
  <c r="O40" i="25"/>
  <c r="L40" i="25"/>
  <c r="K40" i="25"/>
  <c r="C40" i="25"/>
  <c r="R39" i="25"/>
  <c r="O39" i="25"/>
  <c r="L39" i="25"/>
  <c r="K39" i="25"/>
  <c r="C39" i="25"/>
  <c r="R38" i="25"/>
  <c r="O38" i="25"/>
  <c r="L38" i="25"/>
  <c r="K38" i="25"/>
  <c r="C38" i="25"/>
  <c r="R37" i="25"/>
  <c r="P37" i="25"/>
  <c r="O37" i="25"/>
  <c r="L37" i="25"/>
  <c r="K37" i="25"/>
  <c r="C37" i="25"/>
  <c r="R36" i="25"/>
  <c r="P36" i="25"/>
  <c r="L36" i="25"/>
  <c r="K36" i="25"/>
  <c r="D36" i="25"/>
  <c r="C36" i="25"/>
  <c r="B36" i="25"/>
  <c r="R35" i="25"/>
  <c r="P35" i="25"/>
  <c r="O35" i="25"/>
  <c r="L35" i="25"/>
  <c r="K35" i="25"/>
  <c r="F35" i="25"/>
  <c r="D35" i="25"/>
  <c r="C35" i="25"/>
  <c r="B35" i="25"/>
  <c r="R34" i="25"/>
  <c r="P34" i="25"/>
  <c r="O34" i="25"/>
  <c r="L34" i="25"/>
  <c r="K34" i="25"/>
  <c r="J34" i="25"/>
  <c r="F34" i="25"/>
  <c r="D34" i="25"/>
  <c r="C34" i="25"/>
  <c r="B34" i="25"/>
  <c r="R33" i="25"/>
  <c r="P33" i="25"/>
  <c r="O33" i="25"/>
  <c r="L33" i="25"/>
  <c r="K33" i="25"/>
  <c r="J33" i="25"/>
  <c r="F33" i="25"/>
  <c r="D33" i="25"/>
  <c r="C33" i="25"/>
  <c r="B33" i="25"/>
  <c r="R32" i="25"/>
  <c r="P32" i="25"/>
  <c r="O32" i="25"/>
  <c r="L32" i="25"/>
  <c r="K32" i="25"/>
  <c r="J32" i="25"/>
  <c r="F32" i="25"/>
  <c r="D32" i="25"/>
  <c r="C32" i="25"/>
  <c r="B32" i="25"/>
  <c r="R31" i="25"/>
  <c r="P31" i="25"/>
  <c r="O31" i="25"/>
  <c r="L31" i="25"/>
  <c r="K31" i="25"/>
  <c r="J31" i="25"/>
  <c r="H31" i="25"/>
  <c r="G31" i="25"/>
  <c r="F31" i="25"/>
  <c r="D31" i="25"/>
  <c r="C31" i="25"/>
  <c r="B31" i="25"/>
  <c r="R30" i="25"/>
  <c r="P30" i="25"/>
  <c r="O30" i="25"/>
  <c r="L30" i="25"/>
  <c r="K30" i="25"/>
  <c r="J30" i="25"/>
  <c r="H30" i="25"/>
  <c r="G30" i="25"/>
  <c r="F30" i="25"/>
  <c r="D30" i="25"/>
  <c r="C30" i="25"/>
  <c r="B30" i="25"/>
  <c r="R29" i="25"/>
  <c r="P29" i="25"/>
  <c r="O29" i="25"/>
  <c r="L29" i="25"/>
  <c r="K29" i="25"/>
  <c r="J29" i="25"/>
  <c r="I29" i="25"/>
  <c r="H29" i="25"/>
  <c r="G29" i="25"/>
  <c r="F29" i="25"/>
  <c r="D29" i="25"/>
  <c r="C29" i="25"/>
  <c r="B29" i="25"/>
  <c r="R28" i="25"/>
  <c r="P28" i="25"/>
  <c r="O28" i="25"/>
  <c r="L28" i="25"/>
  <c r="K28" i="25"/>
  <c r="J28" i="25"/>
  <c r="I28" i="25"/>
  <c r="H28" i="25"/>
  <c r="G28" i="25"/>
  <c r="F28" i="25"/>
  <c r="D28" i="25"/>
  <c r="C28" i="25"/>
  <c r="B28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C24" i="25"/>
  <c r="B24" i="25"/>
  <c r="R68" i="24"/>
  <c r="R67" i="24"/>
  <c r="R66" i="24"/>
  <c r="R65" i="24"/>
  <c r="R64" i="24"/>
  <c r="R63" i="24"/>
  <c r="R62" i="24"/>
  <c r="R61" i="24"/>
  <c r="R60" i="24"/>
  <c r="R59" i="24"/>
  <c r="R58" i="24"/>
  <c r="R57" i="24"/>
  <c r="R56" i="24"/>
  <c r="R55" i="24"/>
  <c r="R54" i="24"/>
  <c r="R53" i="24"/>
  <c r="R52" i="24"/>
  <c r="R51" i="24"/>
  <c r="R50" i="24"/>
  <c r="K50" i="24"/>
  <c r="R49" i="24"/>
  <c r="K49" i="24"/>
  <c r="R48" i="24"/>
  <c r="K48" i="24"/>
  <c r="R47" i="24"/>
  <c r="K47" i="24"/>
  <c r="R46" i="24"/>
  <c r="K46" i="24"/>
  <c r="R45" i="24"/>
  <c r="K45" i="24"/>
  <c r="R44" i="24"/>
  <c r="L44" i="24"/>
  <c r="K44" i="24"/>
  <c r="R43" i="24"/>
  <c r="L43" i="24"/>
  <c r="K43" i="24"/>
  <c r="R42" i="24"/>
  <c r="L42" i="24"/>
  <c r="K42" i="24"/>
  <c r="R41" i="24"/>
  <c r="L41" i="24"/>
  <c r="K41" i="24"/>
  <c r="R40" i="24"/>
  <c r="O40" i="24"/>
  <c r="L40" i="24"/>
  <c r="K40" i="24"/>
  <c r="C40" i="24"/>
  <c r="R39" i="24"/>
  <c r="O39" i="24"/>
  <c r="L39" i="24"/>
  <c r="K39" i="24"/>
  <c r="C39" i="24"/>
  <c r="R38" i="24"/>
  <c r="O38" i="24"/>
  <c r="L38" i="24"/>
  <c r="K38" i="24"/>
  <c r="C38" i="24"/>
  <c r="R37" i="24"/>
  <c r="P37" i="24"/>
  <c r="O37" i="24"/>
  <c r="L37" i="24"/>
  <c r="K37" i="24"/>
  <c r="C37" i="24"/>
  <c r="R36" i="24"/>
  <c r="P36" i="24"/>
  <c r="L36" i="24"/>
  <c r="K36" i="24"/>
  <c r="D36" i="24"/>
  <c r="C36" i="24"/>
  <c r="B36" i="24"/>
  <c r="R35" i="24"/>
  <c r="P35" i="24"/>
  <c r="O35" i="24"/>
  <c r="L35" i="24"/>
  <c r="K35" i="24"/>
  <c r="F35" i="24"/>
  <c r="D35" i="24"/>
  <c r="C35" i="24"/>
  <c r="B35" i="24"/>
  <c r="R34" i="24"/>
  <c r="P34" i="24"/>
  <c r="O34" i="24"/>
  <c r="L34" i="24"/>
  <c r="K34" i="24"/>
  <c r="J34" i="24"/>
  <c r="F34" i="24"/>
  <c r="D34" i="24"/>
  <c r="C34" i="24"/>
  <c r="B34" i="24"/>
  <c r="R33" i="24"/>
  <c r="P33" i="24"/>
  <c r="O33" i="24"/>
  <c r="L33" i="24"/>
  <c r="K33" i="24"/>
  <c r="J33" i="24"/>
  <c r="F33" i="24"/>
  <c r="D33" i="24"/>
  <c r="C33" i="24"/>
  <c r="B33" i="24"/>
  <c r="R32" i="24"/>
  <c r="P32" i="24"/>
  <c r="O32" i="24"/>
  <c r="L32" i="24"/>
  <c r="K32" i="24"/>
  <c r="J32" i="24"/>
  <c r="F32" i="24"/>
  <c r="D32" i="24"/>
  <c r="C32" i="24"/>
  <c r="B32" i="24"/>
  <c r="R31" i="24"/>
  <c r="P31" i="24"/>
  <c r="O31" i="24"/>
  <c r="L31" i="24"/>
  <c r="K31" i="24"/>
  <c r="J31" i="24"/>
  <c r="H31" i="24"/>
  <c r="G31" i="24"/>
  <c r="F31" i="24"/>
  <c r="D31" i="24"/>
  <c r="C31" i="24"/>
  <c r="B31" i="24"/>
  <c r="R30" i="24"/>
  <c r="P30" i="24"/>
  <c r="O30" i="24"/>
  <c r="L30" i="24"/>
  <c r="K30" i="24"/>
  <c r="J30" i="24"/>
  <c r="H30" i="24"/>
  <c r="G30" i="24"/>
  <c r="F30" i="24"/>
  <c r="D30" i="24"/>
  <c r="C30" i="24"/>
  <c r="B30" i="24"/>
  <c r="R29" i="24"/>
  <c r="P29" i="24"/>
  <c r="O29" i="24"/>
  <c r="L29" i="24"/>
  <c r="K29" i="24"/>
  <c r="J29" i="24"/>
  <c r="I29" i="24"/>
  <c r="H29" i="24"/>
  <c r="G29" i="24"/>
  <c r="F29" i="24"/>
  <c r="D29" i="24"/>
  <c r="C29" i="24"/>
  <c r="B29" i="24"/>
  <c r="R28" i="24"/>
  <c r="P28" i="24"/>
  <c r="O28" i="24"/>
  <c r="L28" i="24"/>
  <c r="K28" i="24"/>
  <c r="J28" i="24"/>
  <c r="I28" i="24"/>
  <c r="H28" i="24"/>
  <c r="G28" i="24"/>
  <c r="F28" i="24"/>
  <c r="D28" i="24"/>
  <c r="C28" i="24"/>
  <c r="B28" i="24"/>
  <c r="Q24" i="24"/>
  <c r="P24" i="24"/>
  <c r="O24" i="24"/>
  <c r="N24" i="24"/>
  <c r="M24" i="24"/>
  <c r="L24" i="24"/>
  <c r="K24" i="24"/>
  <c r="J24" i="24"/>
  <c r="I24" i="24"/>
  <c r="H24" i="24"/>
  <c r="G24" i="24"/>
  <c r="F24" i="24"/>
  <c r="E24" i="24"/>
  <c r="D24" i="24"/>
  <c r="C24" i="24"/>
  <c r="B24" i="24"/>
  <c r="R68" i="23"/>
  <c r="R67" i="23"/>
  <c r="R66" i="23"/>
  <c r="R65" i="23"/>
  <c r="R64" i="23"/>
  <c r="R63" i="23"/>
  <c r="R62" i="23"/>
  <c r="R61" i="23"/>
  <c r="R60" i="23"/>
  <c r="R59" i="23"/>
  <c r="R58" i="23"/>
  <c r="R57" i="23"/>
  <c r="R56" i="23"/>
  <c r="R55" i="23"/>
  <c r="R54" i="23"/>
  <c r="R53" i="23"/>
  <c r="R52" i="23"/>
  <c r="R51" i="23"/>
  <c r="R50" i="23"/>
  <c r="K50" i="23"/>
  <c r="R49" i="23"/>
  <c r="K49" i="23"/>
  <c r="R48" i="23"/>
  <c r="K48" i="23"/>
  <c r="R47" i="23"/>
  <c r="K47" i="23"/>
  <c r="R46" i="23"/>
  <c r="K46" i="23"/>
  <c r="R45" i="23"/>
  <c r="K45" i="23"/>
  <c r="R44" i="23"/>
  <c r="L44" i="23"/>
  <c r="K44" i="23"/>
  <c r="R43" i="23"/>
  <c r="L43" i="23"/>
  <c r="K43" i="23"/>
  <c r="R42" i="23"/>
  <c r="L42" i="23"/>
  <c r="K42" i="23"/>
  <c r="R41" i="23"/>
  <c r="L41" i="23"/>
  <c r="K41" i="23"/>
  <c r="R40" i="23"/>
  <c r="O40" i="23"/>
  <c r="L40" i="23"/>
  <c r="K40" i="23"/>
  <c r="C40" i="23"/>
  <c r="R39" i="23"/>
  <c r="O39" i="23"/>
  <c r="L39" i="23"/>
  <c r="K39" i="23"/>
  <c r="C39" i="23"/>
  <c r="R38" i="23"/>
  <c r="O38" i="23"/>
  <c r="L38" i="23"/>
  <c r="K38" i="23"/>
  <c r="C38" i="23"/>
  <c r="R37" i="23"/>
  <c r="P37" i="23"/>
  <c r="O37" i="23"/>
  <c r="L37" i="23"/>
  <c r="K37" i="23"/>
  <c r="C37" i="23"/>
  <c r="R36" i="23"/>
  <c r="P36" i="23"/>
  <c r="L36" i="23"/>
  <c r="K36" i="23"/>
  <c r="D36" i="23"/>
  <c r="C36" i="23"/>
  <c r="B36" i="23"/>
  <c r="R35" i="23"/>
  <c r="P35" i="23"/>
  <c r="O35" i="23"/>
  <c r="L35" i="23"/>
  <c r="K35" i="23"/>
  <c r="F35" i="23"/>
  <c r="D35" i="23"/>
  <c r="C35" i="23"/>
  <c r="B35" i="23"/>
  <c r="R34" i="23"/>
  <c r="P34" i="23"/>
  <c r="O34" i="23"/>
  <c r="L34" i="23"/>
  <c r="K34" i="23"/>
  <c r="J34" i="23"/>
  <c r="F34" i="23"/>
  <c r="D34" i="23"/>
  <c r="C34" i="23"/>
  <c r="B34" i="23"/>
  <c r="R33" i="23"/>
  <c r="P33" i="23"/>
  <c r="O33" i="23"/>
  <c r="L33" i="23"/>
  <c r="K33" i="23"/>
  <c r="J33" i="23"/>
  <c r="F33" i="23"/>
  <c r="D33" i="23"/>
  <c r="C33" i="23"/>
  <c r="B33" i="23"/>
  <c r="R32" i="23"/>
  <c r="P32" i="23"/>
  <c r="O32" i="23"/>
  <c r="L32" i="23"/>
  <c r="K32" i="23"/>
  <c r="J32" i="23"/>
  <c r="F32" i="23"/>
  <c r="D32" i="23"/>
  <c r="C32" i="23"/>
  <c r="B32" i="23"/>
  <c r="R31" i="23"/>
  <c r="P31" i="23"/>
  <c r="O31" i="23"/>
  <c r="L31" i="23"/>
  <c r="K31" i="23"/>
  <c r="J31" i="23"/>
  <c r="H31" i="23"/>
  <c r="G31" i="23"/>
  <c r="F31" i="23"/>
  <c r="D31" i="23"/>
  <c r="C31" i="23"/>
  <c r="B31" i="23"/>
  <c r="R30" i="23"/>
  <c r="P30" i="23"/>
  <c r="O30" i="23"/>
  <c r="L30" i="23"/>
  <c r="K30" i="23"/>
  <c r="J30" i="23"/>
  <c r="H30" i="23"/>
  <c r="G30" i="23"/>
  <c r="F30" i="23"/>
  <c r="D30" i="23"/>
  <c r="C30" i="23"/>
  <c r="B30" i="23"/>
  <c r="R29" i="23"/>
  <c r="P29" i="23"/>
  <c r="O29" i="23"/>
  <c r="L29" i="23"/>
  <c r="K29" i="23"/>
  <c r="J29" i="23"/>
  <c r="I29" i="23"/>
  <c r="H29" i="23"/>
  <c r="G29" i="23"/>
  <c r="F29" i="23"/>
  <c r="D29" i="23"/>
  <c r="C29" i="23"/>
  <c r="B29" i="23"/>
  <c r="R28" i="23"/>
  <c r="P28" i="23"/>
  <c r="O28" i="23"/>
  <c r="L28" i="23"/>
  <c r="K28" i="23"/>
  <c r="J28" i="23"/>
  <c r="I28" i="23"/>
  <c r="H28" i="23"/>
  <c r="G28" i="23"/>
  <c r="F28" i="23"/>
  <c r="D28" i="23"/>
  <c r="C28" i="23"/>
  <c r="B28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C24" i="23"/>
  <c r="B24" i="23"/>
  <c r="R68" i="22"/>
  <c r="R67" i="22"/>
  <c r="R66" i="22"/>
  <c r="R65" i="22"/>
  <c r="R64" i="22"/>
  <c r="R63" i="22"/>
  <c r="R62" i="22"/>
  <c r="R61" i="22"/>
  <c r="R60" i="22"/>
  <c r="R59" i="22"/>
  <c r="R58" i="22"/>
  <c r="R57" i="22"/>
  <c r="R56" i="22"/>
  <c r="R55" i="22"/>
  <c r="R54" i="22"/>
  <c r="R53" i="22"/>
  <c r="R52" i="22"/>
  <c r="R51" i="22"/>
  <c r="R50" i="22"/>
  <c r="K50" i="22"/>
  <c r="R49" i="22"/>
  <c r="K49" i="22"/>
  <c r="R48" i="22"/>
  <c r="K48" i="22"/>
  <c r="R47" i="22"/>
  <c r="K47" i="22"/>
  <c r="R46" i="22"/>
  <c r="K46" i="22"/>
  <c r="R45" i="22"/>
  <c r="K45" i="22"/>
  <c r="R44" i="22"/>
  <c r="L44" i="22"/>
  <c r="K44" i="22"/>
  <c r="R43" i="22"/>
  <c r="L43" i="22"/>
  <c r="K43" i="22"/>
  <c r="R42" i="22"/>
  <c r="L42" i="22"/>
  <c r="K42" i="22"/>
  <c r="R41" i="22"/>
  <c r="L41" i="22"/>
  <c r="K41" i="22"/>
  <c r="R40" i="22"/>
  <c r="O40" i="22"/>
  <c r="L40" i="22"/>
  <c r="K40" i="22"/>
  <c r="C40" i="22"/>
  <c r="R39" i="22"/>
  <c r="O39" i="22"/>
  <c r="L39" i="22"/>
  <c r="K39" i="22"/>
  <c r="C39" i="22"/>
  <c r="R38" i="22"/>
  <c r="O38" i="22"/>
  <c r="L38" i="22"/>
  <c r="K38" i="22"/>
  <c r="C38" i="22"/>
  <c r="R37" i="22"/>
  <c r="P37" i="22"/>
  <c r="O37" i="22"/>
  <c r="L37" i="22"/>
  <c r="K37" i="22"/>
  <c r="C37" i="22"/>
  <c r="R36" i="22"/>
  <c r="P36" i="22"/>
  <c r="L36" i="22"/>
  <c r="K36" i="22"/>
  <c r="D36" i="22"/>
  <c r="C36" i="22"/>
  <c r="B36" i="22"/>
  <c r="R35" i="22"/>
  <c r="P35" i="22"/>
  <c r="O35" i="22"/>
  <c r="L35" i="22"/>
  <c r="K35" i="22"/>
  <c r="F35" i="22"/>
  <c r="D35" i="22"/>
  <c r="C35" i="22"/>
  <c r="B35" i="22"/>
  <c r="R34" i="22"/>
  <c r="P34" i="22"/>
  <c r="O34" i="22"/>
  <c r="L34" i="22"/>
  <c r="K34" i="22"/>
  <c r="J34" i="22"/>
  <c r="F34" i="22"/>
  <c r="D34" i="22"/>
  <c r="C34" i="22"/>
  <c r="B34" i="22"/>
  <c r="R33" i="22"/>
  <c r="P33" i="22"/>
  <c r="O33" i="22"/>
  <c r="L33" i="22"/>
  <c r="K33" i="22"/>
  <c r="J33" i="22"/>
  <c r="F33" i="22"/>
  <c r="D33" i="22"/>
  <c r="C33" i="22"/>
  <c r="B33" i="22"/>
  <c r="R32" i="22"/>
  <c r="P32" i="22"/>
  <c r="O32" i="22"/>
  <c r="L32" i="22"/>
  <c r="K32" i="22"/>
  <c r="J32" i="22"/>
  <c r="F32" i="22"/>
  <c r="D32" i="22"/>
  <c r="C32" i="22"/>
  <c r="B32" i="22"/>
  <c r="R31" i="22"/>
  <c r="P31" i="22"/>
  <c r="O31" i="22"/>
  <c r="L31" i="22"/>
  <c r="K31" i="22"/>
  <c r="J31" i="22"/>
  <c r="H31" i="22"/>
  <c r="G31" i="22"/>
  <c r="F31" i="22"/>
  <c r="D31" i="22"/>
  <c r="C31" i="22"/>
  <c r="B31" i="22"/>
  <c r="R30" i="22"/>
  <c r="P30" i="22"/>
  <c r="O30" i="22"/>
  <c r="L30" i="22"/>
  <c r="K30" i="22"/>
  <c r="J30" i="22"/>
  <c r="H30" i="22"/>
  <c r="G30" i="22"/>
  <c r="F30" i="22"/>
  <c r="D30" i="22"/>
  <c r="C30" i="22"/>
  <c r="B30" i="22"/>
  <c r="R29" i="22"/>
  <c r="P29" i="22"/>
  <c r="O29" i="22"/>
  <c r="L29" i="22"/>
  <c r="K29" i="22"/>
  <c r="J29" i="22"/>
  <c r="I29" i="22"/>
  <c r="H29" i="22"/>
  <c r="G29" i="22"/>
  <c r="F29" i="22"/>
  <c r="D29" i="22"/>
  <c r="C29" i="22"/>
  <c r="B29" i="22"/>
  <c r="R28" i="22"/>
  <c r="P28" i="22"/>
  <c r="O28" i="22"/>
  <c r="L28" i="22"/>
  <c r="K28" i="22"/>
  <c r="J28" i="22"/>
  <c r="I28" i="22"/>
  <c r="H28" i="22"/>
  <c r="G28" i="22"/>
  <c r="F28" i="22"/>
  <c r="D28" i="22"/>
  <c r="C28" i="22"/>
  <c r="B28" i="22"/>
  <c r="Q24" i="22"/>
  <c r="P24" i="22"/>
  <c r="O24" i="22"/>
  <c r="N24" i="22"/>
  <c r="M24" i="22"/>
  <c r="L24" i="22"/>
  <c r="K24" i="22"/>
  <c r="J24" i="22"/>
  <c r="I24" i="22"/>
  <c r="H24" i="22"/>
  <c r="G24" i="22"/>
  <c r="F24" i="22"/>
  <c r="E24" i="22"/>
  <c r="D24" i="22"/>
  <c r="C24" i="22"/>
  <c r="B24" i="22"/>
  <c r="R68" i="21"/>
  <c r="R67" i="21"/>
  <c r="R66" i="21"/>
  <c r="R65" i="21"/>
  <c r="R64" i="21"/>
  <c r="R63" i="21"/>
  <c r="R62" i="21"/>
  <c r="R61" i="21"/>
  <c r="R60" i="21"/>
  <c r="R59" i="21"/>
  <c r="R58" i="21"/>
  <c r="R57" i="21"/>
  <c r="R56" i="21"/>
  <c r="R55" i="21"/>
  <c r="R54" i="21"/>
  <c r="R53" i="21"/>
  <c r="R52" i="21"/>
  <c r="R51" i="21"/>
  <c r="R50" i="21"/>
  <c r="K50" i="21"/>
  <c r="R49" i="21"/>
  <c r="K49" i="21"/>
  <c r="R48" i="21"/>
  <c r="K48" i="21"/>
  <c r="R47" i="21"/>
  <c r="K47" i="21"/>
  <c r="R46" i="21"/>
  <c r="K46" i="21"/>
  <c r="R45" i="21"/>
  <c r="K45" i="21"/>
  <c r="R44" i="21"/>
  <c r="L44" i="21"/>
  <c r="K44" i="21"/>
  <c r="R43" i="21"/>
  <c r="L43" i="21"/>
  <c r="K43" i="21"/>
  <c r="R42" i="21"/>
  <c r="L42" i="21"/>
  <c r="K42" i="21"/>
  <c r="R41" i="21"/>
  <c r="L41" i="21"/>
  <c r="K41" i="21"/>
  <c r="R40" i="21"/>
  <c r="O40" i="21"/>
  <c r="L40" i="21"/>
  <c r="K40" i="21"/>
  <c r="C40" i="21"/>
  <c r="R39" i="21"/>
  <c r="O39" i="21"/>
  <c r="L39" i="21"/>
  <c r="K39" i="21"/>
  <c r="C39" i="21"/>
  <c r="R38" i="21"/>
  <c r="O38" i="21"/>
  <c r="L38" i="21"/>
  <c r="K38" i="21"/>
  <c r="C38" i="21"/>
  <c r="R37" i="21"/>
  <c r="P37" i="21"/>
  <c r="O37" i="21"/>
  <c r="L37" i="21"/>
  <c r="K37" i="21"/>
  <c r="C37" i="21"/>
  <c r="R36" i="21"/>
  <c r="P36" i="21"/>
  <c r="L36" i="21"/>
  <c r="K36" i="21"/>
  <c r="D36" i="21"/>
  <c r="C36" i="21"/>
  <c r="B36" i="21"/>
  <c r="R35" i="21"/>
  <c r="P35" i="21"/>
  <c r="O35" i="21"/>
  <c r="L35" i="21"/>
  <c r="K35" i="21"/>
  <c r="F35" i="21"/>
  <c r="D35" i="21"/>
  <c r="C35" i="21"/>
  <c r="B35" i="21"/>
  <c r="R34" i="21"/>
  <c r="P34" i="21"/>
  <c r="O34" i="21"/>
  <c r="L34" i="21"/>
  <c r="K34" i="21"/>
  <c r="J34" i="21"/>
  <c r="F34" i="21"/>
  <c r="D34" i="21"/>
  <c r="C34" i="21"/>
  <c r="B34" i="21"/>
  <c r="R33" i="21"/>
  <c r="P33" i="21"/>
  <c r="O33" i="21"/>
  <c r="L33" i="21"/>
  <c r="K33" i="21"/>
  <c r="J33" i="21"/>
  <c r="F33" i="21"/>
  <c r="D33" i="21"/>
  <c r="C33" i="21"/>
  <c r="B33" i="21"/>
  <c r="R32" i="21"/>
  <c r="P32" i="21"/>
  <c r="O32" i="21"/>
  <c r="L32" i="21"/>
  <c r="K32" i="21"/>
  <c r="J32" i="21"/>
  <c r="F32" i="21"/>
  <c r="D32" i="21"/>
  <c r="C32" i="21"/>
  <c r="B32" i="21"/>
  <c r="R31" i="21"/>
  <c r="P31" i="21"/>
  <c r="O31" i="21"/>
  <c r="L31" i="21"/>
  <c r="K31" i="21"/>
  <c r="J31" i="21"/>
  <c r="H31" i="21"/>
  <c r="G31" i="21"/>
  <c r="F31" i="21"/>
  <c r="D31" i="21"/>
  <c r="C31" i="21"/>
  <c r="B31" i="21"/>
  <c r="R30" i="21"/>
  <c r="P30" i="21"/>
  <c r="O30" i="21"/>
  <c r="L30" i="21"/>
  <c r="K30" i="21"/>
  <c r="J30" i="21"/>
  <c r="H30" i="21"/>
  <c r="G30" i="21"/>
  <c r="F30" i="21"/>
  <c r="D30" i="21"/>
  <c r="C30" i="21"/>
  <c r="B30" i="21"/>
  <c r="R29" i="21"/>
  <c r="P29" i="21"/>
  <c r="O29" i="21"/>
  <c r="L29" i="21"/>
  <c r="K29" i="21"/>
  <c r="J29" i="21"/>
  <c r="I29" i="21"/>
  <c r="H29" i="21"/>
  <c r="G29" i="21"/>
  <c r="F29" i="21"/>
  <c r="D29" i="21"/>
  <c r="C29" i="21"/>
  <c r="B29" i="21"/>
  <c r="R28" i="21"/>
  <c r="P28" i="21"/>
  <c r="O28" i="21"/>
  <c r="L28" i="21"/>
  <c r="K28" i="21"/>
  <c r="J28" i="21"/>
  <c r="I28" i="21"/>
  <c r="H28" i="21"/>
  <c r="G28" i="21"/>
  <c r="F28" i="21"/>
  <c r="D28" i="21"/>
  <c r="C28" i="21"/>
  <c r="B28" i="21"/>
  <c r="Q24" i="21"/>
  <c r="P24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C24" i="21"/>
  <c r="B24" i="21"/>
  <c r="R68" i="20"/>
  <c r="R67" i="20"/>
  <c r="R66" i="20"/>
  <c r="R65" i="20"/>
  <c r="R64" i="20"/>
  <c r="R63" i="20"/>
  <c r="R62" i="20"/>
  <c r="R61" i="20"/>
  <c r="R60" i="20"/>
  <c r="R59" i="20"/>
  <c r="R58" i="20"/>
  <c r="R57" i="20"/>
  <c r="R56" i="20"/>
  <c r="R55" i="20"/>
  <c r="R54" i="20"/>
  <c r="R53" i="20"/>
  <c r="R52" i="20"/>
  <c r="R51" i="20"/>
  <c r="R50" i="20"/>
  <c r="K50" i="20"/>
  <c r="R49" i="20"/>
  <c r="K49" i="20"/>
  <c r="R48" i="20"/>
  <c r="K48" i="20"/>
  <c r="R47" i="20"/>
  <c r="K47" i="20"/>
  <c r="R46" i="20"/>
  <c r="K46" i="20"/>
  <c r="R45" i="20"/>
  <c r="K45" i="20"/>
  <c r="R44" i="20"/>
  <c r="L44" i="20"/>
  <c r="K44" i="20"/>
  <c r="R43" i="20"/>
  <c r="L43" i="20"/>
  <c r="K43" i="20"/>
  <c r="R42" i="20"/>
  <c r="L42" i="20"/>
  <c r="K42" i="20"/>
  <c r="R41" i="20"/>
  <c r="L41" i="20"/>
  <c r="K41" i="20"/>
  <c r="R40" i="20"/>
  <c r="O40" i="20"/>
  <c r="L40" i="20"/>
  <c r="K40" i="20"/>
  <c r="C40" i="20"/>
  <c r="R39" i="20"/>
  <c r="O39" i="20"/>
  <c r="L39" i="20"/>
  <c r="K39" i="20"/>
  <c r="C39" i="20"/>
  <c r="R38" i="20"/>
  <c r="O38" i="20"/>
  <c r="L38" i="20"/>
  <c r="K38" i="20"/>
  <c r="C38" i="20"/>
  <c r="R37" i="20"/>
  <c r="P37" i="20"/>
  <c r="O37" i="20"/>
  <c r="L37" i="20"/>
  <c r="K37" i="20"/>
  <c r="C37" i="20"/>
  <c r="R36" i="20"/>
  <c r="P36" i="20"/>
  <c r="L36" i="20"/>
  <c r="K36" i="20"/>
  <c r="D36" i="20"/>
  <c r="C36" i="20"/>
  <c r="B36" i="20"/>
  <c r="R35" i="20"/>
  <c r="P35" i="20"/>
  <c r="O35" i="20"/>
  <c r="L35" i="20"/>
  <c r="K35" i="20"/>
  <c r="F35" i="20"/>
  <c r="D35" i="20"/>
  <c r="C35" i="20"/>
  <c r="B35" i="20"/>
  <c r="R34" i="20"/>
  <c r="P34" i="20"/>
  <c r="O34" i="20"/>
  <c r="L34" i="20"/>
  <c r="K34" i="20"/>
  <c r="J34" i="20"/>
  <c r="F34" i="20"/>
  <c r="D34" i="20"/>
  <c r="C34" i="20"/>
  <c r="B34" i="20"/>
  <c r="R33" i="20"/>
  <c r="P33" i="20"/>
  <c r="O33" i="20"/>
  <c r="L33" i="20"/>
  <c r="K33" i="20"/>
  <c r="J33" i="20"/>
  <c r="F33" i="20"/>
  <c r="D33" i="20"/>
  <c r="C33" i="20"/>
  <c r="B33" i="20"/>
  <c r="R32" i="20"/>
  <c r="P32" i="20"/>
  <c r="O32" i="20"/>
  <c r="L32" i="20"/>
  <c r="K32" i="20"/>
  <c r="J32" i="20"/>
  <c r="F32" i="20"/>
  <c r="D32" i="20"/>
  <c r="C32" i="20"/>
  <c r="B32" i="20"/>
  <c r="R31" i="20"/>
  <c r="P31" i="20"/>
  <c r="O31" i="20"/>
  <c r="L31" i="20"/>
  <c r="K31" i="20"/>
  <c r="J31" i="20"/>
  <c r="H31" i="20"/>
  <c r="G31" i="20"/>
  <c r="F31" i="20"/>
  <c r="D31" i="20"/>
  <c r="C31" i="20"/>
  <c r="B31" i="20"/>
  <c r="R30" i="20"/>
  <c r="P30" i="20"/>
  <c r="O30" i="20"/>
  <c r="L30" i="20"/>
  <c r="K30" i="20"/>
  <c r="J30" i="20"/>
  <c r="H30" i="20"/>
  <c r="G30" i="20"/>
  <c r="F30" i="20"/>
  <c r="D30" i="20"/>
  <c r="C30" i="20"/>
  <c r="B30" i="20"/>
  <c r="R29" i="20"/>
  <c r="P29" i="20"/>
  <c r="O29" i="20"/>
  <c r="L29" i="20"/>
  <c r="K29" i="20"/>
  <c r="J29" i="20"/>
  <c r="I29" i="20"/>
  <c r="H29" i="20"/>
  <c r="G29" i="20"/>
  <c r="F29" i="20"/>
  <c r="D29" i="20"/>
  <c r="C29" i="20"/>
  <c r="B29" i="20"/>
  <c r="R28" i="20"/>
  <c r="P28" i="20"/>
  <c r="O28" i="20"/>
  <c r="L28" i="20"/>
  <c r="K28" i="20"/>
  <c r="J28" i="20"/>
  <c r="I28" i="20"/>
  <c r="H28" i="20"/>
  <c r="G28" i="20"/>
  <c r="F28" i="20"/>
  <c r="D28" i="20"/>
  <c r="C28" i="20"/>
  <c r="B28" i="20"/>
  <c r="Q24" i="20"/>
  <c r="P24" i="20"/>
  <c r="O24" i="20"/>
  <c r="N24" i="20"/>
  <c r="M24" i="20"/>
  <c r="L24" i="20"/>
  <c r="K24" i="20"/>
  <c r="J24" i="20"/>
  <c r="I24" i="20"/>
  <c r="H24" i="20"/>
  <c r="G24" i="20"/>
  <c r="F24" i="20"/>
  <c r="E24" i="20"/>
  <c r="D24" i="20"/>
  <c r="C24" i="20"/>
  <c r="B24" i="20"/>
  <c r="R68" i="19"/>
  <c r="R67" i="19"/>
  <c r="R66" i="19"/>
  <c r="R65" i="19"/>
  <c r="R64" i="19"/>
  <c r="R63" i="19"/>
  <c r="R62" i="19"/>
  <c r="R61" i="19"/>
  <c r="R60" i="19"/>
  <c r="R59" i="19"/>
  <c r="R58" i="19"/>
  <c r="R57" i="19"/>
  <c r="R56" i="19"/>
  <c r="R55" i="19"/>
  <c r="R54" i="19"/>
  <c r="R53" i="19"/>
  <c r="R52" i="19"/>
  <c r="R51" i="19"/>
  <c r="R50" i="19"/>
  <c r="K50" i="19"/>
  <c r="R49" i="19"/>
  <c r="K49" i="19"/>
  <c r="R48" i="19"/>
  <c r="K48" i="19"/>
  <c r="R47" i="19"/>
  <c r="K47" i="19"/>
  <c r="R46" i="19"/>
  <c r="K46" i="19"/>
  <c r="R45" i="19"/>
  <c r="K45" i="19"/>
  <c r="R44" i="19"/>
  <c r="L44" i="19"/>
  <c r="K44" i="19"/>
  <c r="R43" i="19"/>
  <c r="L43" i="19"/>
  <c r="K43" i="19"/>
  <c r="R42" i="19"/>
  <c r="L42" i="19"/>
  <c r="K42" i="19"/>
  <c r="R41" i="19"/>
  <c r="L41" i="19"/>
  <c r="K41" i="19"/>
  <c r="R40" i="19"/>
  <c r="O40" i="19"/>
  <c r="L40" i="19"/>
  <c r="K40" i="19"/>
  <c r="C40" i="19"/>
  <c r="R39" i="19"/>
  <c r="O39" i="19"/>
  <c r="L39" i="19"/>
  <c r="K39" i="19"/>
  <c r="C39" i="19"/>
  <c r="R38" i="19"/>
  <c r="O38" i="19"/>
  <c r="L38" i="19"/>
  <c r="K38" i="19"/>
  <c r="C38" i="19"/>
  <c r="R37" i="19"/>
  <c r="P37" i="19"/>
  <c r="O37" i="19"/>
  <c r="L37" i="19"/>
  <c r="K37" i="19"/>
  <c r="C37" i="19"/>
  <c r="R36" i="19"/>
  <c r="P36" i="19"/>
  <c r="L36" i="19"/>
  <c r="K36" i="19"/>
  <c r="D36" i="19"/>
  <c r="C36" i="19"/>
  <c r="B36" i="19"/>
  <c r="R35" i="19"/>
  <c r="P35" i="19"/>
  <c r="O35" i="19"/>
  <c r="L35" i="19"/>
  <c r="K35" i="19"/>
  <c r="F35" i="19"/>
  <c r="D35" i="19"/>
  <c r="C35" i="19"/>
  <c r="B35" i="19"/>
  <c r="R34" i="19"/>
  <c r="P34" i="19"/>
  <c r="O34" i="19"/>
  <c r="L34" i="19"/>
  <c r="K34" i="19"/>
  <c r="J34" i="19"/>
  <c r="F34" i="19"/>
  <c r="D34" i="19"/>
  <c r="C34" i="19"/>
  <c r="B34" i="19"/>
  <c r="R33" i="19"/>
  <c r="P33" i="19"/>
  <c r="O33" i="19"/>
  <c r="L33" i="19"/>
  <c r="K33" i="19"/>
  <c r="J33" i="19"/>
  <c r="F33" i="19"/>
  <c r="D33" i="19"/>
  <c r="C33" i="19"/>
  <c r="B33" i="19"/>
  <c r="R32" i="19"/>
  <c r="P32" i="19"/>
  <c r="O32" i="19"/>
  <c r="L32" i="19"/>
  <c r="K32" i="19"/>
  <c r="J32" i="19"/>
  <c r="F32" i="19"/>
  <c r="D32" i="19"/>
  <c r="C32" i="19"/>
  <c r="B32" i="19"/>
  <c r="R31" i="19"/>
  <c r="P31" i="19"/>
  <c r="O31" i="19"/>
  <c r="L31" i="19"/>
  <c r="K31" i="19"/>
  <c r="J31" i="19"/>
  <c r="H31" i="19"/>
  <c r="G31" i="19"/>
  <c r="F31" i="19"/>
  <c r="D31" i="19"/>
  <c r="C31" i="19"/>
  <c r="B31" i="19"/>
  <c r="R30" i="19"/>
  <c r="P30" i="19"/>
  <c r="O30" i="19"/>
  <c r="L30" i="19"/>
  <c r="K30" i="19"/>
  <c r="J30" i="19"/>
  <c r="H30" i="19"/>
  <c r="G30" i="19"/>
  <c r="F30" i="19"/>
  <c r="D30" i="19"/>
  <c r="C30" i="19"/>
  <c r="B30" i="19"/>
  <c r="R29" i="19"/>
  <c r="P29" i="19"/>
  <c r="O29" i="19"/>
  <c r="L29" i="19"/>
  <c r="K29" i="19"/>
  <c r="J29" i="19"/>
  <c r="I29" i="19"/>
  <c r="H29" i="19"/>
  <c r="G29" i="19"/>
  <c r="F29" i="19"/>
  <c r="D29" i="19"/>
  <c r="C29" i="19"/>
  <c r="B29" i="19"/>
  <c r="R28" i="19"/>
  <c r="P28" i="19"/>
  <c r="O28" i="19"/>
  <c r="L28" i="19"/>
  <c r="K28" i="19"/>
  <c r="J28" i="19"/>
  <c r="I28" i="19"/>
  <c r="H28" i="19"/>
  <c r="G28" i="19"/>
  <c r="F28" i="19"/>
  <c r="D28" i="19"/>
  <c r="C28" i="19"/>
  <c r="B28" i="19"/>
  <c r="Q24" i="19"/>
  <c r="P24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C24" i="19"/>
  <c r="B24" i="19"/>
  <c r="R68" i="18"/>
  <c r="R67" i="18"/>
  <c r="R66" i="18"/>
  <c r="R65" i="18"/>
  <c r="R64" i="18"/>
  <c r="R63" i="18"/>
  <c r="R62" i="18"/>
  <c r="R61" i="18"/>
  <c r="R60" i="18"/>
  <c r="R59" i="18"/>
  <c r="R58" i="18"/>
  <c r="R57" i="18"/>
  <c r="R56" i="18"/>
  <c r="R55" i="18"/>
  <c r="R54" i="18"/>
  <c r="R53" i="18"/>
  <c r="R52" i="18"/>
  <c r="R51" i="18"/>
  <c r="R50" i="18"/>
  <c r="K50" i="18"/>
  <c r="R49" i="18"/>
  <c r="K49" i="18"/>
  <c r="R48" i="18"/>
  <c r="K48" i="18"/>
  <c r="R47" i="18"/>
  <c r="K47" i="18"/>
  <c r="R46" i="18"/>
  <c r="K46" i="18"/>
  <c r="R45" i="18"/>
  <c r="K45" i="18"/>
  <c r="R44" i="18"/>
  <c r="L44" i="18"/>
  <c r="K44" i="18"/>
  <c r="R43" i="18"/>
  <c r="L43" i="18"/>
  <c r="K43" i="18"/>
  <c r="R42" i="18"/>
  <c r="L42" i="18"/>
  <c r="K42" i="18"/>
  <c r="R41" i="18"/>
  <c r="L41" i="18"/>
  <c r="K41" i="18"/>
  <c r="R40" i="18"/>
  <c r="O40" i="18"/>
  <c r="L40" i="18"/>
  <c r="K40" i="18"/>
  <c r="C40" i="18"/>
  <c r="R39" i="18"/>
  <c r="O39" i="18"/>
  <c r="L39" i="18"/>
  <c r="K39" i="18"/>
  <c r="C39" i="18"/>
  <c r="R38" i="18"/>
  <c r="O38" i="18"/>
  <c r="L38" i="18"/>
  <c r="K38" i="18"/>
  <c r="C38" i="18"/>
  <c r="R37" i="18"/>
  <c r="P37" i="18"/>
  <c r="O37" i="18"/>
  <c r="L37" i="18"/>
  <c r="K37" i="18"/>
  <c r="C37" i="18"/>
  <c r="R36" i="18"/>
  <c r="P36" i="18"/>
  <c r="L36" i="18"/>
  <c r="K36" i="18"/>
  <c r="D36" i="18"/>
  <c r="C36" i="18"/>
  <c r="B36" i="18"/>
  <c r="R35" i="18"/>
  <c r="P35" i="18"/>
  <c r="O35" i="18"/>
  <c r="L35" i="18"/>
  <c r="K35" i="18"/>
  <c r="F35" i="18"/>
  <c r="D35" i="18"/>
  <c r="C35" i="18"/>
  <c r="B35" i="18"/>
  <c r="R34" i="18"/>
  <c r="P34" i="18"/>
  <c r="O34" i="18"/>
  <c r="L34" i="18"/>
  <c r="K34" i="18"/>
  <c r="J34" i="18"/>
  <c r="F34" i="18"/>
  <c r="D34" i="18"/>
  <c r="C34" i="18"/>
  <c r="B34" i="18"/>
  <c r="R33" i="18"/>
  <c r="P33" i="18"/>
  <c r="O33" i="18"/>
  <c r="L33" i="18"/>
  <c r="K33" i="18"/>
  <c r="J33" i="18"/>
  <c r="F33" i="18"/>
  <c r="D33" i="18"/>
  <c r="C33" i="18"/>
  <c r="B33" i="18"/>
  <c r="R32" i="18"/>
  <c r="P32" i="18"/>
  <c r="O32" i="18"/>
  <c r="L32" i="18"/>
  <c r="K32" i="18"/>
  <c r="J32" i="18"/>
  <c r="F32" i="18"/>
  <c r="D32" i="18"/>
  <c r="C32" i="18"/>
  <c r="B32" i="18"/>
  <c r="R31" i="18"/>
  <c r="P31" i="18"/>
  <c r="O31" i="18"/>
  <c r="L31" i="18"/>
  <c r="K31" i="18"/>
  <c r="J31" i="18"/>
  <c r="H31" i="18"/>
  <c r="G31" i="18"/>
  <c r="F31" i="18"/>
  <c r="D31" i="18"/>
  <c r="C31" i="18"/>
  <c r="B31" i="18"/>
  <c r="R30" i="18"/>
  <c r="P30" i="18"/>
  <c r="O30" i="18"/>
  <c r="L30" i="18"/>
  <c r="K30" i="18"/>
  <c r="J30" i="18"/>
  <c r="H30" i="18"/>
  <c r="G30" i="18"/>
  <c r="F30" i="18"/>
  <c r="D30" i="18"/>
  <c r="C30" i="18"/>
  <c r="B30" i="18"/>
  <c r="R29" i="18"/>
  <c r="P29" i="18"/>
  <c r="O29" i="18"/>
  <c r="L29" i="18"/>
  <c r="K29" i="18"/>
  <c r="J29" i="18"/>
  <c r="I29" i="18"/>
  <c r="H29" i="18"/>
  <c r="G29" i="18"/>
  <c r="F29" i="18"/>
  <c r="D29" i="18"/>
  <c r="C29" i="18"/>
  <c r="B29" i="18"/>
  <c r="R28" i="18"/>
  <c r="P28" i="18"/>
  <c r="O28" i="18"/>
  <c r="L28" i="18"/>
  <c r="K28" i="18"/>
  <c r="J28" i="18"/>
  <c r="I28" i="18"/>
  <c r="H28" i="18"/>
  <c r="G28" i="18"/>
  <c r="F28" i="18"/>
  <c r="D28" i="18"/>
  <c r="C28" i="18"/>
  <c r="B28" i="18"/>
  <c r="Q24" i="18"/>
  <c r="P24" i="18"/>
  <c r="O24" i="18"/>
  <c r="N24" i="18"/>
  <c r="M24" i="18"/>
  <c r="L24" i="18"/>
  <c r="K24" i="18"/>
  <c r="J24" i="18"/>
  <c r="I24" i="18"/>
  <c r="H24" i="18"/>
  <c r="G24" i="18"/>
  <c r="F24" i="18"/>
  <c r="E24" i="18"/>
  <c r="D24" i="18"/>
  <c r="C24" i="18"/>
  <c r="B24" i="18"/>
  <c r="R68" i="17"/>
  <c r="R67" i="17"/>
  <c r="R66" i="17"/>
  <c r="R65" i="17"/>
  <c r="R64" i="17"/>
  <c r="R63" i="17"/>
  <c r="R62" i="17"/>
  <c r="R61" i="17"/>
  <c r="R60" i="17"/>
  <c r="R59" i="17"/>
  <c r="R58" i="17"/>
  <c r="R57" i="17"/>
  <c r="R56" i="17"/>
  <c r="R55" i="17"/>
  <c r="R54" i="17"/>
  <c r="R53" i="17"/>
  <c r="R52" i="17"/>
  <c r="R51" i="17"/>
  <c r="R50" i="17"/>
  <c r="K50" i="17"/>
  <c r="R49" i="17"/>
  <c r="K49" i="17"/>
  <c r="R48" i="17"/>
  <c r="K48" i="17"/>
  <c r="R47" i="17"/>
  <c r="K47" i="17"/>
  <c r="R46" i="17"/>
  <c r="K46" i="17"/>
  <c r="R45" i="17"/>
  <c r="K45" i="17"/>
  <c r="R44" i="17"/>
  <c r="L44" i="17"/>
  <c r="K44" i="17"/>
  <c r="R43" i="17"/>
  <c r="L43" i="17"/>
  <c r="K43" i="17"/>
  <c r="R42" i="17"/>
  <c r="L42" i="17"/>
  <c r="K42" i="17"/>
  <c r="R41" i="17"/>
  <c r="L41" i="17"/>
  <c r="K41" i="17"/>
  <c r="R40" i="17"/>
  <c r="O40" i="17"/>
  <c r="L40" i="17"/>
  <c r="K40" i="17"/>
  <c r="C40" i="17"/>
  <c r="R39" i="17"/>
  <c r="O39" i="17"/>
  <c r="L39" i="17"/>
  <c r="K39" i="17"/>
  <c r="C39" i="17"/>
  <c r="R38" i="17"/>
  <c r="O38" i="17"/>
  <c r="L38" i="17"/>
  <c r="K38" i="17"/>
  <c r="C38" i="17"/>
  <c r="R37" i="17"/>
  <c r="P37" i="17"/>
  <c r="O37" i="17"/>
  <c r="L37" i="17"/>
  <c r="K37" i="17"/>
  <c r="C37" i="17"/>
  <c r="R36" i="17"/>
  <c r="P36" i="17"/>
  <c r="L36" i="17"/>
  <c r="K36" i="17"/>
  <c r="D36" i="17"/>
  <c r="C36" i="17"/>
  <c r="B36" i="17"/>
  <c r="R35" i="17"/>
  <c r="P35" i="17"/>
  <c r="O35" i="17"/>
  <c r="L35" i="17"/>
  <c r="K35" i="17"/>
  <c r="F35" i="17"/>
  <c r="D35" i="17"/>
  <c r="C35" i="17"/>
  <c r="B35" i="17"/>
  <c r="R34" i="17"/>
  <c r="P34" i="17"/>
  <c r="O34" i="17"/>
  <c r="L34" i="17"/>
  <c r="K34" i="17"/>
  <c r="J34" i="17"/>
  <c r="F34" i="17"/>
  <c r="D34" i="17"/>
  <c r="C34" i="17"/>
  <c r="B34" i="17"/>
  <c r="R33" i="17"/>
  <c r="P33" i="17"/>
  <c r="O33" i="17"/>
  <c r="L33" i="17"/>
  <c r="K33" i="17"/>
  <c r="J33" i="17"/>
  <c r="F33" i="17"/>
  <c r="D33" i="17"/>
  <c r="C33" i="17"/>
  <c r="B33" i="17"/>
  <c r="R32" i="17"/>
  <c r="P32" i="17"/>
  <c r="O32" i="17"/>
  <c r="L32" i="17"/>
  <c r="K32" i="17"/>
  <c r="J32" i="17"/>
  <c r="F32" i="17"/>
  <c r="D32" i="17"/>
  <c r="C32" i="17"/>
  <c r="B32" i="17"/>
  <c r="R31" i="17"/>
  <c r="P31" i="17"/>
  <c r="O31" i="17"/>
  <c r="L31" i="17"/>
  <c r="K31" i="17"/>
  <c r="J31" i="17"/>
  <c r="H31" i="17"/>
  <c r="G31" i="17"/>
  <c r="F31" i="17"/>
  <c r="D31" i="17"/>
  <c r="C31" i="17"/>
  <c r="B31" i="17"/>
  <c r="R30" i="17"/>
  <c r="P30" i="17"/>
  <c r="O30" i="17"/>
  <c r="L30" i="17"/>
  <c r="K30" i="17"/>
  <c r="J30" i="17"/>
  <c r="H30" i="17"/>
  <c r="G30" i="17"/>
  <c r="F30" i="17"/>
  <c r="D30" i="17"/>
  <c r="C30" i="17"/>
  <c r="B30" i="17"/>
  <c r="R29" i="17"/>
  <c r="P29" i="17"/>
  <c r="O29" i="17"/>
  <c r="L29" i="17"/>
  <c r="K29" i="17"/>
  <c r="J29" i="17"/>
  <c r="I29" i="17"/>
  <c r="H29" i="17"/>
  <c r="G29" i="17"/>
  <c r="F29" i="17"/>
  <c r="D29" i="17"/>
  <c r="C29" i="17"/>
  <c r="B29" i="17"/>
  <c r="R28" i="17"/>
  <c r="P28" i="17"/>
  <c r="O28" i="17"/>
  <c r="L28" i="17"/>
  <c r="K28" i="17"/>
  <c r="J28" i="17"/>
  <c r="I28" i="17"/>
  <c r="H28" i="17"/>
  <c r="G28" i="17"/>
  <c r="F28" i="17"/>
  <c r="D28" i="17"/>
  <c r="C28" i="17"/>
  <c r="B28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C24" i="17"/>
  <c r="B24" i="17"/>
  <c r="R68" i="16"/>
  <c r="R67" i="16"/>
  <c r="R66" i="16"/>
  <c r="R65" i="16"/>
  <c r="R64" i="16"/>
  <c r="R63" i="16"/>
  <c r="R62" i="16"/>
  <c r="R61" i="16"/>
  <c r="R60" i="16"/>
  <c r="R59" i="16"/>
  <c r="R58" i="16"/>
  <c r="R57" i="16"/>
  <c r="R56" i="16"/>
  <c r="R55" i="16"/>
  <c r="R54" i="16"/>
  <c r="R53" i="16"/>
  <c r="R52" i="16"/>
  <c r="R51" i="16"/>
  <c r="R50" i="16"/>
  <c r="K50" i="16"/>
  <c r="R49" i="16"/>
  <c r="K49" i="16"/>
  <c r="R48" i="16"/>
  <c r="K48" i="16"/>
  <c r="R47" i="16"/>
  <c r="K47" i="16"/>
  <c r="R46" i="16"/>
  <c r="K46" i="16"/>
  <c r="R45" i="16"/>
  <c r="K45" i="16"/>
  <c r="R44" i="16"/>
  <c r="L44" i="16"/>
  <c r="K44" i="16"/>
  <c r="R43" i="16"/>
  <c r="L43" i="16"/>
  <c r="K43" i="16"/>
  <c r="R42" i="16"/>
  <c r="L42" i="16"/>
  <c r="K42" i="16"/>
  <c r="R41" i="16"/>
  <c r="L41" i="16"/>
  <c r="K41" i="16"/>
  <c r="R40" i="16"/>
  <c r="O40" i="16"/>
  <c r="L40" i="16"/>
  <c r="K40" i="16"/>
  <c r="C40" i="16"/>
  <c r="R39" i="16"/>
  <c r="O39" i="16"/>
  <c r="L39" i="16"/>
  <c r="K39" i="16"/>
  <c r="C39" i="16"/>
  <c r="R38" i="16"/>
  <c r="O38" i="16"/>
  <c r="L38" i="16"/>
  <c r="K38" i="16"/>
  <c r="C38" i="16"/>
  <c r="R37" i="16"/>
  <c r="P37" i="16"/>
  <c r="O37" i="16"/>
  <c r="L37" i="16"/>
  <c r="K37" i="16"/>
  <c r="C37" i="16"/>
  <c r="R36" i="16"/>
  <c r="P36" i="16"/>
  <c r="L36" i="16"/>
  <c r="K36" i="16"/>
  <c r="D36" i="16"/>
  <c r="C36" i="16"/>
  <c r="B36" i="16"/>
  <c r="R35" i="16"/>
  <c r="P35" i="16"/>
  <c r="O35" i="16"/>
  <c r="L35" i="16"/>
  <c r="K35" i="16"/>
  <c r="F35" i="16"/>
  <c r="D35" i="16"/>
  <c r="C35" i="16"/>
  <c r="B35" i="16"/>
  <c r="R34" i="16"/>
  <c r="P34" i="16"/>
  <c r="O34" i="16"/>
  <c r="L34" i="16"/>
  <c r="K34" i="16"/>
  <c r="J34" i="16"/>
  <c r="F34" i="16"/>
  <c r="D34" i="16"/>
  <c r="C34" i="16"/>
  <c r="B34" i="16"/>
  <c r="R33" i="16"/>
  <c r="P33" i="16"/>
  <c r="O33" i="16"/>
  <c r="L33" i="16"/>
  <c r="K33" i="16"/>
  <c r="J33" i="16"/>
  <c r="F33" i="16"/>
  <c r="D33" i="16"/>
  <c r="C33" i="16"/>
  <c r="B33" i="16"/>
  <c r="R32" i="16"/>
  <c r="P32" i="16"/>
  <c r="O32" i="16"/>
  <c r="L32" i="16"/>
  <c r="K32" i="16"/>
  <c r="J32" i="16"/>
  <c r="F32" i="16"/>
  <c r="D32" i="16"/>
  <c r="C32" i="16"/>
  <c r="B32" i="16"/>
  <c r="R31" i="16"/>
  <c r="P31" i="16"/>
  <c r="O31" i="16"/>
  <c r="L31" i="16"/>
  <c r="K31" i="16"/>
  <c r="J31" i="16"/>
  <c r="H31" i="16"/>
  <c r="G31" i="16"/>
  <c r="F31" i="16"/>
  <c r="D31" i="16"/>
  <c r="C31" i="16"/>
  <c r="B31" i="16"/>
  <c r="R30" i="16"/>
  <c r="P30" i="16"/>
  <c r="O30" i="16"/>
  <c r="L30" i="16"/>
  <c r="K30" i="16"/>
  <c r="J30" i="16"/>
  <c r="H30" i="16"/>
  <c r="G30" i="16"/>
  <c r="F30" i="16"/>
  <c r="D30" i="16"/>
  <c r="C30" i="16"/>
  <c r="B30" i="16"/>
  <c r="R29" i="16"/>
  <c r="P29" i="16"/>
  <c r="O29" i="16"/>
  <c r="L29" i="16"/>
  <c r="K29" i="16"/>
  <c r="J29" i="16"/>
  <c r="I29" i="16"/>
  <c r="H29" i="16"/>
  <c r="G29" i="16"/>
  <c r="F29" i="16"/>
  <c r="D29" i="16"/>
  <c r="C29" i="16"/>
  <c r="B29" i="16"/>
  <c r="R28" i="16"/>
  <c r="P28" i="16"/>
  <c r="O28" i="16"/>
  <c r="L28" i="16"/>
  <c r="K28" i="16"/>
  <c r="J28" i="16"/>
  <c r="I28" i="16"/>
  <c r="H28" i="16"/>
  <c r="G28" i="16"/>
  <c r="F28" i="16"/>
  <c r="D28" i="16"/>
  <c r="C28" i="16"/>
  <c r="B28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R68" i="15"/>
  <c r="R67" i="15"/>
  <c r="R66" i="15"/>
  <c r="R65" i="15"/>
  <c r="R64" i="15"/>
  <c r="R63" i="15"/>
  <c r="R62" i="15"/>
  <c r="R61" i="15"/>
  <c r="R60" i="15"/>
  <c r="R59" i="15"/>
  <c r="R58" i="15"/>
  <c r="R57" i="15"/>
  <c r="R56" i="15"/>
  <c r="R55" i="15"/>
  <c r="R54" i="15"/>
  <c r="R53" i="15"/>
  <c r="R52" i="15"/>
  <c r="R51" i="15"/>
  <c r="R50" i="15"/>
  <c r="K50" i="15"/>
  <c r="R49" i="15"/>
  <c r="K49" i="15"/>
  <c r="R48" i="15"/>
  <c r="K48" i="15"/>
  <c r="R47" i="15"/>
  <c r="K47" i="15"/>
  <c r="R46" i="15"/>
  <c r="K46" i="15"/>
  <c r="R45" i="15"/>
  <c r="K45" i="15"/>
  <c r="R44" i="15"/>
  <c r="L44" i="15"/>
  <c r="K44" i="15"/>
  <c r="R43" i="15"/>
  <c r="L43" i="15"/>
  <c r="K43" i="15"/>
  <c r="R42" i="15"/>
  <c r="L42" i="15"/>
  <c r="K42" i="15"/>
  <c r="R41" i="15"/>
  <c r="L41" i="15"/>
  <c r="K41" i="15"/>
  <c r="R40" i="15"/>
  <c r="O40" i="15"/>
  <c r="L40" i="15"/>
  <c r="K40" i="15"/>
  <c r="C40" i="15"/>
  <c r="R39" i="15"/>
  <c r="O39" i="15"/>
  <c r="L39" i="15"/>
  <c r="K39" i="15"/>
  <c r="C39" i="15"/>
  <c r="R38" i="15"/>
  <c r="O38" i="15"/>
  <c r="L38" i="15"/>
  <c r="K38" i="15"/>
  <c r="C38" i="15"/>
  <c r="R37" i="15"/>
  <c r="P37" i="15"/>
  <c r="O37" i="15"/>
  <c r="L37" i="15"/>
  <c r="K37" i="15"/>
  <c r="C37" i="15"/>
  <c r="R36" i="15"/>
  <c r="P36" i="15"/>
  <c r="L36" i="15"/>
  <c r="K36" i="15"/>
  <c r="D36" i="15"/>
  <c r="C36" i="15"/>
  <c r="B36" i="15"/>
  <c r="R35" i="15"/>
  <c r="P35" i="15"/>
  <c r="O35" i="15"/>
  <c r="L35" i="15"/>
  <c r="K35" i="15"/>
  <c r="F35" i="15"/>
  <c r="D35" i="15"/>
  <c r="C35" i="15"/>
  <c r="B35" i="15"/>
  <c r="R34" i="15"/>
  <c r="P34" i="15"/>
  <c r="O34" i="15"/>
  <c r="L34" i="15"/>
  <c r="K34" i="15"/>
  <c r="J34" i="15"/>
  <c r="F34" i="15"/>
  <c r="D34" i="15"/>
  <c r="C34" i="15"/>
  <c r="B34" i="15"/>
  <c r="R33" i="15"/>
  <c r="P33" i="15"/>
  <c r="O33" i="15"/>
  <c r="L33" i="15"/>
  <c r="K33" i="15"/>
  <c r="J33" i="15"/>
  <c r="F33" i="15"/>
  <c r="D33" i="15"/>
  <c r="C33" i="15"/>
  <c r="B33" i="15"/>
  <c r="R32" i="15"/>
  <c r="P32" i="15"/>
  <c r="O32" i="15"/>
  <c r="L32" i="15"/>
  <c r="K32" i="15"/>
  <c r="J32" i="15"/>
  <c r="F32" i="15"/>
  <c r="D32" i="15"/>
  <c r="C32" i="15"/>
  <c r="B32" i="15"/>
  <c r="R31" i="15"/>
  <c r="P31" i="15"/>
  <c r="O31" i="15"/>
  <c r="L31" i="15"/>
  <c r="K31" i="15"/>
  <c r="J31" i="15"/>
  <c r="H31" i="15"/>
  <c r="G31" i="15"/>
  <c r="F31" i="15"/>
  <c r="D31" i="15"/>
  <c r="C31" i="15"/>
  <c r="B31" i="15"/>
  <c r="R30" i="15"/>
  <c r="P30" i="15"/>
  <c r="O30" i="15"/>
  <c r="L30" i="15"/>
  <c r="K30" i="15"/>
  <c r="J30" i="15"/>
  <c r="H30" i="15"/>
  <c r="G30" i="15"/>
  <c r="F30" i="15"/>
  <c r="D30" i="15"/>
  <c r="C30" i="15"/>
  <c r="B30" i="15"/>
  <c r="R29" i="15"/>
  <c r="P29" i="15"/>
  <c r="O29" i="15"/>
  <c r="L29" i="15"/>
  <c r="K29" i="15"/>
  <c r="J29" i="15"/>
  <c r="I29" i="15"/>
  <c r="H29" i="15"/>
  <c r="G29" i="15"/>
  <c r="F29" i="15"/>
  <c r="D29" i="15"/>
  <c r="C29" i="15"/>
  <c r="B29" i="15"/>
  <c r="R28" i="15"/>
  <c r="P28" i="15"/>
  <c r="O28" i="15"/>
  <c r="L28" i="15"/>
  <c r="K28" i="15"/>
  <c r="J28" i="15"/>
  <c r="I28" i="15"/>
  <c r="H28" i="15"/>
  <c r="G28" i="15"/>
  <c r="F28" i="15"/>
  <c r="D28" i="15"/>
  <c r="C28" i="15"/>
  <c r="B28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R68" i="14"/>
  <c r="R67" i="14"/>
  <c r="R66" i="14"/>
  <c r="R65" i="14"/>
  <c r="R64" i="14"/>
  <c r="R63" i="14"/>
  <c r="R62" i="14"/>
  <c r="R61" i="14"/>
  <c r="R60" i="14"/>
  <c r="R59" i="14"/>
  <c r="R58" i="14"/>
  <c r="R57" i="14"/>
  <c r="R56" i="14"/>
  <c r="R55" i="14"/>
  <c r="R54" i="14"/>
  <c r="R53" i="14"/>
  <c r="R52" i="14"/>
  <c r="R51" i="14"/>
  <c r="R50" i="14"/>
  <c r="K50" i="14"/>
  <c r="R49" i="14"/>
  <c r="K49" i="14"/>
  <c r="R48" i="14"/>
  <c r="K48" i="14"/>
  <c r="R47" i="14"/>
  <c r="K47" i="14"/>
  <c r="R46" i="14"/>
  <c r="K46" i="14"/>
  <c r="R45" i="14"/>
  <c r="K45" i="14"/>
  <c r="R44" i="14"/>
  <c r="L44" i="14"/>
  <c r="K44" i="14"/>
  <c r="R43" i="14"/>
  <c r="L43" i="14"/>
  <c r="K43" i="14"/>
  <c r="R42" i="14"/>
  <c r="L42" i="14"/>
  <c r="K42" i="14"/>
  <c r="R41" i="14"/>
  <c r="L41" i="14"/>
  <c r="K41" i="14"/>
  <c r="R40" i="14"/>
  <c r="O40" i="14"/>
  <c r="L40" i="14"/>
  <c r="K40" i="14"/>
  <c r="C40" i="14"/>
  <c r="R39" i="14"/>
  <c r="O39" i="14"/>
  <c r="L39" i="14"/>
  <c r="K39" i="14"/>
  <c r="C39" i="14"/>
  <c r="R38" i="14"/>
  <c r="O38" i="14"/>
  <c r="L38" i="14"/>
  <c r="K38" i="14"/>
  <c r="C38" i="14"/>
  <c r="R37" i="14"/>
  <c r="P37" i="14"/>
  <c r="O37" i="14"/>
  <c r="L37" i="14"/>
  <c r="K37" i="14"/>
  <c r="C37" i="14"/>
  <c r="R36" i="14"/>
  <c r="P36" i="14"/>
  <c r="L36" i="14"/>
  <c r="K36" i="14"/>
  <c r="D36" i="14"/>
  <c r="C36" i="14"/>
  <c r="B36" i="14"/>
  <c r="R35" i="14"/>
  <c r="P35" i="14"/>
  <c r="O35" i="14"/>
  <c r="L35" i="14"/>
  <c r="K35" i="14"/>
  <c r="F35" i="14"/>
  <c r="D35" i="14"/>
  <c r="C35" i="14"/>
  <c r="B35" i="14"/>
  <c r="R34" i="14"/>
  <c r="P34" i="14"/>
  <c r="O34" i="14"/>
  <c r="L34" i="14"/>
  <c r="K34" i="14"/>
  <c r="J34" i="14"/>
  <c r="F34" i="14"/>
  <c r="D34" i="14"/>
  <c r="C34" i="14"/>
  <c r="B34" i="14"/>
  <c r="R33" i="14"/>
  <c r="P33" i="14"/>
  <c r="O33" i="14"/>
  <c r="L33" i="14"/>
  <c r="K33" i="14"/>
  <c r="J33" i="14"/>
  <c r="F33" i="14"/>
  <c r="D33" i="14"/>
  <c r="C33" i="14"/>
  <c r="B33" i="14"/>
  <c r="R32" i="14"/>
  <c r="P32" i="14"/>
  <c r="O32" i="14"/>
  <c r="L32" i="14"/>
  <c r="K32" i="14"/>
  <c r="J32" i="14"/>
  <c r="F32" i="14"/>
  <c r="D32" i="14"/>
  <c r="C32" i="14"/>
  <c r="B32" i="14"/>
  <c r="R31" i="14"/>
  <c r="P31" i="14"/>
  <c r="O31" i="14"/>
  <c r="L31" i="14"/>
  <c r="K31" i="14"/>
  <c r="J31" i="14"/>
  <c r="H31" i="14"/>
  <c r="G31" i="14"/>
  <c r="F31" i="14"/>
  <c r="D31" i="14"/>
  <c r="C31" i="14"/>
  <c r="B31" i="14"/>
  <c r="R30" i="14"/>
  <c r="P30" i="14"/>
  <c r="O30" i="14"/>
  <c r="L30" i="14"/>
  <c r="K30" i="14"/>
  <c r="J30" i="14"/>
  <c r="H30" i="14"/>
  <c r="G30" i="14"/>
  <c r="F30" i="14"/>
  <c r="D30" i="14"/>
  <c r="C30" i="14"/>
  <c r="B30" i="14"/>
  <c r="R29" i="14"/>
  <c r="P29" i="14"/>
  <c r="O29" i="14"/>
  <c r="L29" i="14"/>
  <c r="K29" i="14"/>
  <c r="J29" i="14"/>
  <c r="I29" i="14"/>
  <c r="H29" i="14"/>
  <c r="G29" i="14"/>
  <c r="F29" i="14"/>
  <c r="D29" i="14"/>
  <c r="C29" i="14"/>
  <c r="B29" i="14"/>
  <c r="R28" i="14"/>
  <c r="P28" i="14"/>
  <c r="O28" i="14"/>
  <c r="L28" i="14"/>
  <c r="K28" i="14"/>
  <c r="J28" i="14"/>
  <c r="I28" i="14"/>
  <c r="H28" i="14"/>
  <c r="G28" i="14"/>
  <c r="F28" i="14"/>
  <c r="D28" i="14"/>
  <c r="C28" i="14"/>
  <c r="B28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R68" i="13"/>
  <c r="R67" i="13"/>
  <c r="R66" i="13"/>
  <c r="R65" i="13"/>
  <c r="R64" i="13"/>
  <c r="R63" i="13"/>
  <c r="R62" i="13"/>
  <c r="R61" i="13"/>
  <c r="R60" i="13"/>
  <c r="R59" i="13"/>
  <c r="R58" i="13"/>
  <c r="R57" i="13"/>
  <c r="R56" i="13"/>
  <c r="R55" i="13"/>
  <c r="R54" i="13"/>
  <c r="R53" i="13"/>
  <c r="R52" i="13"/>
  <c r="R51" i="13"/>
  <c r="R50" i="13"/>
  <c r="K50" i="13"/>
  <c r="R49" i="13"/>
  <c r="K49" i="13"/>
  <c r="R48" i="13"/>
  <c r="K48" i="13"/>
  <c r="R47" i="13"/>
  <c r="K47" i="13"/>
  <c r="R46" i="13"/>
  <c r="K46" i="13"/>
  <c r="R45" i="13"/>
  <c r="K45" i="13"/>
  <c r="R44" i="13"/>
  <c r="L44" i="13"/>
  <c r="K44" i="13"/>
  <c r="R43" i="13"/>
  <c r="L43" i="13"/>
  <c r="K43" i="13"/>
  <c r="R42" i="13"/>
  <c r="L42" i="13"/>
  <c r="K42" i="13"/>
  <c r="R41" i="13"/>
  <c r="L41" i="13"/>
  <c r="K41" i="13"/>
  <c r="R40" i="13"/>
  <c r="O40" i="13"/>
  <c r="L40" i="13"/>
  <c r="K40" i="13"/>
  <c r="C40" i="13"/>
  <c r="R39" i="13"/>
  <c r="O39" i="13"/>
  <c r="L39" i="13"/>
  <c r="K39" i="13"/>
  <c r="C39" i="13"/>
  <c r="R38" i="13"/>
  <c r="O38" i="13"/>
  <c r="L38" i="13"/>
  <c r="K38" i="13"/>
  <c r="C38" i="13"/>
  <c r="R37" i="13"/>
  <c r="P37" i="13"/>
  <c r="O37" i="13"/>
  <c r="L37" i="13"/>
  <c r="K37" i="13"/>
  <c r="C37" i="13"/>
  <c r="R36" i="13"/>
  <c r="P36" i="13"/>
  <c r="L36" i="13"/>
  <c r="K36" i="13"/>
  <c r="D36" i="13"/>
  <c r="C36" i="13"/>
  <c r="B36" i="13"/>
  <c r="R35" i="13"/>
  <c r="P35" i="13"/>
  <c r="O35" i="13"/>
  <c r="L35" i="13"/>
  <c r="K35" i="13"/>
  <c r="F35" i="13"/>
  <c r="D35" i="13"/>
  <c r="C35" i="13"/>
  <c r="B35" i="13"/>
  <c r="R34" i="13"/>
  <c r="P34" i="13"/>
  <c r="O34" i="13"/>
  <c r="L34" i="13"/>
  <c r="K34" i="13"/>
  <c r="J34" i="13"/>
  <c r="F34" i="13"/>
  <c r="D34" i="13"/>
  <c r="C34" i="13"/>
  <c r="B34" i="13"/>
  <c r="R33" i="13"/>
  <c r="P33" i="13"/>
  <c r="O33" i="13"/>
  <c r="L33" i="13"/>
  <c r="K33" i="13"/>
  <c r="J33" i="13"/>
  <c r="F33" i="13"/>
  <c r="D33" i="13"/>
  <c r="C33" i="13"/>
  <c r="B33" i="13"/>
  <c r="R32" i="13"/>
  <c r="P32" i="13"/>
  <c r="O32" i="13"/>
  <c r="L32" i="13"/>
  <c r="K32" i="13"/>
  <c r="J32" i="13"/>
  <c r="F32" i="13"/>
  <c r="D32" i="13"/>
  <c r="C32" i="13"/>
  <c r="B32" i="13"/>
  <c r="R31" i="13"/>
  <c r="P31" i="13"/>
  <c r="O31" i="13"/>
  <c r="L31" i="13"/>
  <c r="K31" i="13"/>
  <c r="J31" i="13"/>
  <c r="H31" i="13"/>
  <c r="G31" i="13"/>
  <c r="F31" i="13"/>
  <c r="D31" i="13"/>
  <c r="C31" i="13"/>
  <c r="B31" i="13"/>
  <c r="R30" i="13"/>
  <c r="P30" i="13"/>
  <c r="O30" i="13"/>
  <c r="L30" i="13"/>
  <c r="K30" i="13"/>
  <c r="J30" i="13"/>
  <c r="H30" i="13"/>
  <c r="G30" i="13"/>
  <c r="F30" i="13"/>
  <c r="D30" i="13"/>
  <c r="C30" i="13"/>
  <c r="B30" i="13"/>
  <c r="R29" i="13"/>
  <c r="P29" i="13"/>
  <c r="O29" i="13"/>
  <c r="L29" i="13"/>
  <c r="K29" i="13"/>
  <c r="J29" i="13"/>
  <c r="I29" i="13"/>
  <c r="H29" i="13"/>
  <c r="G29" i="13"/>
  <c r="F29" i="13"/>
  <c r="D29" i="13"/>
  <c r="C29" i="13"/>
  <c r="B29" i="13"/>
  <c r="R28" i="13"/>
  <c r="P28" i="13"/>
  <c r="O28" i="13"/>
  <c r="L28" i="13"/>
  <c r="K28" i="13"/>
  <c r="J28" i="13"/>
  <c r="I28" i="13"/>
  <c r="H28" i="13"/>
  <c r="G28" i="13"/>
  <c r="F28" i="13"/>
  <c r="D28" i="13"/>
  <c r="C28" i="13"/>
  <c r="B28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R68" i="12"/>
  <c r="R67" i="12"/>
  <c r="R66" i="12"/>
  <c r="R65" i="12"/>
  <c r="R64" i="12"/>
  <c r="R63" i="12"/>
  <c r="R62" i="12"/>
  <c r="R61" i="12"/>
  <c r="R60" i="12"/>
  <c r="R59" i="12"/>
  <c r="R58" i="12"/>
  <c r="R57" i="12"/>
  <c r="R56" i="12"/>
  <c r="R55" i="12"/>
  <c r="R54" i="12"/>
  <c r="R53" i="12"/>
  <c r="R52" i="12"/>
  <c r="R51" i="12"/>
  <c r="R50" i="12"/>
  <c r="K50" i="12"/>
  <c r="R49" i="12"/>
  <c r="K49" i="12"/>
  <c r="R48" i="12"/>
  <c r="K48" i="12"/>
  <c r="R47" i="12"/>
  <c r="K47" i="12"/>
  <c r="R46" i="12"/>
  <c r="K46" i="12"/>
  <c r="R45" i="12"/>
  <c r="K45" i="12"/>
  <c r="R44" i="12"/>
  <c r="L44" i="12"/>
  <c r="K44" i="12"/>
  <c r="R43" i="12"/>
  <c r="L43" i="12"/>
  <c r="K43" i="12"/>
  <c r="R42" i="12"/>
  <c r="L42" i="12"/>
  <c r="K42" i="12"/>
  <c r="R41" i="12"/>
  <c r="L41" i="12"/>
  <c r="K41" i="12"/>
  <c r="R40" i="12"/>
  <c r="O40" i="12"/>
  <c r="L40" i="12"/>
  <c r="K40" i="12"/>
  <c r="C40" i="12"/>
  <c r="R39" i="12"/>
  <c r="O39" i="12"/>
  <c r="L39" i="12"/>
  <c r="K39" i="12"/>
  <c r="C39" i="12"/>
  <c r="R38" i="12"/>
  <c r="O38" i="12"/>
  <c r="L38" i="12"/>
  <c r="K38" i="12"/>
  <c r="C38" i="12"/>
  <c r="R37" i="12"/>
  <c r="P37" i="12"/>
  <c r="O37" i="12"/>
  <c r="L37" i="12"/>
  <c r="K37" i="12"/>
  <c r="C37" i="12"/>
  <c r="R36" i="12"/>
  <c r="P36" i="12"/>
  <c r="L36" i="12"/>
  <c r="K36" i="12"/>
  <c r="D36" i="12"/>
  <c r="C36" i="12"/>
  <c r="B36" i="12"/>
  <c r="R35" i="12"/>
  <c r="P35" i="12"/>
  <c r="O35" i="12"/>
  <c r="L35" i="12"/>
  <c r="K35" i="12"/>
  <c r="F35" i="12"/>
  <c r="D35" i="12"/>
  <c r="C35" i="12"/>
  <c r="B35" i="12"/>
  <c r="R34" i="12"/>
  <c r="P34" i="12"/>
  <c r="O34" i="12"/>
  <c r="L34" i="12"/>
  <c r="K34" i="12"/>
  <c r="J34" i="12"/>
  <c r="F34" i="12"/>
  <c r="D34" i="12"/>
  <c r="C34" i="12"/>
  <c r="B34" i="12"/>
  <c r="R33" i="12"/>
  <c r="P33" i="12"/>
  <c r="O33" i="12"/>
  <c r="L33" i="12"/>
  <c r="K33" i="12"/>
  <c r="J33" i="12"/>
  <c r="F33" i="12"/>
  <c r="D33" i="12"/>
  <c r="C33" i="12"/>
  <c r="B33" i="12"/>
  <c r="R32" i="12"/>
  <c r="P32" i="12"/>
  <c r="O32" i="12"/>
  <c r="L32" i="12"/>
  <c r="K32" i="12"/>
  <c r="J32" i="12"/>
  <c r="F32" i="12"/>
  <c r="D32" i="12"/>
  <c r="C32" i="12"/>
  <c r="B32" i="12"/>
  <c r="R31" i="12"/>
  <c r="P31" i="12"/>
  <c r="O31" i="12"/>
  <c r="L31" i="12"/>
  <c r="K31" i="12"/>
  <c r="J31" i="12"/>
  <c r="H31" i="12"/>
  <c r="G31" i="12"/>
  <c r="F31" i="12"/>
  <c r="D31" i="12"/>
  <c r="C31" i="12"/>
  <c r="B31" i="12"/>
  <c r="R30" i="12"/>
  <c r="P30" i="12"/>
  <c r="O30" i="12"/>
  <c r="L30" i="12"/>
  <c r="K30" i="12"/>
  <c r="J30" i="12"/>
  <c r="H30" i="12"/>
  <c r="G30" i="12"/>
  <c r="F30" i="12"/>
  <c r="D30" i="12"/>
  <c r="C30" i="12"/>
  <c r="B30" i="12"/>
  <c r="R29" i="12"/>
  <c r="P29" i="12"/>
  <c r="O29" i="12"/>
  <c r="L29" i="12"/>
  <c r="K29" i="12"/>
  <c r="J29" i="12"/>
  <c r="I29" i="12"/>
  <c r="H29" i="12"/>
  <c r="G29" i="12"/>
  <c r="F29" i="12"/>
  <c r="D29" i="12"/>
  <c r="C29" i="12"/>
  <c r="B29" i="12"/>
  <c r="R28" i="12"/>
  <c r="P28" i="12"/>
  <c r="O28" i="12"/>
  <c r="L28" i="12"/>
  <c r="K28" i="12"/>
  <c r="J28" i="12"/>
  <c r="I28" i="12"/>
  <c r="H28" i="12"/>
  <c r="G28" i="12"/>
  <c r="F28" i="12"/>
  <c r="D28" i="12"/>
  <c r="C28" i="12"/>
  <c r="B28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R68" i="11"/>
  <c r="R67" i="11"/>
  <c r="R66" i="11"/>
  <c r="R65" i="11"/>
  <c r="R64" i="11"/>
  <c r="R63" i="11"/>
  <c r="R62" i="11"/>
  <c r="R61" i="11"/>
  <c r="R60" i="11"/>
  <c r="R59" i="11"/>
  <c r="R58" i="11"/>
  <c r="R57" i="11"/>
  <c r="R56" i="11"/>
  <c r="R55" i="11"/>
  <c r="R54" i="11"/>
  <c r="R53" i="11"/>
  <c r="R52" i="11"/>
  <c r="R51" i="11"/>
  <c r="R50" i="11"/>
  <c r="K50" i="11"/>
  <c r="R49" i="11"/>
  <c r="K49" i="11"/>
  <c r="R48" i="11"/>
  <c r="K48" i="11"/>
  <c r="R47" i="11"/>
  <c r="K47" i="11"/>
  <c r="R46" i="11"/>
  <c r="K46" i="11"/>
  <c r="R45" i="11"/>
  <c r="K45" i="11"/>
  <c r="R44" i="11"/>
  <c r="L44" i="11"/>
  <c r="K44" i="11"/>
  <c r="R43" i="11"/>
  <c r="L43" i="11"/>
  <c r="K43" i="11"/>
  <c r="R42" i="11"/>
  <c r="L42" i="11"/>
  <c r="K42" i="11"/>
  <c r="R41" i="11"/>
  <c r="L41" i="11"/>
  <c r="K41" i="11"/>
  <c r="R40" i="11"/>
  <c r="O40" i="11"/>
  <c r="L40" i="11"/>
  <c r="K40" i="11"/>
  <c r="C40" i="11"/>
  <c r="R39" i="11"/>
  <c r="O39" i="11"/>
  <c r="L39" i="11"/>
  <c r="K39" i="11"/>
  <c r="C39" i="11"/>
  <c r="R38" i="11"/>
  <c r="O38" i="11"/>
  <c r="L38" i="11"/>
  <c r="K38" i="11"/>
  <c r="C38" i="11"/>
  <c r="R37" i="11"/>
  <c r="P37" i="11"/>
  <c r="O37" i="11"/>
  <c r="L37" i="11"/>
  <c r="K37" i="11"/>
  <c r="C37" i="11"/>
  <c r="R36" i="11"/>
  <c r="P36" i="11"/>
  <c r="L36" i="11"/>
  <c r="K36" i="11"/>
  <c r="D36" i="11"/>
  <c r="C36" i="11"/>
  <c r="B36" i="11"/>
  <c r="R35" i="11"/>
  <c r="P35" i="11"/>
  <c r="O35" i="11"/>
  <c r="L35" i="11"/>
  <c r="K35" i="11"/>
  <c r="F35" i="11"/>
  <c r="D35" i="11"/>
  <c r="C35" i="11"/>
  <c r="B35" i="11"/>
  <c r="R34" i="11"/>
  <c r="P34" i="11"/>
  <c r="O34" i="11"/>
  <c r="L34" i="11"/>
  <c r="K34" i="11"/>
  <c r="J34" i="11"/>
  <c r="F34" i="11"/>
  <c r="D34" i="11"/>
  <c r="C34" i="11"/>
  <c r="B34" i="11"/>
  <c r="R33" i="11"/>
  <c r="P33" i="11"/>
  <c r="O33" i="11"/>
  <c r="L33" i="11"/>
  <c r="K33" i="11"/>
  <c r="J33" i="11"/>
  <c r="F33" i="11"/>
  <c r="D33" i="11"/>
  <c r="C33" i="11"/>
  <c r="B33" i="11"/>
  <c r="R32" i="11"/>
  <c r="P32" i="11"/>
  <c r="O32" i="11"/>
  <c r="L32" i="11"/>
  <c r="K32" i="11"/>
  <c r="J32" i="11"/>
  <c r="F32" i="11"/>
  <c r="D32" i="11"/>
  <c r="C32" i="11"/>
  <c r="B32" i="11"/>
  <c r="R31" i="11"/>
  <c r="P31" i="11"/>
  <c r="O31" i="11"/>
  <c r="L31" i="11"/>
  <c r="K31" i="11"/>
  <c r="J31" i="11"/>
  <c r="H31" i="11"/>
  <c r="G31" i="11"/>
  <c r="F31" i="11"/>
  <c r="D31" i="11"/>
  <c r="C31" i="11"/>
  <c r="B31" i="11"/>
  <c r="R30" i="11"/>
  <c r="P30" i="11"/>
  <c r="O30" i="11"/>
  <c r="L30" i="11"/>
  <c r="K30" i="11"/>
  <c r="J30" i="11"/>
  <c r="H30" i="11"/>
  <c r="G30" i="11"/>
  <c r="F30" i="11"/>
  <c r="D30" i="11"/>
  <c r="C30" i="11"/>
  <c r="B30" i="11"/>
  <c r="R29" i="11"/>
  <c r="P29" i="11"/>
  <c r="O29" i="11"/>
  <c r="L29" i="11"/>
  <c r="K29" i="11"/>
  <c r="J29" i="11"/>
  <c r="I29" i="11"/>
  <c r="H29" i="11"/>
  <c r="G29" i="11"/>
  <c r="F29" i="11"/>
  <c r="D29" i="11"/>
  <c r="C29" i="11"/>
  <c r="B29" i="11"/>
  <c r="R28" i="11"/>
  <c r="P28" i="11"/>
  <c r="O28" i="11"/>
  <c r="L28" i="11"/>
  <c r="K28" i="11"/>
  <c r="J28" i="11"/>
  <c r="I28" i="11"/>
  <c r="H28" i="11"/>
  <c r="G28" i="11"/>
  <c r="F28" i="11"/>
  <c r="D28" i="11"/>
  <c r="C28" i="11"/>
  <c r="B28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R68" i="10"/>
  <c r="R67" i="10"/>
  <c r="R66" i="10"/>
  <c r="R65" i="10"/>
  <c r="R64" i="10"/>
  <c r="R63" i="10"/>
  <c r="R62" i="10"/>
  <c r="R61" i="10"/>
  <c r="R60" i="10"/>
  <c r="R59" i="10"/>
  <c r="R58" i="10"/>
  <c r="R57" i="10"/>
  <c r="R56" i="10"/>
  <c r="R55" i="10"/>
  <c r="R54" i="10"/>
  <c r="R53" i="10"/>
  <c r="R52" i="10"/>
  <c r="R51" i="10"/>
  <c r="R50" i="10"/>
  <c r="K50" i="10"/>
  <c r="R49" i="10"/>
  <c r="K49" i="10"/>
  <c r="R48" i="10"/>
  <c r="K48" i="10"/>
  <c r="R47" i="10"/>
  <c r="K47" i="10"/>
  <c r="R46" i="10"/>
  <c r="K46" i="10"/>
  <c r="R45" i="10"/>
  <c r="K45" i="10"/>
  <c r="R44" i="10"/>
  <c r="L44" i="10"/>
  <c r="K44" i="10"/>
  <c r="R43" i="10"/>
  <c r="L43" i="10"/>
  <c r="K43" i="10"/>
  <c r="R42" i="10"/>
  <c r="L42" i="10"/>
  <c r="K42" i="10"/>
  <c r="R41" i="10"/>
  <c r="L41" i="10"/>
  <c r="K41" i="10"/>
  <c r="R40" i="10"/>
  <c r="O40" i="10"/>
  <c r="L40" i="10"/>
  <c r="K40" i="10"/>
  <c r="C40" i="10"/>
  <c r="R39" i="10"/>
  <c r="O39" i="10"/>
  <c r="L39" i="10"/>
  <c r="K39" i="10"/>
  <c r="C39" i="10"/>
  <c r="R38" i="10"/>
  <c r="O38" i="10"/>
  <c r="L38" i="10"/>
  <c r="K38" i="10"/>
  <c r="C38" i="10"/>
  <c r="R37" i="10"/>
  <c r="P37" i="10"/>
  <c r="O37" i="10"/>
  <c r="L37" i="10"/>
  <c r="K37" i="10"/>
  <c r="C37" i="10"/>
  <c r="R36" i="10"/>
  <c r="P36" i="10"/>
  <c r="L36" i="10"/>
  <c r="K36" i="10"/>
  <c r="D36" i="10"/>
  <c r="C36" i="10"/>
  <c r="B36" i="10"/>
  <c r="R35" i="10"/>
  <c r="P35" i="10"/>
  <c r="O35" i="10"/>
  <c r="L35" i="10"/>
  <c r="K35" i="10"/>
  <c r="F35" i="10"/>
  <c r="D35" i="10"/>
  <c r="C35" i="10"/>
  <c r="B35" i="10"/>
  <c r="R34" i="10"/>
  <c r="P34" i="10"/>
  <c r="O34" i="10"/>
  <c r="L34" i="10"/>
  <c r="K34" i="10"/>
  <c r="J34" i="10"/>
  <c r="F34" i="10"/>
  <c r="D34" i="10"/>
  <c r="C34" i="10"/>
  <c r="B34" i="10"/>
  <c r="R33" i="10"/>
  <c r="P33" i="10"/>
  <c r="O33" i="10"/>
  <c r="L33" i="10"/>
  <c r="K33" i="10"/>
  <c r="J33" i="10"/>
  <c r="F33" i="10"/>
  <c r="D33" i="10"/>
  <c r="C33" i="10"/>
  <c r="B33" i="10"/>
  <c r="R32" i="10"/>
  <c r="P32" i="10"/>
  <c r="O32" i="10"/>
  <c r="L32" i="10"/>
  <c r="K32" i="10"/>
  <c r="J32" i="10"/>
  <c r="F32" i="10"/>
  <c r="D32" i="10"/>
  <c r="C32" i="10"/>
  <c r="B32" i="10"/>
  <c r="R31" i="10"/>
  <c r="P31" i="10"/>
  <c r="O31" i="10"/>
  <c r="L31" i="10"/>
  <c r="K31" i="10"/>
  <c r="J31" i="10"/>
  <c r="H31" i="10"/>
  <c r="G31" i="10"/>
  <c r="F31" i="10"/>
  <c r="D31" i="10"/>
  <c r="C31" i="10"/>
  <c r="B31" i="10"/>
  <c r="R30" i="10"/>
  <c r="P30" i="10"/>
  <c r="O30" i="10"/>
  <c r="L30" i="10"/>
  <c r="K30" i="10"/>
  <c r="J30" i="10"/>
  <c r="H30" i="10"/>
  <c r="G30" i="10"/>
  <c r="F30" i="10"/>
  <c r="D30" i="10"/>
  <c r="C30" i="10"/>
  <c r="B30" i="10"/>
  <c r="R29" i="10"/>
  <c r="P29" i="10"/>
  <c r="O29" i="10"/>
  <c r="L29" i="10"/>
  <c r="K29" i="10"/>
  <c r="J29" i="10"/>
  <c r="I29" i="10"/>
  <c r="H29" i="10"/>
  <c r="G29" i="10"/>
  <c r="F29" i="10"/>
  <c r="D29" i="10"/>
  <c r="C29" i="10"/>
  <c r="B29" i="10"/>
  <c r="R28" i="10"/>
  <c r="P28" i="10"/>
  <c r="O28" i="10"/>
  <c r="L28" i="10"/>
  <c r="K28" i="10"/>
  <c r="J28" i="10"/>
  <c r="I28" i="10"/>
  <c r="H28" i="10"/>
  <c r="G28" i="10"/>
  <c r="F28" i="10"/>
  <c r="D28" i="10"/>
  <c r="C28" i="10"/>
  <c r="B28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R68" i="9"/>
  <c r="R67" i="9"/>
  <c r="R66" i="9"/>
  <c r="R65" i="9"/>
  <c r="R64" i="9"/>
  <c r="R63" i="9"/>
  <c r="R62" i="9"/>
  <c r="R61" i="9"/>
  <c r="R60" i="9"/>
  <c r="R59" i="9"/>
  <c r="R58" i="9"/>
  <c r="R57" i="9"/>
  <c r="R56" i="9"/>
  <c r="R55" i="9"/>
  <c r="R54" i="9"/>
  <c r="R53" i="9"/>
  <c r="R52" i="9"/>
  <c r="R51" i="9"/>
  <c r="R50" i="9"/>
  <c r="K50" i="9"/>
  <c r="R49" i="9"/>
  <c r="K49" i="9"/>
  <c r="R48" i="9"/>
  <c r="K48" i="9"/>
  <c r="R47" i="9"/>
  <c r="K47" i="9"/>
  <c r="R46" i="9"/>
  <c r="K46" i="9"/>
  <c r="R45" i="9"/>
  <c r="K45" i="9"/>
  <c r="R44" i="9"/>
  <c r="L44" i="9"/>
  <c r="K44" i="9"/>
  <c r="R43" i="9"/>
  <c r="L43" i="9"/>
  <c r="K43" i="9"/>
  <c r="R42" i="9"/>
  <c r="L42" i="9"/>
  <c r="K42" i="9"/>
  <c r="R41" i="9"/>
  <c r="L41" i="9"/>
  <c r="K41" i="9"/>
  <c r="R40" i="9"/>
  <c r="O40" i="9"/>
  <c r="L40" i="9"/>
  <c r="K40" i="9"/>
  <c r="C40" i="9"/>
  <c r="R39" i="9"/>
  <c r="O39" i="9"/>
  <c r="L39" i="9"/>
  <c r="K39" i="9"/>
  <c r="C39" i="9"/>
  <c r="R38" i="9"/>
  <c r="O38" i="9"/>
  <c r="L38" i="9"/>
  <c r="K38" i="9"/>
  <c r="C38" i="9"/>
  <c r="R37" i="9"/>
  <c r="P37" i="9"/>
  <c r="O37" i="9"/>
  <c r="L37" i="9"/>
  <c r="K37" i="9"/>
  <c r="C37" i="9"/>
  <c r="R36" i="9"/>
  <c r="P36" i="9"/>
  <c r="L36" i="9"/>
  <c r="K36" i="9"/>
  <c r="D36" i="9"/>
  <c r="C36" i="9"/>
  <c r="B36" i="9"/>
  <c r="R35" i="9"/>
  <c r="P35" i="9"/>
  <c r="O35" i="9"/>
  <c r="L35" i="9"/>
  <c r="K35" i="9"/>
  <c r="F35" i="9"/>
  <c r="D35" i="9"/>
  <c r="C35" i="9"/>
  <c r="B35" i="9"/>
  <c r="R34" i="9"/>
  <c r="P34" i="9"/>
  <c r="O34" i="9"/>
  <c r="L34" i="9"/>
  <c r="K34" i="9"/>
  <c r="J34" i="9"/>
  <c r="F34" i="9"/>
  <c r="D34" i="9"/>
  <c r="C34" i="9"/>
  <c r="B34" i="9"/>
  <c r="R33" i="9"/>
  <c r="P33" i="9"/>
  <c r="O33" i="9"/>
  <c r="L33" i="9"/>
  <c r="K33" i="9"/>
  <c r="J33" i="9"/>
  <c r="F33" i="9"/>
  <c r="D33" i="9"/>
  <c r="C33" i="9"/>
  <c r="B33" i="9"/>
  <c r="R32" i="9"/>
  <c r="P32" i="9"/>
  <c r="O32" i="9"/>
  <c r="L32" i="9"/>
  <c r="K32" i="9"/>
  <c r="J32" i="9"/>
  <c r="F32" i="9"/>
  <c r="D32" i="9"/>
  <c r="C32" i="9"/>
  <c r="B32" i="9"/>
  <c r="R31" i="9"/>
  <c r="P31" i="9"/>
  <c r="O31" i="9"/>
  <c r="L31" i="9"/>
  <c r="K31" i="9"/>
  <c r="J31" i="9"/>
  <c r="H31" i="9"/>
  <c r="G31" i="9"/>
  <c r="F31" i="9"/>
  <c r="D31" i="9"/>
  <c r="C31" i="9"/>
  <c r="B31" i="9"/>
  <c r="R30" i="9"/>
  <c r="P30" i="9"/>
  <c r="O30" i="9"/>
  <c r="L30" i="9"/>
  <c r="K30" i="9"/>
  <c r="J30" i="9"/>
  <c r="H30" i="9"/>
  <c r="G30" i="9"/>
  <c r="F30" i="9"/>
  <c r="D30" i="9"/>
  <c r="C30" i="9"/>
  <c r="B30" i="9"/>
  <c r="R29" i="9"/>
  <c r="P29" i="9"/>
  <c r="O29" i="9"/>
  <c r="L29" i="9"/>
  <c r="K29" i="9"/>
  <c r="J29" i="9"/>
  <c r="I29" i="9"/>
  <c r="H29" i="9"/>
  <c r="G29" i="9"/>
  <c r="F29" i="9"/>
  <c r="D29" i="9"/>
  <c r="C29" i="9"/>
  <c r="B29" i="9"/>
  <c r="R28" i="9"/>
  <c r="P28" i="9"/>
  <c r="O28" i="9"/>
  <c r="L28" i="9"/>
  <c r="K28" i="9"/>
  <c r="J28" i="9"/>
  <c r="I28" i="9"/>
  <c r="H28" i="9"/>
  <c r="G28" i="9"/>
  <c r="F28" i="9"/>
  <c r="D28" i="9"/>
  <c r="C28" i="9"/>
  <c r="B28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R68" i="8"/>
  <c r="R67" i="8"/>
  <c r="R66" i="8"/>
  <c r="R65" i="8"/>
  <c r="R64" i="8"/>
  <c r="R63" i="8"/>
  <c r="R62" i="8"/>
  <c r="R61" i="8"/>
  <c r="R60" i="8"/>
  <c r="R59" i="8"/>
  <c r="R58" i="8"/>
  <c r="R57" i="8"/>
  <c r="R56" i="8"/>
  <c r="R55" i="8"/>
  <c r="R54" i="8"/>
  <c r="R53" i="8"/>
  <c r="R52" i="8"/>
  <c r="R51" i="8"/>
  <c r="R50" i="8"/>
  <c r="K50" i="8"/>
  <c r="R49" i="8"/>
  <c r="K49" i="8"/>
  <c r="R48" i="8"/>
  <c r="K48" i="8"/>
  <c r="R47" i="8"/>
  <c r="K47" i="8"/>
  <c r="R46" i="8"/>
  <c r="K46" i="8"/>
  <c r="R45" i="8"/>
  <c r="K45" i="8"/>
  <c r="R44" i="8"/>
  <c r="L44" i="8"/>
  <c r="K44" i="8"/>
  <c r="R43" i="8"/>
  <c r="L43" i="8"/>
  <c r="K43" i="8"/>
  <c r="R42" i="8"/>
  <c r="L42" i="8"/>
  <c r="K42" i="8"/>
  <c r="R41" i="8"/>
  <c r="L41" i="8"/>
  <c r="K41" i="8"/>
  <c r="R40" i="8"/>
  <c r="O40" i="8"/>
  <c r="L40" i="8"/>
  <c r="K40" i="8"/>
  <c r="C40" i="8"/>
  <c r="R39" i="8"/>
  <c r="O39" i="8"/>
  <c r="L39" i="8"/>
  <c r="K39" i="8"/>
  <c r="C39" i="8"/>
  <c r="R38" i="8"/>
  <c r="O38" i="8"/>
  <c r="L38" i="8"/>
  <c r="K38" i="8"/>
  <c r="C38" i="8"/>
  <c r="R37" i="8"/>
  <c r="P37" i="8"/>
  <c r="O37" i="8"/>
  <c r="L37" i="8"/>
  <c r="K37" i="8"/>
  <c r="C37" i="8"/>
  <c r="R36" i="8"/>
  <c r="P36" i="8"/>
  <c r="L36" i="8"/>
  <c r="K36" i="8"/>
  <c r="D36" i="8"/>
  <c r="C36" i="8"/>
  <c r="B36" i="8"/>
  <c r="R35" i="8"/>
  <c r="P35" i="8"/>
  <c r="O35" i="8"/>
  <c r="L35" i="8"/>
  <c r="K35" i="8"/>
  <c r="F35" i="8"/>
  <c r="D35" i="8"/>
  <c r="C35" i="8"/>
  <c r="B35" i="8"/>
  <c r="R34" i="8"/>
  <c r="P34" i="8"/>
  <c r="O34" i="8"/>
  <c r="L34" i="8"/>
  <c r="K34" i="8"/>
  <c r="J34" i="8"/>
  <c r="F34" i="8"/>
  <c r="D34" i="8"/>
  <c r="C34" i="8"/>
  <c r="B34" i="8"/>
  <c r="R33" i="8"/>
  <c r="P33" i="8"/>
  <c r="O33" i="8"/>
  <c r="L33" i="8"/>
  <c r="K33" i="8"/>
  <c r="J33" i="8"/>
  <c r="F33" i="8"/>
  <c r="D33" i="8"/>
  <c r="C33" i="8"/>
  <c r="B33" i="8"/>
  <c r="R32" i="8"/>
  <c r="P32" i="8"/>
  <c r="O32" i="8"/>
  <c r="L32" i="8"/>
  <c r="K32" i="8"/>
  <c r="J32" i="8"/>
  <c r="F32" i="8"/>
  <c r="D32" i="8"/>
  <c r="C32" i="8"/>
  <c r="B32" i="8"/>
  <c r="R31" i="8"/>
  <c r="P31" i="8"/>
  <c r="O31" i="8"/>
  <c r="L31" i="8"/>
  <c r="K31" i="8"/>
  <c r="J31" i="8"/>
  <c r="H31" i="8"/>
  <c r="G31" i="8"/>
  <c r="F31" i="8"/>
  <c r="D31" i="8"/>
  <c r="C31" i="8"/>
  <c r="B31" i="8"/>
  <c r="R30" i="8"/>
  <c r="P30" i="8"/>
  <c r="O30" i="8"/>
  <c r="L30" i="8"/>
  <c r="K30" i="8"/>
  <c r="J30" i="8"/>
  <c r="H30" i="8"/>
  <c r="G30" i="8"/>
  <c r="F30" i="8"/>
  <c r="D30" i="8"/>
  <c r="C30" i="8"/>
  <c r="B30" i="8"/>
  <c r="R29" i="8"/>
  <c r="P29" i="8"/>
  <c r="O29" i="8"/>
  <c r="L29" i="8"/>
  <c r="K29" i="8"/>
  <c r="J29" i="8"/>
  <c r="I29" i="8"/>
  <c r="H29" i="8"/>
  <c r="G29" i="8"/>
  <c r="F29" i="8"/>
  <c r="D29" i="8"/>
  <c r="C29" i="8"/>
  <c r="B29" i="8"/>
  <c r="R28" i="8"/>
  <c r="P28" i="8"/>
  <c r="O28" i="8"/>
  <c r="L28" i="8"/>
  <c r="K28" i="8"/>
  <c r="J28" i="8"/>
  <c r="I28" i="8"/>
  <c r="H28" i="8"/>
  <c r="G28" i="8"/>
  <c r="F28" i="8"/>
  <c r="D28" i="8"/>
  <c r="C28" i="8"/>
  <c r="B28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R68" i="7"/>
  <c r="R67" i="7"/>
  <c r="R66" i="7"/>
  <c r="R65" i="7"/>
  <c r="R64" i="7"/>
  <c r="R63" i="7"/>
  <c r="R62" i="7"/>
  <c r="R61" i="7"/>
  <c r="R60" i="7"/>
  <c r="R59" i="7"/>
  <c r="R58" i="7"/>
  <c r="R57" i="7"/>
  <c r="R56" i="7"/>
  <c r="R55" i="7"/>
  <c r="R54" i="7"/>
  <c r="R53" i="7"/>
  <c r="R52" i="7"/>
  <c r="R51" i="7"/>
  <c r="R50" i="7"/>
  <c r="K50" i="7"/>
  <c r="R49" i="7"/>
  <c r="K49" i="7"/>
  <c r="R48" i="7"/>
  <c r="K48" i="7"/>
  <c r="R47" i="7"/>
  <c r="K47" i="7"/>
  <c r="R46" i="7"/>
  <c r="K46" i="7"/>
  <c r="R45" i="7"/>
  <c r="K45" i="7"/>
  <c r="R44" i="7"/>
  <c r="L44" i="7"/>
  <c r="K44" i="7"/>
  <c r="R43" i="7"/>
  <c r="L43" i="7"/>
  <c r="K43" i="7"/>
  <c r="R42" i="7"/>
  <c r="L42" i="7"/>
  <c r="K42" i="7"/>
  <c r="R41" i="7"/>
  <c r="L41" i="7"/>
  <c r="K41" i="7"/>
  <c r="R40" i="7"/>
  <c r="O40" i="7"/>
  <c r="L40" i="7"/>
  <c r="K40" i="7"/>
  <c r="C40" i="7"/>
  <c r="R39" i="7"/>
  <c r="O39" i="7"/>
  <c r="L39" i="7"/>
  <c r="K39" i="7"/>
  <c r="C39" i="7"/>
  <c r="R38" i="7"/>
  <c r="O38" i="7"/>
  <c r="L38" i="7"/>
  <c r="K38" i="7"/>
  <c r="C38" i="7"/>
  <c r="R37" i="7"/>
  <c r="P37" i="7"/>
  <c r="O37" i="7"/>
  <c r="L37" i="7"/>
  <c r="K37" i="7"/>
  <c r="C37" i="7"/>
  <c r="R36" i="7"/>
  <c r="P36" i="7"/>
  <c r="L36" i="7"/>
  <c r="K36" i="7"/>
  <c r="D36" i="7"/>
  <c r="C36" i="7"/>
  <c r="B36" i="7"/>
  <c r="R35" i="7"/>
  <c r="P35" i="7"/>
  <c r="O35" i="7"/>
  <c r="L35" i="7"/>
  <c r="K35" i="7"/>
  <c r="F35" i="7"/>
  <c r="D35" i="7"/>
  <c r="C35" i="7"/>
  <c r="B35" i="7"/>
  <c r="R34" i="7"/>
  <c r="P34" i="7"/>
  <c r="O34" i="7"/>
  <c r="L34" i="7"/>
  <c r="K34" i="7"/>
  <c r="J34" i="7"/>
  <c r="F34" i="7"/>
  <c r="D34" i="7"/>
  <c r="C34" i="7"/>
  <c r="B34" i="7"/>
  <c r="R33" i="7"/>
  <c r="P33" i="7"/>
  <c r="O33" i="7"/>
  <c r="L33" i="7"/>
  <c r="K33" i="7"/>
  <c r="J33" i="7"/>
  <c r="F33" i="7"/>
  <c r="D33" i="7"/>
  <c r="C33" i="7"/>
  <c r="B33" i="7"/>
  <c r="R32" i="7"/>
  <c r="P32" i="7"/>
  <c r="O32" i="7"/>
  <c r="L32" i="7"/>
  <c r="K32" i="7"/>
  <c r="J32" i="7"/>
  <c r="F32" i="7"/>
  <c r="D32" i="7"/>
  <c r="C32" i="7"/>
  <c r="B32" i="7"/>
  <c r="R31" i="7"/>
  <c r="P31" i="7"/>
  <c r="O31" i="7"/>
  <c r="L31" i="7"/>
  <c r="K31" i="7"/>
  <c r="J31" i="7"/>
  <c r="H31" i="7"/>
  <c r="G31" i="7"/>
  <c r="F31" i="7"/>
  <c r="D31" i="7"/>
  <c r="C31" i="7"/>
  <c r="B31" i="7"/>
  <c r="R30" i="7"/>
  <c r="P30" i="7"/>
  <c r="O30" i="7"/>
  <c r="L30" i="7"/>
  <c r="K30" i="7"/>
  <c r="J30" i="7"/>
  <c r="H30" i="7"/>
  <c r="G30" i="7"/>
  <c r="F30" i="7"/>
  <c r="D30" i="7"/>
  <c r="C30" i="7"/>
  <c r="B30" i="7"/>
  <c r="R29" i="7"/>
  <c r="P29" i="7"/>
  <c r="O29" i="7"/>
  <c r="L29" i="7"/>
  <c r="K29" i="7"/>
  <c r="J29" i="7"/>
  <c r="I29" i="7"/>
  <c r="H29" i="7"/>
  <c r="G29" i="7"/>
  <c r="F29" i="7"/>
  <c r="D29" i="7"/>
  <c r="C29" i="7"/>
  <c r="B29" i="7"/>
  <c r="R28" i="7"/>
  <c r="P28" i="7"/>
  <c r="O28" i="7"/>
  <c r="L28" i="7"/>
  <c r="K28" i="7"/>
  <c r="J28" i="7"/>
  <c r="I28" i="7"/>
  <c r="H28" i="7"/>
  <c r="G28" i="7"/>
  <c r="F28" i="7"/>
  <c r="D28" i="7"/>
  <c r="C28" i="7"/>
  <c r="B28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B24" i="7"/>
  <c r="R68" i="6"/>
  <c r="R67" i="6"/>
  <c r="R66" i="6"/>
  <c r="R65" i="6"/>
  <c r="R64" i="6"/>
  <c r="R63" i="6"/>
  <c r="R62" i="6"/>
  <c r="R61" i="6"/>
  <c r="R60" i="6"/>
  <c r="R59" i="6"/>
  <c r="R58" i="6"/>
  <c r="R57" i="6"/>
  <c r="R56" i="6"/>
  <c r="R55" i="6"/>
  <c r="R54" i="6"/>
  <c r="R53" i="6"/>
  <c r="R52" i="6"/>
  <c r="R51" i="6"/>
  <c r="R50" i="6"/>
  <c r="K50" i="6"/>
  <c r="R49" i="6"/>
  <c r="K49" i="6"/>
  <c r="R48" i="6"/>
  <c r="K48" i="6"/>
  <c r="R47" i="6"/>
  <c r="K47" i="6"/>
  <c r="R46" i="6"/>
  <c r="K46" i="6"/>
  <c r="R45" i="6"/>
  <c r="K45" i="6"/>
  <c r="R44" i="6"/>
  <c r="L44" i="6"/>
  <c r="K44" i="6"/>
  <c r="R43" i="6"/>
  <c r="L43" i="6"/>
  <c r="K43" i="6"/>
  <c r="R42" i="6"/>
  <c r="L42" i="6"/>
  <c r="K42" i="6"/>
  <c r="R41" i="6"/>
  <c r="L41" i="6"/>
  <c r="K41" i="6"/>
  <c r="R40" i="6"/>
  <c r="O40" i="6"/>
  <c r="L40" i="6"/>
  <c r="K40" i="6"/>
  <c r="C40" i="6"/>
  <c r="R39" i="6"/>
  <c r="O39" i="6"/>
  <c r="L39" i="6"/>
  <c r="K39" i="6"/>
  <c r="C39" i="6"/>
  <c r="R38" i="6"/>
  <c r="O38" i="6"/>
  <c r="L38" i="6"/>
  <c r="K38" i="6"/>
  <c r="C38" i="6"/>
  <c r="R37" i="6"/>
  <c r="P37" i="6"/>
  <c r="O37" i="6"/>
  <c r="L37" i="6"/>
  <c r="K37" i="6"/>
  <c r="C37" i="6"/>
  <c r="R36" i="6"/>
  <c r="P36" i="6"/>
  <c r="L36" i="6"/>
  <c r="K36" i="6"/>
  <c r="D36" i="6"/>
  <c r="C36" i="6"/>
  <c r="B36" i="6"/>
  <c r="R35" i="6"/>
  <c r="P35" i="6"/>
  <c r="O35" i="6"/>
  <c r="L35" i="6"/>
  <c r="K35" i="6"/>
  <c r="F35" i="6"/>
  <c r="D35" i="6"/>
  <c r="C35" i="6"/>
  <c r="B35" i="6"/>
  <c r="R34" i="6"/>
  <c r="P34" i="6"/>
  <c r="O34" i="6"/>
  <c r="L34" i="6"/>
  <c r="K34" i="6"/>
  <c r="J34" i="6"/>
  <c r="F34" i="6"/>
  <c r="D34" i="6"/>
  <c r="C34" i="6"/>
  <c r="B34" i="6"/>
  <c r="R33" i="6"/>
  <c r="P33" i="6"/>
  <c r="O33" i="6"/>
  <c r="L33" i="6"/>
  <c r="K33" i="6"/>
  <c r="J33" i="6"/>
  <c r="F33" i="6"/>
  <c r="D33" i="6"/>
  <c r="C33" i="6"/>
  <c r="B33" i="6"/>
  <c r="R32" i="6"/>
  <c r="P32" i="6"/>
  <c r="O32" i="6"/>
  <c r="L32" i="6"/>
  <c r="K32" i="6"/>
  <c r="J32" i="6"/>
  <c r="F32" i="6"/>
  <c r="D32" i="6"/>
  <c r="C32" i="6"/>
  <c r="B32" i="6"/>
  <c r="R31" i="6"/>
  <c r="P31" i="6"/>
  <c r="O31" i="6"/>
  <c r="L31" i="6"/>
  <c r="K31" i="6"/>
  <c r="J31" i="6"/>
  <c r="H31" i="6"/>
  <c r="G31" i="6"/>
  <c r="F31" i="6"/>
  <c r="D31" i="6"/>
  <c r="C31" i="6"/>
  <c r="B31" i="6"/>
  <c r="R30" i="6"/>
  <c r="P30" i="6"/>
  <c r="O30" i="6"/>
  <c r="L30" i="6"/>
  <c r="K30" i="6"/>
  <c r="J30" i="6"/>
  <c r="H30" i="6"/>
  <c r="G30" i="6"/>
  <c r="F30" i="6"/>
  <c r="D30" i="6"/>
  <c r="C30" i="6"/>
  <c r="B30" i="6"/>
  <c r="R29" i="6"/>
  <c r="P29" i="6"/>
  <c r="O29" i="6"/>
  <c r="L29" i="6"/>
  <c r="K29" i="6"/>
  <c r="J29" i="6"/>
  <c r="I29" i="6"/>
  <c r="H29" i="6"/>
  <c r="G29" i="6"/>
  <c r="F29" i="6"/>
  <c r="D29" i="6"/>
  <c r="C29" i="6"/>
  <c r="B29" i="6"/>
  <c r="R28" i="6"/>
  <c r="P28" i="6"/>
  <c r="O28" i="6"/>
  <c r="L28" i="6"/>
  <c r="K28" i="6"/>
  <c r="J28" i="6"/>
  <c r="I28" i="6"/>
  <c r="H28" i="6"/>
  <c r="G28" i="6"/>
  <c r="F28" i="6"/>
  <c r="D28" i="6"/>
  <c r="C28" i="6"/>
  <c r="B28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R68" i="5"/>
  <c r="R67" i="5"/>
  <c r="R66" i="5"/>
  <c r="R65" i="5"/>
  <c r="R64" i="5"/>
  <c r="R63" i="5"/>
  <c r="R62" i="5"/>
  <c r="R61" i="5"/>
  <c r="R60" i="5"/>
  <c r="R59" i="5"/>
  <c r="R58" i="5"/>
  <c r="R57" i="5"/>
  <c r="R56" i="5"/>
  <c r="R55" i="5"/>
  <c r="R54" i="5"/>
  <c r="R53" i="5"/>
  <c r="R52" i="5"/>
  <c r="R51" i="5"/>
  <c r="R50" i="5"/>
  <c r="K50" i="5"/>
  <c r="R49" i="5"/>
  <c r="K49" i="5"/>
  <c r="R48" i="5"/>
  <c r="K48" i="5"/>
  <c r="R47" i="5"/>
  <c r="K47" i="5"/>
  <c r="R46" i="5"/>
  <c r="K46" i="5"/>
  <c r="R45" i="5"/>
  <c r="K45" i="5"/>
  <c r="R44" i="5"/>
  <c r="L44" i="5"/>
  <c r="K44" i="5"/>
  <c r="R43" i="5"/>
  <c r="L43" i="5"/>
  <c r="K43" i="5"/>
  <c r="R42" i="5"/>
  <c r="L42" i="5"/>
  <c r="K42" i="5"/>
  <c r="R41" i="5"/>
  <c r="L41" i="5"/>
  <c r="K41" i="5"/>
  <c r="R40" i="5"/>
  <c r="O40" i="5"/>
  <c r="L40" i="5"/>
  <c r="K40" i="5"/>
  <c r="C40" i="5"/>
  <c r="R39" i="5"/>
  <c r="O39" i="5"/>
  <c r="L39" i="5"/>
  <c r="K39" i="5"/>
  <c r="C39" i="5"/>
  <c r="R38" i="5"/>
  <c r="O38" i="5"/>
  <c r="L38" i="5"/>
  <c r="K38" i="5"/>
  <c r="C38" i="5"/>
  <c r="R37" i="5"/>
  <c r="P37" i="5"/>
  <c r="O37" i="5"/>
  <c r="L37" i="5"/>
  <c r="K37" i="5"/>
  <c r="C37" i="5"/>
  <c r="R36" i="5"/>
  <c r="P36" i="5"/>
  <c r="L36" i="5"/>
  <c r="K36" i="5"/>
  <c r="D36" i="5"/>
  <c r="C36" i="5"/>
  <c r="B36" i="5"/>
  <c r="R35" i="5"/>
  <c r="P35" i="5"/>
  <c r="O35" i="5"/>
  <c r="L35" i="5"/>
  <c r="K35" i="5"/>
  <c r="F35" i="5"/>
  <c r="D35" i="5"/>
  <c r="C35" i="5"/>
  <c r="B35" i="5"/>
  <c r="R34" i="5"/>
  <c r="P34" i="5"/>
  <c r="O34" i="5"/>
  <c r="L34" i="5"/>
  <c r="K34" i="5"/>
  <c r="J34" i="5"/>
  <c r="F34" i="5"/>
  <c r="D34" i="5"/>
  <c r="C34" i="5"/>
  <c r="B34" i="5"/>
  <c r="R33" i="5"/>
  <c r="P33" i="5"/>
  <c r="O33" i="5"/>
  <c r="L33" i="5"/>
  <c r="K33" i="5"/>
  <c r="J33" i="5"/>
  <c r="F33" i="5"/>
  <c r="D33" i="5"/>
  <c r="C33" i="5"/>
  <c r="B33" i="5"/>
  <c r="R32" i="5"/>
  <c r="P32" i="5"/>
  <c r="O32" i="5"/>
  <c r="L32" i="5"/>
  <c r="K32" i="5"/>
  <c r="J32" i="5"/>
  <c r="F32" i="5"/>
  <c r="D32" i="5"/>
  <c r="C32" i="5"/>
  <c r="B32" i="5"/>
  <c r="R31" i="5"/>
  <c r="P31" i="5"/>
  <c r="O31" i="5"/>
  <c r="L31" i="5"/>
  <c r="K31" i="5"/>
  <c r="J31" i="5"/>
  <c r="H31" i="5"/>
  <c r="G31" i="5"/>
  <c r="F31" i="5"/>
  <c r="D31" i="5"/>
  <c r="C31" i="5"/>
  <c r="B31" i="5"/>
  <c r="R30" i="5"/>
  <c r="P30" i="5"/>
  <c r="O30" i="5"/>
  <c r="L30" i="5"/>
  <c r="K30" i="5"/>
  <c r="J30" i="5"/>
  <c r="H30" i="5"/>
  <c r="G30" i="5"/>
  <c r="F30" i="5"/>
  <c r="D30" i="5"/>
  <c r="C30" i="5"/>
  <c r="B30" i="5"/>
  <c r="R29" i="5"/>
  <c r="P29" i="5"/>
  <c r="O29" i="5"/>
  <c r="L29" i="5"/>
  <c r="K29" i="5"/>
  <c r="J29" i="5"/>
  <c r="I29" i="5"/>
  <c r="H29" i="5"/>
  <c r="G29" i="5"/>
  <c r="F29" i="5"/>
  <c r="D29" i="5"/>
  <c r="C29" i="5"/>
  <c r="B29" i="5"/>
  <c r="R28" i="5"/>
  <c r="P28" i="5"/>
  <c r="O28" i="5"/>
  <c r="L28" i="5"/>
  <c r="K28" i="5"/>
  <c r="J28" i="5"/>
  <c r="I28" i="5"/>
  <c r="H28" i="5"/>
  <c r="G28" i="5"/>
  <c r="F28" i="5"/>
  <c r="D28" i="5"/>
  <c r="C28" i="5"/>
  <c r="B28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K50" i="4"/>
  <c r="R49" i="4"/>
  <c r="K49" i="4"/>
  <c r="R48" i="4"/>
  <c r="K48" i="4"/>
  <c r="R47" i="4"/>
  <c r="K47" i="4"/>
  <c r="R46" i="4"/>
  <c r="K46" i="4"/>
  <c r="R45" i="4"/>
  <c r="K45" i="4"/>
  <c r="R44" i="4"/>
  <c r="L44" i="4"/>
  <c r="K44" i="4"/>
  <c r="R43" i="4"/>
  <c r="L43" i="4"/>
  <c r="K43" i="4"/>
  <c r="R42" i="4"/>
  <c r="L42" i="4"/>
  <c r="K42" i="4"/>
  <c r="R41" i="4"/>
  <c r="L41" i="4"/>
  <c r="K41" i="4"/>
  <c r="R40" i="4"/>
  <c r="O40" i="4"/>
  <c r="L40" i="4"/>
  <c r="K40" i="4"/>
  <c r="C40" i="4"/>
  <c r="R39" i="4"/>
  <c r="O39" i="4"/>
  <c r="L39" i="4"/>
  <c r="K39" i="4"/>
  <c r="C39" i="4"/>
  <c r="R38" i="4"/>
  <c r="O38" i="4"/>
  <c r="L38" i="4"/>
  <c r="K38" i="4"/>
  <c r="C38" i="4"/>
  <c r="R37" i="4"/>
  <c r="P37" i="4"/>
  <c r="O37" i="4"/>
  <c r="L37" i="4"/>
  <c r="K37" i="4"/>
  <c r="C37" i="4"/>
  <c r="R36" i="4"/>
  <c r="P36" i="4"/>
  <c r="L36" i="4"/>
  <c r="K36" i="4"/>
  <c r="D36" i="4"/>
  <c r="C36" i="4"/>
  <c r="B36" i="4"/>
  <c r="R35" i="4"/>
  <c r="P35" i="4"/>
  <c r="O35" i="4"/>
  <c r="L35" i="4"/>
  <c r="K35" i="4"/>
  <c r="F35" i="4"/>
  <c r="D35" i="4"/>
  <c r="C35" i="4"/>
  <c r="B35" i="4"/>
  <c r="R34" i="4"/>
  <c r="P34" i="4"/>
  <c r="O34" i="4"/>
  <c r="L34" i="4"/>
  <c r="K34" i="4"/>
  <c r="J34" i="4"/>
  <c r="F34" i="4"/>
  <c r="D34" i="4"/>
  <c r="C34" i="4"/>
  <c r="B34" i="4"/>
  <c r="R33" i="4"/>
  <c r="P33" i="4"/>
  <c r="O33" i="4"/>
  <c r="L33" i="4"/>
  <c r="K33" i="4"/>
  <c r="J33" i="4"/>
  <c r="F33" i="4"/>
  <c r="D33" i="4"/>
  <c r="C33" i="4"/>
  <c r="B33" i="4"/>
  <c r="R32" i="4"/>
  <c r="P32" i="4"/>
  <c r="O32" i="4"/>
  <c r="L32" i="4"/>
  <c r="K32" i="4"/>
  <c r="J32" i="4"/>
  <c r="F32" i="4"/>
  <c r="D32" i="4"/>
  <c r="C32" i="4"/>
  <c r="B32" i="4"/>
  <c r="R31" i="4"/>
  <c r="P31" i="4"/>
  <c r="O31" i="4"/>
  <c r="L31" i="4"/>
  <c r="K31" i="4"/>
  <c r="J31" i="4"/>
  <c r="H31" i="4"/>
  <c r="G31" i="4"/>
  <c r="F31" i="4"/>
  <c r="D31" i="4"/>
  <c r="C31" i="4"/>
  <c r="B31" i="4"/>
  <c r="R30" i="4"/>
  <c r="P30" i="4"/>
  <c r="O30" i="4"/>
  <c r="L30" i="4"/>
  <c r="K30" i="4"/>
  <c r="J30" i="4"/>
  <c r="H30" i="4"/>
  <c r="G30" i="4"/>
  <c r="F30" i="4"/>
  <c r="D30" i="4"/>
  <c r="C30" i="4"/>
  <c r="B30" i="4"/>
  <c r="R29" i="4"/>
  <c r="P29" i="4"/>
  <c r="O29" i="4"/>
  <c r="L29" i="4"/>
  <c r="K29" i="4"/>
  <c r="J29" i="4"/>
  <c r="I29" i="4"/>
  <c r="H29" i="4"/>
  <c r="G29" i="4"/>
  <c r="F29" i="4"/>
  <c r="D29" i="4"/>
  <c r="C29" i="4"/>
  <c r="B29" i="4"/>
  <c r="R28" i="4"/>
  <c r="P28" i="4"/>
  <c r="O28" i="4"/>
  <c r="L28" i="4"/>
  <c r="K28" i="4"/>
  <c r="J28" i="4"/>
  <c r="I28" i="4"/>
  <c r="H28" i="4"/>
  <c r="G28" i="4"/>
  <c r="F28" i="4"/>
  <c r="D28" i="4"/>
  <c r="C28" i="4"/>
  <c r="B28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K50" i="3"/>
  <c r="R49" i="3"/>
  <c r="K49" i="3"/>
  <c r="R48" i="3"/>
  <c r="K48" i="3"/>
  <c r="R47" i="3"/>
  <c r="K47" i="3"/>
  <c r="R46" i="3"/>
  <c r="K46" i="3"/>
  <c r="R45" i="3"/>
  <c r="K45" i="3"/>
  <c r="R44" i="3"/>
  <c r="L44" i="3"/>
  <c r="K44" i="3"/>
  <c r="R43" i="3"/>
  <c r="L43" i="3"/>
  <c r="K43" i="3"/>
  <c r="R42" i="3"/>
  <c r="L42" i="3"/>
  <c r="K42" i="3"/>
  <c r="R41" i="3"/>
  <c r="L41" i="3"/>
  <c r="K41" i="3"/>
  <c r="R40" i="3"/>
  <c r="O40" i="3"/>
  <c r="L40" i="3"/>
  <c r="K40" i="3"/>
  <c r="C40" i="3"/>
  <c r="R39" i="3"/>
  <c r="O39" i="3"/>
  <c r="L39" i="3"/>
  <c r="K39" i="3"/>
  <c r="C39" i="3"/>
  <c r="R38" i="3"/>
  <c r="O38" i="3"/>
  <c r="L38" i="3"/>
  <c r="K38" i="3"/>
  <c r="C38" i="3"/>
  <c r="R37" i="3"/>
  <c r="P37" i="3"/>
  <c r="O37" i="3"/>
  <c r="L37" i="3"/>
  <c r="K37" i="3"/>
  <c r="C37" i="3"/>
  <c r="R36" i="3"/>
  <c r="P36" i="3"/>
  <c r="L36" i="3"/>
  <c r="K36" i="3"/>
  <c r="D36" i="3"/>
  <c r="C36" i="3"/>
  <c r="B36" i="3"/>
  <c r="R35" i="3"/>
  <c r="P35" i="3"/>
  <c r="O35" i="3"/>
  <c r="L35" i="3"/>
  <c r="K35" i="3"/>
  <c r="F35" i="3"/>
  <c r="D35" i="3"/>
  <c r="C35" i="3"/>
  <c r="B35" i="3"/>
  <c r="R34" i="3"/>
  <c r="P34" i="3"/>
  <c r="O34" i="3"/>
  <c r="L34" i="3"/>
  <c r="K34" i="3"/>
  <c r="J34" i="3"/>
  <c r="F34" i="3"/>
  <c r="D34" i="3"/>
  <c r="C34" i="3"/>
  <c r="B34" i="3"/>
  <c r="R33" i="3"/>
  <c r="P33" i="3"/>
  <c r="O33" i="3"/>
  <c r="L33" i="3"/>
  <c r="K33" i="3"/>
  <c r="J33" i="3"/>
  <c r="F33" i="3"/>
  <c r="D33" i="3"/>
  <c r="C33" i="3"/>
  <c r="B33" i="3"/>
  <c r="R32" i="3"/>
  <c r="P32" i="3"/>
  <c r="O32" i="3"/>
  <c r="L32" i="3"/>
  <c r="K32" i="3"/>
  <c r="J32" i="3"/>
  <c r="F32" i="3"/>
  <c r="D32" i="3"/>
  <c r="C32" i="3"/>
  <c r="B32" i="3"/>
  <c r="R31" i="3"/>
  <c r="P31" i="3"/>
  <c r="O31" i="3"/>
  <c r="L31" i="3"/>
  <c r="K31" i="3"/>
  <c r="J31" i="3"/>
  <c r="H31" i="3"/>
  <c r="G31" i="3"/>
  <c r="F31" i="3"/>
  <c r="D31" i="3"/>
  <c r="C31" i="3"/>
  <c r="B31" i="3"/>
  <c r="R30" i="3"/>
  <c r="P30" i="3"/>
  <c r="O30" i="3"/>
  <c r="L30" i="3"/>
  <c r="K30" i="3"/>
  <c r="J30" i="3"/>
  <c r="H30" i="3"/>
  <c r="G30" i="3"/>
  <c r="F30" i="3"/>
  <c r="D30" i="3"/>
  <c r="C30" i="3"/>
  <c r="B30" i="3"/>
  <c r="R29" i="3"/>
  <c r="P29" i="3"/>
  <c r="O29" i="3"/>
  <c r="L29" i="3"/>
  <c r="K29" i="3"/>
  <c r="J29" i="3"/>
  <c r="I29" i="3"/>
  <c r="H29" i="3"/>
  <c r="G29" i="3"/>
  <c r="F29" i="3"/>
  <c r="D29" i="3"/>
  <c r="C29" i="3"/>
  <c r="B29" i="3"/>
  <c r="R28" i="3"/>
  <c r="P28" i="3"/>
  <c r="O28" i="3"/>
  <c r="L28" i="3"/>
  <c r="K28" i="3"/>
  <c r="J28" i="3"/>
  <c r="I28" i="3"/>
  <c r="H28" i="3"/>
  <c r="G28" i="3"/>
  <c r="F28" i="3"/>
  <c r="D28" i="3"/>
  <c r="C28" i="3"/>
  <c r="B28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K50" i="2"/>
  <c r="R49" i="2"/>
  <c r="K49" i="2"/>
  <c r="R48" i="2"/>
  <c r="K48" i="2"/>
  <c r="R47" i="2"/>
  <c r="K47" i="2"/>
  <c r="R46" i="2"/>
  <c r="K46" i="2"/>
  <c r="R45" i="2"/>
  <c r="K45" i="2"/>
  <c r="R44" i="2"/>
  <c r="L44" i="2"/>
  <c r="K44" i="2"/>
  <c r="R43" i="2"/>
  <c r="L43" i="2"/>
  <c r="K43" i="2"/>
  <c r="R42" i="2"/>
  <c r="L42" i="2"/>
  <c r="K42" i="2"/>
  <c r="R41" i="2"/>
  <c r="L41" i="2"/>
  <c r="K41" i="2"/>
  <c r="R40" i="2"/>
  <c r="O40" i="2"/>
  <c r="L40" i="2"/>
  <c r="K40" i="2"/>
  <c r="C40" i="2"/>
  <c r="R39" i="2"/>
  <c r="O39" i="2"/>
  <c r="L39" i="2"/>
  <c r="K39" i="2"/>
  <c r="C39" i="2"/>
  <c r="R38" i="2"/>
  <c r="O38" i="2"/>
  <c r="L38" i="2"/>
  <c r="K38" i="2"/>
  <c r="C38" i="2"/>
  <c r="R37" i="2"/>
  <c r="P37" i="2"/>
  <c r="O37" i="2"/>
  <c r="L37" i="2"/>
  <c r="K37" i="2"/>
  <c r="C37" i="2"/>
  <c r="R36" i="2"/>
  <c r="P36" i="2"/>
  <c r="L36" i="2"/>
  <c r="K36" i="2"/>
  <c r="D36" i="2"/>
  <c r="C36" i="2"/>
  <c r="B36" i="2"/>
  <c r="R35" i="2"/>
  <c r="P35" i="2"/>
  <c r="O35" i="2"/>
  <c r="L35" i="2"/>
  <c r="K35" i="2"/>
  <c r="F35" i="2"/>
  <c r="D35" i="2"/>
  <c r="C35" i="2"/>
  <c r="B35" i="2"/>
  <c r="R34" i="2"/>
  <c r="P34" i="2"/>
  <c r="O34" i="2"/>
  <c r="L34" i="2"/>
  <c r="K34" i="2"/>
  <c r="J34" i="2"/>
  <c r="F34" i="2"/>
  <c r="D34" i="2"/>
  <c r="C34" i="2"/>
  <c r="B34" i="2"/>
  <c r="R33" i="2"/>
  <c r="P33" i="2"/>
  <c r="O33" i="2"/>
  <c r="L33" i="2"/>
  <c r="K33" i="2"/>
  <c r="J33" i="2"/>
  <c r="F33" i="2"/>
  <c r="D33" i="2"/>
  <c r="C33" i="2"/>
  <c r="B33" i="2"/>
  <c r="R32" i="2"/>
  <c r="P32" i="2"/>
  <c r="O32" i="2"/>
  <c r="L32" i="2"/>
  <c r="K32" i="2"/>
  <c r="J32" i="2"/>
  <c r="F32" i="2"/>
  <c r="D32" i="2"/>
  <c r="C32" i="2"/>
  <c r="B32" i="2"/>
  <c r="R31" i="2"/>
  <c r="P31" i="2"/>
  <c r="O31" i="2"/>
  <c r="L31" i="2"/>
  <c r="K31" i="2"/>
  <c r="J31" i="2"/>
  <c r="H31" i="2"/>
  <c r="G31" i="2"/>
  <c r="F31" i="2"/>
  <c r="D31" i="2"/>
  <c r="C31" i="2"/>
  <c r="B31" i="2"/>
  <c r="R30" i="2"/>
  <c r="P30" i="2"/>
  <c r="O30" i="2"/>
  <c r="L30" i="2"/>
  <c r="K30" i="2"/>
  <c r="J30" i="2"/>
  <c r="H30" i="2"/>
  <c r="G30" i="2"/>
  <c r="F30" i="2"/>
  <c r="D30" i="2"/>
  <c r="C30" i="2"/>
  <c r="B30" i="2"/>
  <c r="R29" i="2"/>
  <c r="P29" i="2"/>
  <c r="O29" i="2"/>
  <c r="L29" i="2"/>
  <c r="K29" i="2"/>
  <c r="J29" i="2"/>
  <c r="I29" i="2"/>
  <c r="H29" i="2"/>
  <c r="G29" i="2"/>
  <c r="F29" i="2"/>
  <c r="D29" i="2"/>
  <c r="C29" i="2"/>
  <c r="B29" i="2"/>
  <c r="R28" i="2"/>
  <c r="P28" i="2"/>
  <c r="O28" i="2"/>
  <c r="L28" i="2"/>
  <c r="K28" i="2"/>
  <c r="J28" i="2"/>
  <c r="I28" i="2"/>
  <c r="H28" i="2"/>
  <c r="G28" i="2"/>
  <c r="F28" i="2"/>
  <c r="D28" i="2"/>
  <c r="C28" i="2"/>
  <c r="B28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K50" i="1"/>
  <c r="R49" i="1"/>
  <c r="K49" i="1"/>
  <c r="R48" i="1"/>
  <c r="K48" i="1"/>
  <c r="R47" i="1"/>
  <c r="K47" i="1"/>
  <c r="R46" i="1"/>
  <c r="K46" i="1"/>
  <c r="R45" i="1"/>
  <c r="K45" i="1"/>
  <c r="R44" i="1"/>
  <c r="L44" i="1"/>
  <c r="K44" i="1"/>
  <c r="R43" i="1"/>
  <c r="L43" i="1"/>
  <c r="K43" i="1"/>
  <c r="R42" i="1"/>
  <c r="L42" i="1"/>
  <c r="K42" i="1"/>
  <c r="R41" i="1"/>
  <c r="L41" i="1"/>
  <c r="K41" i="1"/>
  <c r="R40" i="1"/>
  <c r="O40" i="1"/>
  <c r="L40" i="1"/>
  <c r="K40" i="1"/>
  <c r="C40" i="1"/>
  <c r="R39" i="1"/>
  <c r="O39" i="1"/>
  <c r="L39" i="1"/>
  <c r="K39" i="1"/>
  <c r="C39" i="1"/>
  <c r="R38" i="1"/>
  <c r="O38" i="1"/>
  <c r="L38" i="1"/>
  <c r="K38" i="1"/>
  <c r="C38" i="1"/>
  <c r="R37" i="1"/>
  <c r="P37" i="1"/>
  <c r="O37" i="1"/>
  <c r="L37" i="1"/>
  <c r="K37" i="1"/>
  <c r="C37" i="1"/>
  <c r="R36" i="1"/>
  <c r="P36" i="1"/>
  <c r="L36" i="1"/>
  <c r="K36" i="1"/>
  <c r="D36" i="1"/>
  <c r="C36" i="1"/>
  <c r="B36" i="1"/>
  <c r="R35" i="1"/>
  <c r="P35" i="1"/>
  <c r="O35" i="1"/>
  <c r="L35" i="1"/>
  <c r="K35" i="1"/>
  <c r="F35" i="1"/>
  <c r="D35" i="1"/>
  <c r="C35" i="1"/>
  <c r="B35" i="1"/>
  <c r="R34" i="1"/>
  <c r="P34" i="1"/>
  <c r="O34" i="1"/>
  <c r="L34" i="1"/>
  <c r="K34" i="1"/>
  <c r="J34" i="1"/>
  <c r="F34" i="1"/>
  <c r="D34" i="1"/>
  <c r="C34" i="1"/>
  <c r="B34" i="1"/>
  <c r="R33" i="1"/>
  <c r="P33" i="1"/>
  <c r="O33" i="1"/>
  <c r="L33" i="1"/>
  <c r="K33" i="1"/>
  <c r="J33" i="1"/>
  <c r="F33" i="1"/>
  <c r="D33" i="1"/>
  <c r="C33" i="1"/>
  <c r="B33" i="1"/>
  <c r="R32" i="1"/>
  <c r="P32" i="1"/>
  <c r="O32" i="1"/>
  <c r="L32" i="1"/>
  <c r="K32" i="1"/>
  <c r="J32" i="1"/>
  <c r="F32" i="1"/>
  <c r="D32" i="1"/>
  <c r="C32" i="1"/>
  <c r="B32" i="1"/>
  <c r="R31" i="1"/>
  <c r="P31" i="1"/>
  <c r="O31" i="1"/>
  <c r="L31" i="1"/>
  <c r="K31" i="1"/>
  <c r="J31" i="1"/>
  <c r="H31" i="1"/>
  <c r="G31" i="1"/>
  <c r="F31" i="1"/>
  <c r="D31" i="1"/>
  <c r="C31" i="1"/>
  <c r="B31" i="1"/>
  <c r="R30" i="1"/>
  <c r="P30" i="1"/>
  <c r="O30" i="1"/>
  <c r="L30" i="1"/>
  <c r="K30" i="1"/>
  <c r="J30" i="1"/>
  <c r="H30" i="1"/>
  <c r="G30" i="1"/>
  <c r="F30" i="1"/>
  <c r="D30" i="1"/>
  <c r="C30" i="1"/>
  <c r="B30" i="1"/>
  <c r="R29" i="1"/>
  <c r="P29" i="1"/>
  <c r="O29" i="1"/>
  <c r="L29" i="1"/>
  <c r="K29" i="1"/>
  <c r="J29" i="1"/>
  <c r="I29" i="1"/>
  <c r="H29" i="1"/>
  <c r="G29" i="1"/>
  <c r="F29" i="1"/>
  <c r="D29" i="1"/>
  <c r="C29" i="1"/>
  <c r="B29" i="1"/>
  <c r="R28" i="1"/>
  <c r="P28" i="1"/>
  <c r="O28" i="1"/>
  <c r="L28" i="1"/>
  <c r="K28" i="1"/>
  <c r="J28" i="1"/>
  <c r="I28" i="1"/>
  <c r="H28" i="1"/>
  <c r="G28" i="1"/>
  <c r="F28" i="1"/>
  <c r="D28" i="1"/>
  <c r="C28" i="1"/>
  <c r="B28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</calcChain>
</file>

<file path=xl/sharedStrings.xml><?xml version="1.0" encoding="utf-8"?>
<sst xmlns="http://schemas.openxmlformats.org/spreadsheetml/2006/main" count="11280" uniqueCount="383">
  <si>
    <t>Time</t>
  </si>
  <si>
    <t>Andrew</t>
  </si>
  <si>
    <t>Azabenathi Pupuma</t>
  </si>
  <si>
    <t>Ben Brooker</t>
  </si>
  <si>
    <t>Flora Kundaeli</t>
  </si>
  <si>
    <t>Mark</t>
  </si>
  <si>
    <t>Michael Malia</t>
  </si>
  <si>
    <t>Muhammad Chothia</t>
  </si>
  <si>
    <t>Ntsako Mavuyangwa</t>
  </si>
  <si>
    <t>Palesa Maboeei</t>
  </si>
  <si>
    <t>Riyadh Leonard</t>
  </si>
  <si>
    <t>Robin April</t>
  </si>
  <si>
    <t>Ruan Vandermerwe</t>
  </si>
  <si>
    <t>Sandisiwe Manquma</t>
  </si>
  <si>
    <t>Suzanne Edlmann</t>
  </si>
  <si>
    <t>Thando Calana</t>
  </si>
  <si>
    <t>Thembani Faleni</t>
  </si>
  <si>
    <t>08:00</t>
  </si>
  <si>
    <t>Check emails and update timesheet</t>
  </si>
  <si>
    <t>Daily Admin, Prep Tasks and Communications</t>
  </si>
  <si>
    <t>08:30</t>
  </si>
  <si>
    <t>Daily Stand Up, Reminder: Update and Submit Timesheets</t>
  </si>
  <si>
    <t>Daily Stand Up</t>
  </si>
  <si>
    <t>09:00</t>
  </si>
  <si>
    <t xml:space="preserve">OM Work, Daily Standup (if in Office 3B07) </t>
  </si>
  <si>
    <t>Weekly sales meeting</t>
  </si>
  <si>
    <t>Wonga Work</t>
  </si>
  <si>
    <t>09:30</t>
  </si>
  <si>
    <t>PM work, OM Work</t>
  </si>
  <si>
    <t>Ongoing: Daily operational tasks DSY</t>
  </si>
  <si>
    <t>Internal Projects - Weekly Action Meeting, Wonga Work</t>
  </si>
  <si>
    <t>Internal Projects - Weekly Action Meeting</t>
  </si>
  <si>
    <t>10:00</t>
  </si>
  <si>
    <t>Shoprite Analytics|| Cloud BI Daily Stand Up</t>
  </si>
  <si>
    <t>Reg Change New Test Cases, OM work, OM Work</t>
  </si>
  <si>
    <t xml:space="preserve">Wonga Work, Allocated Shoprite SLA - Alteryx </t>
  </si>
  <si>
    <t>10:30</t>
  </si>
  <si>
    <t>DWH</t>
  </si>
  <si>
    <t>[SLA - Shoprite - Tableau] Shoprite - Tableau - SLA</t>
  </si>
  <si>
    <t xml:space="preserve">Investec - Review and Way Forward, Wonga Work, Allocated Shoprite SLA - Alteryx </t>
  </si>
  <si>
    <t>Investec - Review and Way Forward</t>
  </si>
  <si>
    <t>11:00</t>
  </si>
  <si>
    <t>Taquanta: Projects Internal Standup</t>
  </si>
  <si>
    <t>Canceled: Shoprite SLA Internal Review , Taquanta: Projects Internal Standup</t>
  </si>
  <si>
    <t>OM work, OM Work</t>
  </si>
  <si>
    <t>Profit discrepancies</t>
  </si>
  <si>
    <t>Canceled: Shoprite SLA Internal Review , [SLA - Shoprite - Tableau] Shoprite - Tableau - SLA</t>
  </si>
  <si>
    <t xml:space="preserve">Allocated Shoprite SLA - Alteryx , Canceled: Shoprite SLA Internal Review </t>
  </si>
  <si>
    <t>SnowPro Core Certification</t>
  </si>
  <si>
    <t>11:30</t>
  </si>
  <si>
    <t>DSY DW - Daily standup</t>
  </si>
  <si>
    <t>Canceled: Shoprite SLA Internal Review , DSY DW - Daily standup, Ben &lt;&gt; Nate - 1:1</t>
  </si>
  <si>
    <t>IP: SaaS - Asset Management progress update</t>
  </si>
  <si>
    <t>12:00</t>
  </si>
  <si>
    <t xml:space="preserve">Sanlam: Additional hours for the next phase + Documentation/Report Discussion </t>
  </si>
  <si>
    <t>Aza &lt;&gt; Nate - 1:1</t>
  </si>
  <si>
    <t>Coffee chat, Internal Study time(PDP)</t>
  </si>
  <si>
    <t>Masjid</t>
  </si>
  <si>
    <t>12:30</t>
  </si>
  <si>
    <t>OM work, OM Work, Flora &lt;&gt; Nate - 1:1</t>
  </si>
  <si>
    <t>Internal Study time(PDP)</t>
  </si>
  <si>
    <t>Sanlam: Additional hours for the next phase + Documentation/Report Discussion , Lunch Break</t>
  </si>
  <si>
    <t>13:00</t>
  </si>
  <si>
    <t>Wonga: DWH development &amp; migration on Snowflake Project Sprint Planning Session</t>
  </si>
  <si>
    <t>OM work</t>
  </si>
  <si>
    <t>Lunch Break, Wonga: DWH development &amp; migration on Snowflake Project Sprint Planning Session</t>
  </si>
  <si>
    <t>Canceled: Wonga: DWH development &amp; migration on Snowflake Project Sprint Planning Session</t>
  </si>
  <si>
    <t>13:30</t>
  </si>
  <si>
    <t>Wonga: DWH development &amp; migration on Snowflake Project Sprint Planning Session, PM Forum</t>
  </si>
  <si>
    <t>OM work, PM Forum</t>
  </si>
  <si>
    <t>Wonga: DWH development &amp; migration on Snowflake Project Sprint Planning Session, Mark &lt;&gt; Nate - 1:1</t>
  </si>
  <si>
    <t>PM Forum</t>
  </si>
  <si>
    <t>Internal Projects - SLA Reporting Project, Tableau Server to Cloud Migration Work and other, Wonga: DWH development &amp; migration on Snowflake Project Sprint Planning Session</t>
  </si>
  <si>
    <t>AWS Solutions Architect Associate</t>
  </si>
  <si>
    <t>14:00</t>
  </si>
  <si>
    <t>Cura Reg Change Dashboard | Prod Handover, OM Work, PM Forum</t>
  </si>
  <si>
    <t>Michael &lt;&gt; Nate - 1:1</t>
  </si>
  <si>
    <t>PM Forum, Tech team retrospective</t>
  </si>
  <si>
    <t>SSL Certificate Expiration in 1 Week - Reminder, Internal Projects - SLA Reporting Project, Tableau Server to Cloud Migration Work and other, Wonga: DWH development &amp; migration on Snowflake Project Sprint Planning Session</t>
  </si>
  <si>
    <t>SSL Certificate Expiration in 1 Week - Reminder, AWS Solutions Architect Associate</t>
  </si>
  <si>
    <t>14:30</t>
  </si>
  <si>
    <t>Cura Reg Change Dashboard | Prod Handover, OM Work</t>
  </si>
  <si>
    <t>Tech team retrospective</t>
  </si>
  <si>
    <t>Discovery Plan Update + emails, Slipstream - IPD - Internal Projects  ( Slipstream Data ) (Harvest Timesheets and Reports, ClickUp Tasks and Reports, Billing, Training, Emails, Documentation, Reports)</t>
  </si>
  <si>
    <t>15:00</t>
  </si>
  <si>
    <t>Snowflake Training Series</t>
  </si>
  <si>
    <t>OM Work, Snowflake Training Series</t>
  </si>
  <si>
    <t>Snowflake Training Series, Tech team retrospective, Canceled: Tech team huddle</t>
  </si>
  <si>
    <t xml:space="preserve"> Snowflake Training Series</t>
  </si>
  <si>
    <t>Shoprite Plan Update + Emails , Slipstream - IPD - Internal Projects  ( Slipstream Data ) (Harvest Timesheets and Reports, ClickUp Tasks and Reports, Billing, Training, Emails, Documentation, Reports)</t>
  </si>
  <si>
    <t>15:30</t>
  </si>
  <si>
    <t>Tableau SSO, Snowflake Training Series</t>
  </si>
  <si>
    <t>Snowflake Training Series, Canceled: Tech team huddle</t>
  </si>
  <si>
    <t>Slipstream - IPD - Internal Projects  ( Slipstream Data ) (Harvest Timesheets and Reports, ClickUp Tasks and Reports, Billing, Training, Emails, Documentation, Reports), Wonga Project Plan + Budget Update +Emails</t>
  </si>
  <si>
    <t>16:00</t>
  </si>
  <si>
    <t>Snowflake Training Series, Canceled: DSY DW - Daily standup</t>
  </si>
  <si>
    <t>Canceled: DSY DW - Daily standup, Snowflake Training Series</t>
  </si>
  <si>
    <t>Upskilling, Snowflake Training Series</t>
  </si>
  <si>
    <t>Slipstream - IPD - Internal Projects  ( Slipstream Data ) (Harvest Timesheets and Reports, ClickUp Tasks and Reports, Billing, Training, Emails, Documentation, Reports)</t>
  </si>
  <si>
    <t>Check Internal Work, Snowflake Training Series</t>
  </si>
  <si>
    <t>16:30</t>
  </si>
  <si>
    <t>Upskilling</t>
  </si>
  <si>
    <t>Taquanta December report daily tasks update + emails</t>
  </si>
  <si>
    <t>Check Internal Work</t>
  </si>
  <si>
    <t>17:00</t>
  </si>
  <si>
    <t>Snowflake Training</t>
  </si>
  <si>
    <t>17:30</t>
  </si>
  <si>
    <t>Load %</t>
  </si>
  <si>
    <t>Tasks per Assignee</t>
  </si>
  <si>
    <t>Andrew Milner</t>
  </si>
  <si>
    <t>Mark Gelman</t>
  </si>
  <si>
    <t>Ruan Van der Merwe</t>
  </si>
  <si>
    <t>Unassigned</t>
  </si>
  <si>
    <t>Daily Stand Up, SS Tech Team Daily check-in</t>
  </si>
  <si>
    <t>Wonga - merge issue investigate, DSY DW - Daily standup</t>
  </si>
  <si>
    <t>OM work, OM Work, S/Stream - EBU Cadence - Bi-Monthly</t>
  </si>
  <si>
    <t>DSY DW - Daily standup, DSY DW - Daily standup</t>
  </si>
  <si>
    <t>Investec - Hours Discussion, Wonga Work</t>
  </si>
  <si>
    <t>Investec - Hours Discussion, DSY DW - Daily standup</t>
  </si>
  <si>
    <t>Canceled event: S/Stream - EBU Cadence - Bi-Monthly @ Tue Dec 2, 2025 09:00 - 09:30 (SAST) (suzanne.edlmann@slipstreamdata.co.za)</t>
  </si>
  <si>
    <t>Wonga: DWH development &amp; migration on Snowflake Project Daily Standup**With Client**</t>
  </si>
  <si>
    <t>OM work, OM Work, FW: GRCA Portfolio | Team Stand-up, Wonga: DWH development &amp; migration on Snowflake Project Daily Standup**With Client**</t>
  </si>
  <si>
    <t>Ntsako &lt;&gt; Nate - 1:1</t>
  </si>
  <si>
    <t>Wonga Work, Wonga: DWH development &amp; migration on Snowflake Project Daily Standup**With Client**</t>
  </si>
  <si>
    <t>Wonga - merge issue investigate, Shoprite Analytics|| Cloud BI Daily Stand Up</t>
  </si>
  <si>
    <t>Thembani &lt;&gt; Nate - 1:1</t>
  </si>
  <si>
    <t>Agentforce - Customer Success</t>
  </si>
  <si>
    <t>Investec / Alteryx context</t>
  </si>
  <si>
    <t>OM work, OM Work, Agentforce - Customer Success</t>
  </si>
  <si>
    <t>Clean up and Documentation</t>
  </si>
  <si>
    <t xml:space="preserve">Investec / Alteryx context, Wonga Work, Allocated Shoprite SLA - Alteryx </t>
  </si>
  <si>
    <t>Resource Utilisation Review</t>
  </si>
  <si>
    <t>Raw vs Data lake Scan time changes</t>
  </si>
  <si>
    <t>Allocated Shoprite SLA - Alteryx , Canceled: Monthly Client Support Reports Process Implementation - Feedback Sessions</t>
  </si>
  <si>
    <t>wonga - merge error fact application</t>
  </si>
  <si>
    <t>Palesa &lt;&gt; Nate - 1:1, [SLA - Shoprite - Tableau] Shoprite - Tableau - SLA</t>
  </si>
  <si>
    <t xml:space="preserve">Allocated Shoprite SLA - Alteryx </t>
  </si>
  <si>
    <t>Wonga Project Plan + Budget Update +Emails</t>
  </si>
  <si>
    <t>Taquanta: Weekly SLA &amp; Projects update (Client meeting)</t>
  </si>
  <si>
    <t>PM Forum (re-scheduled)</t>
  </si>
  <si>
    <t>PM Forum (re-scheduled), OM Work</t>
  </si>
  <si>
    <t>Lunch Break</t>
  </si>
  <si>
    <t>DWH SLA and Support</t>
  </si>
  <si>
    <t>Discovery Plan Update + emails</t>
  </si>
  <si>
    <t>Canceled: Digital Automation Weekly Coffee</t>
  </si>
  <si>
    <t>Wonga - merge issue - debug and rerun</t>
  </si>
  <si>
    <t>OM Work</t>
  </si>
  <si>
    <t xml:space="preserve">Riyad &lt;&gt; Nate - 1:1 </t>
  </si>
  <si>
    <t>Internal Projects - SLA Reporting Project, Tableau Server to Cloud Migration Work and other</t>
  </si>
  <si>
    <t xml:space="preserve">Shoprite Plan Update + Emails </t>
  </si>
  <si>
    <t>CBR Phase 2 Dashboard(online), OM Work</t>
  </si>
  <si>
    <t>Internal Projects - SLA Reporting Project, Tableau Server to Cloud Migration Work and other, Robin &lt;&gt; Nate - 1:1</t>
  </si>
  <si>
    <t>Fill in Teams calendar</t>
  </si>
  <si>
    <t>Taquanta - python reports repo</t>
  </si>
  <si>
    <t>PM work, CBR and FATCA, OM Work</t>
  </si>
  <si>
    <t>SlipstreamData UK Limited - Companies House Verification</t>
  </si>
  <si>
    <t>Taquanta - python reports repo, Canceled: DSY DW - Daily standup</t>
  </si>
  <si>
    <t>DSY DW - Daily standup, Canceled: DSY DW - Daily standup</t>
  </si>
  <si>
    <t>Canceled: DSY DW - Daily standup</t>
  </si>
  <si>
    <t xml:space="preserve">Capacity Planning - Flora &amp; Rob, OM Work, Daily Standup (if in Office 3B07) </t>
  </si>
  <si>
    <t>Spur Tableau Support</t>
  </si>
  <si>
    <t>Capacity Planning - Flora &amp; Rob, Wonga Work</t>
  </si>
  <si>
    <t>Wonga: DWH Project Tech Team Weekly Various Topics Collaboration Session **Client Onsite Meeting**</t>
  </si>
  <si>
    <t>Canceled: Wonga: DWH development &amp; migration on Snowflake Project Daily Standup**With Client**, Wonga: DWH Project Tech Team Weekly Various Topics Collaboration Session **Client Onsite Meeting**</t>
  </si>
  <si>
    <t xml:space="preserve">OM Work, Canceled: Wonga: DWH development &amp; migration on Snowflake Project Daily Standup**With Client**, Wonga: DWH Project Tech Team Weekly Various Topics Collaboration Session **Client Onsite Meeting**, Daily Standup (if in Office 3B07) </t>
  </si>
  <si>
    <t>Ongoing: Daily operational tasks DSY, Ongoing: Daily operational tasks DSY</t>
  </si>
  <si>
    <t>Wonga: DWH Project Tech Team Weekly Various Topics Collaboration Session **Client Onsite Meeting**, Canceled: Wonga: DWH development &amp; migration on Snowflake Project Daily Standup**With Client**</t>
  </si>
  <si>
    <t>Wonga Work, Canceled: Wonga: DWH development &amp; migration on Snowflake Project Daily Standup**With Client**, Wonga: DWH Project Tech Team Weekly Various Topics Collaboration Session **Client Onsite Meeting**</t>
  </si>
  <si>
    <t>Canceled: Wonga: DWH development &amp; migration on Snowflake Project Daily Standup**With Client**</t>
  </si>
  <si>
    <t>Wonga: DWH Project Tech Team Weekly Various Topics Collaboration Session **Client Onsite Meeting**, Shoprite Analytics|| Cloud BI Daily Stand Up</t>
  </si>
  <si>
    <t>OM Work, OM Work, Wonga: DWH Project Tech Team Weekly Various Topics Collaboration Session **Client Onsite Meeting**</t>
  </si>
  <si>
    <t>Shoprite Analytics|| Cloud BI Daily Stand Up, Wonga: DWH Project Tech Team Weekly Various Topics Collaboration Session **Client Onsite Meeting**</t>
  </si>
  <si>
    <t>Wonga Work, Allocated Shoprite SLA - Alteryx , Wonga: DWH Project Tech Team Weekly Various Topics Collaboration Session **Client Onsite Meeting**</t>
  </si>
  <si>
    <t>Datadog integration discussion</t>
  </si>
  <si>
    <t>OM Work, OM Work</t>
  </si>
  <si>
    <t>TAQUANTA SECOND SUPPORT</t>
  </si>
  <si>
    <t xml:space="preserve">Datadog integration discussion, Wonga: Datalake tables consolidation investigation discussion </t>
  </si>
  <si>
    <t xml:space="preserve">Wonga: Datalake tables consolidation investigation discussion </t>
  </si>
  <si>
    <t>Suzanne &lt;&gt; Nate - 1:1</t>
  </si>
  <si>
    <t>Invested demo prep</t>
  </si>
  <si>
    <t>PDP Prep Review, OM Work</t>
  </si>
  <si>
    <t>Sygnia Cisca report deployment</t>
  </si>
  <si>
    <t>Physical Model Design - Review</t>
  </si>
  <si>
    <t>Flora &lt;&gt; Nate 1:1, OM Work</t>
  </si>
  <si>
    <t>Invested demo prep, Lunch Break</t>
  </si>
  <si>
    <t xml:space="preserve">Investec PVT Bank 80 Hours Support Project Weekly Report </t>
  </si>
  <si>
    <t>Resource scheduling discussion</t>
  </si>
  <si>
    <t>Investec demo prep</t>
  </si>
  <si>
    <t>Sanlam: Additional hours for the next phase + Documentation/Report Discussion Part2</t>
  </si>
  <si>
    <t>Databricks Upskilling</t>
  </si>
  <si>
    <t>Sanlam: Additional hours for the next phase + Documentation/Report Discussion Part2, Internal Projects - SLA Reporting Project, Tableau Server to Cloud Migration Work and other</t>
  </si>
  <si>
    <t>Investec demo runthrough</t>
  </si>
  <si>
    <t>Data Cloud Implentation Questions</t>
  </si>
  <si>
    <t>Investec demo runthrough, Canceled: DSY DW - Daily standup</t>
  </si>
  <si>
    <t>OM work, Product Management</t>
  </si>
  <si>
    <t>FW: Tableau Reports: Publish to Server, OM Work</t>
  </si>
  <si>
    <t>ODO Work, Weekly Meeting</t>
  </si>
  <si>
    <t>Tableau Support catch up with Vuyokazi</t>
  </si>
  <si>
    <t>OM Work, FW: GRCA Portfolio | Team Stand-up, Wonga: DWH development &amp; migration on Snowflake Project Daily Standup**With Client**</t>
  </si>
  <si>
    <t>FW: Weekly Check-In: Tableau Progress</t>
  </si>
  <si>
    <t>PM Slides, OM work, OM Work</t>
  </si>
  <si>
    <t>Wonga Work, Allocated Shoprite SLA - Alteryx , Sanlam Weekly Check-in</t>
  </si>
  <si>
    <t>Tableau Cloud versus on prem</t>
  </si>
  <si>
    <t>ODO Work</t>
  </si>
  <si>
    <t>Ongoing: Daily operational tasks DSY, Canceled: DWH</t>
  </si>
  <si>
    <t xml:space="preserve">Wonga: review tasks and hours </t>
  </si>
  <si>
    <t>Canceled: Wonga: DWH development &amp; migration on Snowflake Project Review Sessions</t>
  </si>
  <si>
    <t>Wonga: review tasks and hours , Slipstream - IPD - Internal Projects  ( Slipstream Data ) (Harvest Timesheets and Reports, ClickUp Tasks and Reports, Billing, Training, Emails, Documentation, Reports)</t>
  </si>
  <si>
    <t>Wonga Marts: DebtorsAging</t>
  </si>
  <si>
    <t>FW: FATCA Work - check in, PM Slides, OM work, OM Work</t>
  </si>
  <si>
    <t>Canceled: DWH</t>
  </si>
  <si>
    <t xml:space="preserve">Teams Test, Allocated Shoprite SLA - Alteryx </t>
  </si>
  <si>
    <t>SnowPro Core Certification, Canceled: Wonga: DWH development &amp; migration on Snowflake Project Review Sessions</t>
  </si>
  <si>
    <t>Wonga - audit structures, Alteryx Demo</t>
  </si>
  <si>
    <t>PM Slides, FW: FATCA Tableau Dashboards - Deploy to Prod, OM work, OM Work</t>
  </si>
  <si>
    <t>Wonga : Changes To Dims and Facts</t>
  </si>
  <si>
    <t xml:space="preserve">Alteryx Demo, Allocated Shoprite SLA - Alteryx </t>
  </si>
  <si>
    <t>Alteryx Demo</t>
  </si>
  <si>
    <t>Wonga x Slipstream - remaining hours discussion</t>
  </si>
  <si>
    <t>Investec demo prep review before demo</t>
  </si>
  <si>
    <t>Travel</t>
  </si>
  <si>
    <t>Investec demo - Alteryx</t>
  </si>
  <si>
    <t>Development activities - Glue - code and data</t>
  </si>
  <si>
    <t>Snowflake Upskilling</t>
  </si>
  <si>
    <t>Look through reporting</t>
  </si>
  <si>
    <t>Alteryx product management sync prep</t>
  </si>
  <si>
    <t>Internal Projects - Catchup - Robin &amp; Thembani</t>
  </si>
  <si>
    <t>Internal Projects - Catchup - Robin &amp; Thembani, AWS Solutions Architect Associate</t>
  </si>
  <si>
    <t>PM work</t>
  </si>
  <si>
    <t>Case#00799274-Alteryx Amazon Athena Browser SSO Authentication for Alteryx Designer &amp; Server</t>
  </si>
  <si>
    <t>Intro Shiv and Slipstream team</t>
  </si>
  <si>
    <t>PM work, Test with DAN</t>
  </si>
  <si>
    <t>PMO: Client Reports Review and Sign-off</t>
  </si>
  <si>
    <t>Alteryx product management sync prep, Canceled: DSY DW - Daily standup</t>
  </si>
  <si>
    <t>Product Management</t>
  </si>
  <si>
    <t>ScaleUp - Homework session 1 , DSY DW - Daily standup</t>
  </si>
  <si>
    <t xml:space="preserve">CDC 2564 - Develop an audit trail dashboard for e Fillers, OM Work, Daily Standup (if in Office 3B07) </t>
  </si>
  <si>
    <t xml:space="preserve">ScaleUp - Homework session 1 </t>
  </si>
  <si>
    <t>Product Management Sync</t>
  </si>
  <si>
    <t>CDC 2564 - Develop an audit trail dashboard for e Fillers, OM Work, Product Management Sync</t>
  </si>
  <si>
    <t>Aignment Zay, OM Work</t>
  </si>
  <si>
    <t>Snowflake training practical - complete Monday's session on Cortex</t>
  </si>
  <si>
    <t>ScaleUp - Homework session 1 , SnowPro Core Training Series</t>
  </si>
  <si>
    <t>SnowPro Core Training Series</t>
  </si>
  <si>
    <t>[SLA - Shoprite - Tableau] Shoprite - Tableau - SLA, SnowPro Core Training Series</t>
  </si>
  <si>
    <t>Allocated Shoprite SLA - Alteryx , SnowPro Core Training Series</t>
  </si>
  <si>
    <t>SnowPro Core Training Series, SnowPro Core Certification</t>
  </si>
  <si>
    <t>DW: Weekly round-up-meeting, SnowPro Core Training Series</t>
  </si>
  <si>
    <t>Taquanta python repos - instantiate and test on Subaru, SnowPro Core Training Series</t>
  </si>
  <si>
    <t>SnowPro Core Training Series, DW: Weekly round-up-meeting</t>
  </si>
  <si>
    <t>SnowPro Core Training Series, Canceled: Monthly Client Support Reports Process Implementation - Feedback Sessions</t>
  </si>
  <si>
    <t>DW: Weekly round-up-meeting</t>
  </si>
  <si>
    <t>Taquanta python repos - instantiate and test on Subaru</t>
  </si>
  <si>
    <t>Sanlam: Additional hours for the next phase + Documentation/Report Discussion Part3</t>
  </si>
  <si>
    <t>Sanlam: Additional hours for the next phase + Documentation/Report Discussion Part3, Lunch Break</t>
  </si>
  <si>
    <t>Sanlam: Additional hours for the next phase + Documentation/Report Discussion Part3, Slipstream - IPD - Internal Projects  ( Slipstream Data ) (Harvest Timesheets and Reports, ClickUp Tasks and Reports, Billing, Training, Emails, Documentation, Reports)</t>
  </si>
  <si>
    <t>Wonga audit structures</t>
  </si>
  <si>
    <t>Tech Team Friday</t>
  </si>
  <si>
    <t>Leave</t>
  </si>
  <si>
    <t>Focus time, OM Work</t>
  </si>
  <si>
    <t>ARA-C01:SnowPro Advanced: Architect Certification Exam, ARA-C01:SnowPro Advanced: Architect Certification Exam</t>
  </si>
  <si>
    <t>ARA-C01:SnowPro Advanced: Architect Certification Exam, ARA-C01:SnowPro Advanced: Architect Certification Exam, Shoprite Analytics|| Cloud BI Daily Stand Up</t>
  </si>
  <si>
    <t>WhereScape leads list , DSY DW - Daily standup</t>
  </si>
  <si>
    <t>Ongoing: Daily operational tasks DSY, DSY DW - Daily standup</t>
  </si>
  <si>
    <t>ARA-C01:SnowPro Advanced: Architect Certification Exam, ARA-C01:SnowPro Advanced: Architect Certification Exam, [SLA - Shoprite - Tableau] Shoprite - Tableau - SLA</t>
  </si>
  <si>
    <t xml:space="preserve">Canceled: WhereScape catch up </t>
  </si>
  <si>
    <t xml:space="preserve">DWH Transform load Monitoring  </t>
  </si>
  <si>
    <t>Investec use-case discussion , Internal Projects - SLA Reporting Project, Tableau Server to Cloud Migration Work and other</t>
  </si>
  <si>
    <t>Muzi x Andrew Njere</t>
  </si>
  <si>
    <t>Tech team planning, Canceled: Tech Team retro</t>
  </si>
  <si>
    <t>Tableau Tribe Development and Upskilling, Tableau Tribe Development &amp; Upskilling</t>
  </si>
  <si>
    <t>OM Work, Tableau Tribe Development and Upskilling, Tableau Tribe Development &amp; Upskilling</t>
  </si>
  <si>
    <t>Tableau Tribe Development &amp; Upskilling, Tableau Tribe Development and Upskilling</t>
  </si>
  <si>
    <t>Canceled: Tech Team retro</t>
  </si>
  <si>
    <t xml:space="preserve">Canceled: Product Management - Wherescape &amp; Alteryx </t>
  </si>
  <si>
    <t>Focus time</t>
  </si>
  <si>
    <t>New business &amp; AUM Reports, DSY DW - Daily standup</t>
  </si>
  <si>
    <t>New business &amp; AUM Reports, Wonga: DWH development &amp; migration on Snowflake Project Daily Standup**With Client**</t>
  </si>
  <si>
    <t>Wonga: Snowflake uppercase/lowercase issue discussion, Leave</t>
  </si>
  <si>
    <t>Wonga: Snowflake uppercase/lowercase issue discussion</t>
  </si>
  <si>
    <t>One-One coaching - Ntsako</t>
  </si>
  <si>
    <t>Taquanta: Weekly SLA &amp; Projects update (Client meeting), One-One coaching - Ntsako</t>
  </si>
  <si>
    <t>Lunch Break, Monthly Client Support Reports Process Implementation - Feedback Sessions</t>
  </si>
  <si>
    <t>Monthly Client Support Reports Process Implementation - Feedback Sessions</t>
  </si>
  <si>
    <t>Digital Automation Weekly Coffee</t>
  </si>
  <si>
    <t>OPS Exec Updates</t>
  </si>
  <si>
    <t>SPN Pulse Q4, SPN Pulse Q4, SPN Pulse Q4</t>
  </si>
  <si>
    <t>Wonga: DWH Project Tech Team Weekly Various Topics Collaboration Session **Client Onsite Meeting**, Wonga: DWH development &amp; migration on Snowflake Project Daily Standup**With Client**</t>
  </si>
  <si>
    <t>OM Work, Canceled: Wonga: DWH development &amp; migration on Snowflake Project Daily Standup**With Client**, Wonga: DWH Project Tech Team Weekly Various Topics Collaboration Session **Client Onsite Meeting**</t>
  </si>
  <si>
    <t>Canceled: Tech Team Planning , Wonga: DWH Project Tech Team Weekly Various Topics Collaboration Session **Client Onsite Meeting**</t>
  </si>
  <si>
    <t>OM Work, Wonga: DWH Project Tech Team Weekly Various Topics Collaboration Session **Client Onsite Meeting**</t>
  </si>
  <si>
    <t xml:space="preserve">Ongoing: Daily operational tasks DSY, Ongoing: Daily operational tasks DSY, Canceled: Tech Team Planning </t>
  </si>
  <si>
    <t xml:space="preserve">Canceled: Tech Team Planning </t>
  </si>
  <si>
    <t xml:space="preserve">Wonga: DWH Project Tech Team Weekly Various Topics Collaboration Session **Client Onsite Meeting**, Investec PVT Bank 80 Hours Support Project Weekly Report </t>
  </si>
  <si>
    <t xml:space="preserve">Ongoing: Daily operational tasks DSY, Canceled: Tech Team Planning </t>
  </si>
  <si>
    <t>Investec Property Risk | Slipstream (Alteryx &amp; Power BI Support)</t>
  </si>
  <si>
    <t>Investec Property Risk | Slipstream (Alteryx &amp; Power BI Support), Internal Projects - SLA Reporting Project, Tableau Server to Cloud Migration Work and other</t>
  </si>
  <si>
    <t>DSY DW - Daily standup, Strategy and solution Day</t>
  </si>
  <si>
    <t>OM Work, Daily Standup (if in Office 3B07) , OM Advisor Recon (Manual Run)</t>
  </si>
  <si>
    <t>Advisor Recon Refresh Data Source</t>
  </si>
  <si>
    <t>Wonga: DWH development &amp; migration on Snowflake Project Daily Standup**With Client**, Strategy and solution Day</t>
  </si>
  <si>
    <t>OM Work, FW: GRCA Portfolio | Team Stand-up, Wonga: DWH development &amp; migration on Snowflake Project Daily Standup**With Client**, OM Advisor Recon (Manual Run)</t>
  </si>
  <si>
    <t>FW: Weekly Check-In: Tableau Progress, Strategy and solution Day</t>
  </si>
  <si>
    <t xml:space="preserve">Shoprite Analytics|| Cloud BI Daily Stand Up, Canceled: Monthly SLA Review - Tableau/Alteryx/Snowflake b2b </t>
  </si>
  <si>
    <t>Wonga: DWH development &amp; migration on Snowflake Project Review Sessions, Strategy and solution Day</t>
  </si>
  <si>
    <t>Wonga: DWH development &amp; migration on Snowflake Project Review Sessions</t>
  </si>
  <si>
    <t>Leave, Wonga: DWH development &amp; migration on Snowflake Project Review Sessions</t>
  </si>
  <si>
    <t>Wonga: DWH development &amp; migration on Snowflake Project Review Sessions, Canceled: Monthly SLA Review - Tableau/Alteryx/Snowflake b2b , [SLA - Shoprite - Tableau] Shoprite - Tableau - SLA</t>
  </si>
  <si>
    <t>Wonga Work, Allocated Shoprite SLA - Alteryx , Wonga: DWH development &amp; migration on Snowflake Project Review Sessions</t>
  </si>
  <si>
    <t>Wonga: DWH development &amp; migration on Snowflake Project Review Sessions, Wonga: DWH Project Monthly Retrospective Sessions **Internal Meeting**, Strategy and solution Day</t>
  </si>
  <si>
    <t>Wonga: DWH Project Monthly Retrospective Sessions **Internal Meeting**, Wonga: DWH development &amp; migration on Snowflake Project Review Sessions</t>
  </si>
  <si>
    <t>Wonga: DWH development &amp; migration on Snowflake Project Review Sessions, Wonga: DWH Project Monthly Retrospective Sessions **Internal Meeting**</t>
  </si>
  <si>
    <t>OM Work, Canceled: Wonga: DWH Project Monthly Retrospective Sessions **Internal Meeting**</t>
  </si>
  <si>
    <t>Wonga: DWH development &amp; migration on Snowflake Project Review Sessions, Wonga: DWH Project Monthly Retrospective Sessions **Internal Meeting**, [SLA - Shoprite - Tableau] Shoprite - Tableau - SLA</t>
  </si>
  <si>
    <t>Allocated Shoprite SLA - Alteryx , Wonga: DWH development &amp; migration on Snowflake Project Review Sessions, Wonga: DWH Project Monthly Retrospective Sessions **Internal Meeting**</t>
  </si>
  <si>
    <t>Canceled: Wonga: DWH Project Monthly Retrospective Sessions **Internal Meeting**</t>
  </si>
  <si>
    <t>SnowPro Core Certification, Canceled: Wonga: DWH Project Monthly Retrospective Sessions **Internal Meeting**</t>
  </si>
  <si>
    <t>Wonga: DWH Project Monthly Retrospective Sessions **Internal Meeting**, Strategy and solution Day</t>
  </si>
  <si>
    <t>Wonga: DWH Project Monthly Retrospective Sessions **Internal Meeting**</t>
  </si>
  <si>
    <t>Wonga: DWH Project Monthly Retrospective Sessions **Internal Meeting**, [SLA - Shoprite - Tableau] Shoprite - Tableau - SLA</t>
  </si>
  <si>
    <t>Allocated Shoprite SLA - Alteryx , Wonga: DWH Project Monthly Retrospective Sessions **Internal Meeting**</t>
  </si>
  <si>
    <t>Wonga: DWH Project Monthly Retrospective Sessions **Internal Meeting**, Wonga Project Plan + Budget Update +Emails</t>
  </si>
  <si>
    <t>Lunch Break, Wonga: DWH Project Monthly Retrospective Sessions **Internal Meeting**</t>
  </si>
  <si>
    <t>Strategy and solution Day</t>
  </si>
  <si>
    <t>Cape Town YE Lunch, Strategy and solution Day</t>
  </si>
  <si>
    <t>Cape Town YE Lunch</t>
  </si>
  <si>
    <t>Cape Town YE Lunch, Slipstream - IPD - Internal Projects  ( Slipstream Data ) (Harvest Timesheets and Reports, ClickUp Tasks and Reports, Billing, Training, Emails, Documentation, Reports)</t>
  </si>
  <si>
    <t>Cape Town YE Lunch, Canceled: DSY DW - Daily standup</t>
  </si>
  <si>
    <t>Cape Town YE Lunch, Product Management</t>
  </si>
  <si>
    <t>Cape Town YE Lunch, Upskilling</t>
  </si>
  <si>
    <t>Cape Town YE Lunch, Check Internal Work</t>
  </si>
  <si>
    <t>Cape Town YE Lunch, Taquanta December report daily tasks update + emails</t>
  </si>
  <si>
    <t>Weekly Sync: Nate &lt;&gt; Andrew</t>
  </si>
  <si>
    <t xml:space="preserve">Resource Utilisation Review </t>
  </si>
  <si>
    <t>SnowPro Core Training Series, Canceled: PM Alignment Meeting</t>
  </si>
  <si>
    <t>Canceled: PM Alignment Meeting, [SLA - Shoprite - Tableau] Shoprite - Tableau - SLA, SnowPro Core Training Series</t>
  </si>
  <si>
    <t>Weekly round-up-meeting</t>
  </si>
  <si>
    <t>Wonga: DWH development &amp; migration on Snowflake Project Sprint Planning Session, Slipstream - IPD - Internal Projects  ( Slipstream Data ) (Harvest Timesheets and Reports, ClickUp Tasks and Reports, Billing, Training, Emails, Documentation, Reports)</t>
  </si>
  <si>
    <t>Wonga: DWH development &amp; migration on Snowflake Project Sprint Planning Session, AWS Solutions Architect Associate</t>
  </si>
  <si>
    <t>Slipstream - IPD - Internal Projects  ( Slipstream Data ) (Harvest Timesheets and Reports, ClickUp Tasks and Reports, Billing, Training, Emails, Documentation, Reports), Tech Team Friday</t>
  </si>
  <si>
    <t>SA - Cloud BI | Sprint Planning, Weekly sales meeting</t>
  </si>
  <si>
    <t>Ben &lt;&gt; Nate - 1:1</t>
  </si>
  <si>
    <t>OM Work, Flora &lt;&gt; Nate - 1:1</t>
  </si>
  <si>
    <t>Mark &lt;&gt; Nate - 1:1</t>
  </si>
  <si>
    <t>OM Work, Daily Standup (if in Office 3B07) , S/Stream - EBU Cadence - Bi-Monthly</t>
  </si>
  <si>
    <t>OM Work, Agentforce - Customer Success</t>
  </si>
  <si>
    <t>OM Work, Wonga: DWH development &amp; migration on Snowflake Project Daily Standup**With Client**</t>
  </si>
  <si>
    <t>OM Work, Canceled: Senior Tech Team: Insights Session</t>
  </si>
  <si>
    <t>Canceled: Senior Tech Team: Insights Session</t>
  </si>
  <si>
    <t>JHB YE Lunch</t>
  </si>
  <si>
    <t>JHB YE Lunch, DSY DW - Daily standup</t>
  </si>
  <si>
    <t>Tableau Tribe Development and Upskilling</t>
  </si>
  <si>
    <t>OM Work, Tableau Tribe Development and Upskilling</t>
  </si>
  <si>
    <t>WhereScape/Slipstream - monthly catch up</t>
  </si>
  <si>
    <t>Wonga Work, Sanlam Weekly Check-in</t>
  </si>
  <si>
    <t>SnowPro Core Certification, Wonga: DWH Project Monthly Retrospective Sessions **Internal Meeting**</t>
  </si>
  <si>
    <t>Internal Projects - SLA Reporting Project, Tableau Server to Cloud Migration Work and other, Wonga: DWH Project Monthly Retrospective Sessions **Internal Meeting**</t>
  </si>
  <si>
    <t>AWS Solutions Architect Associate, Wonga: DWH Project Monthly Retrospective Sessions **Internal Meeting**</t>
  </si>
  <si>
    <t xml:space="preserve">Monthly Management Meeting </t>
  </si>
  <si>
    <t xml:space="preserve">Product Management Sync, Monthly Management Meeting </t>
  </si>
  <si>
    <t>OM Work, Product Management Sync</t>
  </si>
  <si>
    <t xml:space="preserve">Weekly Sync: Nate &lt;&gt; Andrew, Monthly Management Meeting </t>
  </si>
  <si>
    <t>Tech team retrospective, Canceled: Tech team huddle</t>
  </si>
  <si>
    <t>Canceled: Tech team huddle</t>
  </si>
  <si>
    <t>OM Work, S/Stream - EBU Cadence - Bi-Monthly</t>
  </si>
  <si>
    <t>Palesa &lt;&gt; Nate - 1:1</t>
  </si>
  <si>
    <t>Robin &lt;&gt; Nate - 1:1</t>
  </si>
  <si>
    <t>OPS Exec Updates, Strategy and solution Day</t>
  </si>
  <si>
    <t xml:space="preserve">Shoprite SLA Internal Review </t>
  </si>
  <si>
    <t xml:space="preserve">Monthly Tech Team Leave Discussion </t>
  </si>
  <si>
    <t>OM Work, PM Forum</t>
  </si>
  <si>
    <t>S/Stream - EBU Cadence - Bi-Monthly</t>
  </si>
  <si>
    <t>Canceled: ShopRite SLA Report Monthly Prep (Tableau, Alteryx, B2B)</t>
  </si>
  <si>
    <t xml:space="preserve">Canceled: Monthly SLA Review - Tableau/Alteryx/Snowflake b2b </t>
  </si>
  <si>
    <t>Canceled: PM Alignment Meeting</t>
  </si>
  <si>
    <t>DW: Weekly round-up meeting</t>
  </si>
  <si>
    <t>Weekly round-up-meeting, DW: Weekly round-up meeting</t>
  </si>
  <si>
    <t>OM Advisor Recon (Manual Run)</t>
  </si>
  <si>
    <t>Slipstream Data / WhereScape, Strategy and solution Day</t>
  </si>
  <si>
    <t>Run CBR 4Zayraana, OM Work</t>
  </si>
  <si>
    <t xml:space="preserve">DW: Weekly round-up meeting, Monthly Management Meeting </t>
  </si>
  <si>
    <t>OM Work, OM Advisor Recon (Manual Run)</t>
  </si>
  <si>
    <t>OM Work, Wonga: DWH development &amp; migration on Snowflake Project Daily Standup**With Client**, OM Advisor Recon (Manual Run)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</si>
</sst>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sharedStrings" Target="sharedStrings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8"/>
  <sheetViews>
    <sheetView workbookViewId="0">
      <selection activeCell="A24" sqref="A24:XFD24"/>
    </sheetView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  <c r="L2" t="s">
        <v>19</v>
      </c>
    </row>
    <row r="3" spans="1:17" x14ac:dyDescent="0.3">
      <c r="A3" t="s">
        <v>20</v>
      </c>
      <c r="B3" t="s">
        <v>21</v>
      </c>
      <c r="C3" t="s">
        <v>22</v>
      </c>
      <c r="D3" t="s">
        <v>22</v>
      </c>
      <c r="E3" t="s">
        <v>22</v>
      </c>
      <c r="F3" t="s">
        <v>22</v>
      </c>
      <c r="G3" t="s">
        <v>21</v>
      </c>
      <c r="H3" t="s">
        <v>22</v>
      </c>
      <c r="I3" t="s">
        <v>21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24</v>
      </c>
      <c r="F4" t="s">
        <v>25</v>
      </c>
      <c r="L4" t="s">
        <v>26</v>
      </c>
      <c r="N4" t="s">
        <v>25</v>
      </c>
    </row>
    <row r="5" spans="1:17" x14ac:dyDescent="0.3">
      <c r="A5" t="s">
        <v>27</v>
      </c>
      <c r="E5" t="s">
        <v>28</v>
      </c>
      <c r="F5" t="s">
        <v>25</v>
      </c>
      <c r="G5" t="s">
        <v>29</v>
      </c>
      <c r="L5" t="s">
        <v>30</v>
      </c>
      <c r="N5" t="s">
        <v>25</v>
      </c>
      <c r="P5" t="s">
        <v>31</v>
      </c>
      <c r="Q5" t="s">
        <v>31</v>
      </c>
    </row>
    <row r="6" spans="1:17" x14ac:dyDescent="0.3">
      <c r="A6" t="s">
        <v>32</v>
      </c>
      <c r="D6" t="s">
        <v>33</v>
      </c>
      <c r="E6" t="s">
        <v>34</v>
      </c>
      <c r="F6" t="s">
        <v>25</v>
      </c>
      <c r="G6" t="s">
        <v>29</v>
      </c>
      <c r="J6" t="s">
        <v>33</v>
      </c>
      <c r="L6" t="s">
        <v>35</v>
      </c>
      <c r="N6" t="s">
        <v>25</v>
      </c>
    </row>
    <row r="7" spans="1:17" x14ac:dyDescent="0.3">
      <c r="A7" t="s">
        <v>36</v>
      </c>
      <c r="E7" t="s">
        <v>34</v>
      </c>
      <c r="G7" t="s">
        <v>37</v>
      </c>
      <c r="J7" t="s">
        <v>38</v>
      </c>
      <c r="K7" t="s">
        <v>37</v>
      </c>
      <c r="L7" t="s">
        <v>39</v>
      </c>
      <c r="N7" t="s">
        <v>40</v>
      </c>
    </row>
    <row r="8" spans="1:17" x14ac:dyDescent="0.3">
      <c r="A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37</v>
      </c>
      <c r="I8" t="s">
        <v>42</v>
      </c>
      <c r="J8" t="s">
        <v>46</v>
      </c>
      <c r="K8" t="s">
        <v>37</v>
      </c>
      <c r="L8" t="s">
        <v>47</v>
      </c>
      <c r="M8" t="s">
        <v>42</v>
      </c>
      <c r="N8" t="s">
        <v>42</v>
      </c>
      <c r="Q8" t="s">
        <v>48</v>
      </c>
    </row>
    <row r="9" spans="1:17" x14ac:dyDescent="0.3">
      <c r="A9" t="s">
        <v>49</v>
      </c>
      <c r="B9" t="s">
        <v>50</v>
      </c>
      <c r="D9" t="s">
        <v>51</v>
      </c>
      <c r="E9" t="s">
        <v>44</v>
      </c>
      <c r="F9" t="s">
        <v>45</v>
      </c>
      <c r="G9" t="s">
        <v>50</v>
      </c>
      <c r="I9" t="s">
        <v>52</v>
      </c>
      <c r="J9" t="s">
        <v>46</v>
      </c>
      <c r="K9" t="s">
        <v>50</v>
      </c>
      <c r="L9" t="s">
        <v>47</v>
      </c>
      <c r="M9" t="s">
        <v>50</v>
      </c>
      <c r="N9" t="s">
        <v>50</v>
      </c>
      <c r="Q9" t="s">
        <v>48</v>
      </c>
    </row>
    <row r="10" spans="1:17" x14ac:dyDescent="0.3">
      <c r="A10" t="s">
        <v>53</v>
      </c>
      <c r="B10" t="s">
        <v>54</v>
      </c>
      <c r="C10" t="s">
        <v>55</v>
      </c>
      <c r="E10" t="s">
        <v>44</v>
      </c>
      <c r="F10" t="s">
        <v>54</v>
      </c>
      <c r="G10" t="s">
        <v>56</v>
      </c>
      <c r="H10" t="s">
        <v>57</v>
      </c>
      <c r="J10" t="s">
        <v>38</v>
      </c>
      <c r="L10" t="s">
        <v>54</v>
      </c>
      <c r="N10" t="s">
        <v>54</v>
      </c>
      <c r="Q10" t="s">
        <v>48</v>
      </c>
    </row>
    <row r="11" spans="1:17" x14ac:dyDescent="0.3">
      <c r="A11" t="s">
        <v>58</v>
      </c>
      <c r="B11" t="s">
        <v>54</v>
      </c>
      <c r="E11" t="s">
        <v>59</v>
      </c>
      <c r="F11" t="s">
        <v>54</v>
      </c>
      <c r="G11" t="s">
        <v>60</v>
      </c>
      <c r="H11" t="s">
        <v>57</v>
      </c>
      <c r="L11" t="s">
        <v>61</v>
      </c>
      <c r="N11" t="s">
        <v>54</v>
      </c>
      <c r="Q11" t="s">
        <v>48</v>
      </c>
    </row>
    <row r="12" spans="1:17" x14ac:dyDescent="0.3">
      <c r="A12" t="s">
        <v>62</v>
      </c>
      <c r="B12" t="s">
        <v>63</v>
      </c>
      <c r="C12" t="s">
        <v>63</v>
      </c>
      <c r="D12" t="s">
        <v>63</v>
      </c>
      <c r="E12" t="s">
        <v>64</v>
      </c>
      <c r="F12" t="s">
        <v>63</v>
      </c>
      <c r="G12" t="s">
        <v>60</v>
      </c>
      <c r="H12" t="s">
        <v>57</v>
      </c>
      <c r="K12" t="s">
        <v>63</v>
      </c>
      <c r="L12" t="s">
        <v>65</v>
      </c>
      <c r="M12" t="s">
        <v>66</v>
      </c>
      <c r="N12" t="s">
        <v>63</v>
      </c>
      <c r="P12" t="s">
        <v>63</v>
      </c>
      <c r="Q12" t="s">
        <v>48</v>
      </c>
    </row>
    <row r="13" spans="1:17" x14ac:dyDescent="0.3">
      <c r="A13" t="s">
        <v>67</v>
      </c>
      <c r="B13" t="s">
        <v>63</v>
      </c>
      <c r="C13" t="s">
        <v>63</v>
      </c>
      <c r="D13" t="s">
        <v>68</v>
      </c>
      <c r="E13" t="s">
        <v>69</v>
      </c>
      <c r="F13" t="s">
        <v>70</v>
      </c>
      <c r="G13" t="s">
        <v>60</v>
      </c>
      <c r="H13" t="s">
        <v>57</v>
      </c>
      <c r="I13" t="s">
        <v>71</v>
      </c>
      <c r="K13" t="s">
        <v>63</v>
      </c>
      <c r="L13" t="s">
        <v>72</v>
      </c>
      <c r="M13" t="s">
        <v>66</v>
      </c>
      <c r="N13" t="s">
        <v>63</v>
      </c>
      <c r="O13" t="s">
        <v>71</v>
      </c>
      <c r="P13" t="s">
        <v>63</v>
      </c>
      <c r="Q13" t="s">
        <v>73</v>
      </c>
    </row>
    <row r="14" spans="1:17" x14ac:dyDescent="0.3">
      <c r="A14" t="s">
        <v>74</v>
      </c>
      <c r="B14" t="s">
        <v>63</v>
      </c>
      <c r="C14" t="s">
        <v>63</v>
      </c>
      <c r="D14" t="s">
        <v>68</v>
      </c>
      <c r="E14" t="s">
        <v>75</v>
      </c>
      <c r="F14" t="s">
        <v>63</v>
      </c>
      <c r="G14" t="s">
        <v>76</v>
      </c>
      <c r="I14" t="s">
        <v>77</v>
      </c>
      <c r="K14" t="s">
        <v>63</v>
      </c>
      <c r="L14" t="s">
        <v>78</v>
      </c>
      <c r="M14" t="s">
        <v>66</v>
      </c>
      <c r="N14" t="s">
        <v>63</v>
      </c>
      <c r="O14" t="s">
        <v>71</v>
      </c>
      <c r="P14" t="s">
        <v>63</v>
      </c>
      <c r="Q14" t="s">
        <v>79</v>
      </c>
    </row>
    <row r="15" spans="1:17" x14ac:dyDescent="0.3">
      <c r="A15" t="s">
        <v>80</v>
      </c>
      <c r="E15" t="s">
        <v>81</v>
      </c>
      <c r="I15" t="s">
        <v>82</v>
      </c>
      <c r="N15" t="s">
        <v>83</v>
      </c>
      <c r="Q15" t="s">
        <v>73</v>
      </c>
    </row>
    <row r="16" spans="1:17" x14ac:dyDescent="0.3">
      <c r="A16" t="s">
        <v>84</v>
      </c>
      <c r="B16" t="s">
        <v>85</v>
      </c>
      <c r="C16" t="s">
        <v>85</v>
      </c>
      <c r="D16" t="s">
        <v>85</v>
      </c>
      <c r="E16" t="s">
        <v>86</v>
      </c>
      <c r="F16" t="s">
        <v>85</v>
      </c>
      <c r="G16" t="s">
        <v>85</v>
      </c>
      <c r="H16" t="s">
        <v>85</v>
      </c>
      <c r="I16" t="s">
        <v>87</v>
      </c>
      <c r="J16" t="s">
        <v>88</v>
      </c>
      <c r="K16" t="s">
        <v>85</v>
      </c>
      <c r="L16" t="s">
        <v>85</v>
      </c>
      <c r="M16" t="s">
        <v>85</v>
      </c>
      <c r="N16" t="s">
        <v>89</v>
      </c>
      <c r="P16" t="s">
        <v>85</v>
      </c>
      <c r="Q16" t="s">
        <v>85</v>
      </c>
    </row>
    <row r="17" spans="1:18" x14ac:dyDescent="0.3">
      <c r="A17" t="s">
        <v>90</v>
      </c>
      <c r="B17" t="s">
        <v>91</v>
      </c>
      <c r="C17" t="s">
        <v>85</v>
      </c>
      <c r="D17" t="s">
        <v>85</v>
      </c>
      <c r="E17" t="s">
        <v>86</v>
      </c>
      <c r="F17" t="s">
        <v>85</v>
      </c>
      <c r="G17" t="s">
        <v>85</v>
      </c>
      <c r="H17" t="s">
        <v>85</v>
      </c>
      <c r="I17" t="s">
        <v>92</v>
      </c>
      <c r="J17" t="s">
        <v>88</v>
      </c>
      <c r="K17" t="s">
        <v>85</v>
      </c>
      <c r="L17" t="s">
        <v>85</v>
      </c>
      <c r="M17" t="s">
        <v>85</v>
      </c>
      <c r="N17" t="s">
        <v>93</v>
      </c>
      <c r="P17" t="s">
        <v>85</v>
      </c>
      <c r="Q17" t="s">
        <v>85</v>
      </c>
    </row>
    <row r="18" spans="1:18" x14ac:dyDescent="0.3">
      <c r="A18" t="s">
        <v>94</v>
      </c>
      <c r="B18" t="s">
        <v>85</v>
      </c>
      <c r="C18" t="s">
        <v>85</v>
      </c>
      <c r="D18" t="s">
        <v>95</v>
      </c>
      <c r="E18" t="s">
        <v>85</v>
      </c>
      <c r="F18" t="s">
        <v>85</v>
      </c>
      <c r="G18" t="s">
        <v>95</v>
      </c>
      <c r="H18" t="s">
        <v>85</v>
      </c>
      <c r="I18" t="s">
        <v>85</v>
      </c>
      <c r="J18" t="s">
        <v>88</v>
      </c>
      <c r="K18" t="s">
        <v>96</v>
      </c>
      <c r="L18" t="s">
        <v>97</v>
      </c>
      <c r="M18" t="s">
        <v>96</v>
      </c>
      <c r="N18" t="s">
        <v>98</v>
      </c>
      <c r="P18" t="s">
        <v>85</v>
      </c>
      <c r="Q18" t="s">
        <v>99</v>
      </c>
    </row>
    <row r="19" spans="1:18" x14ac:dyDescent="0.3">
      <c r="A19" t="s">
        <v>100</v>
      </c>
      <c r="E19" t="s">
        <v>64</v>
      </c>
      <c r="L19" t="s">
        <v>101</v>
      </c>
      <c r="N19" t="s">
        <v>102</v>
      </c>
      <c r="Q19" t="s">
        <v>103</v>
      </c>
    </row>
    <row r="20" spans="1:18" x14ac:dyDescent="0.3">
      <c r="A20" t="s">
        <v>104</v>
      </c>
      <c r="E20" t="s">
        <v>105</v>
      </c>
    </row>
    <row r="21" spans="1:18" x14ac:dyDescent="0.3">
      <c r="A21" t="s">
        <v>106</v>
      </c>
      <c r="E21" t="s">
        <v>105</v>
      </c>
    </row>
    <row r="24" spans="1:18" s="1" customFormat="1" x14ac:dyDescent="0.3">
      <c r="A24" s="1" t="s">
        <v>107</v>
      </c>
      <c r="B24" s="1">
        <f t="shared" ref="B24:Q24" si="0">ROUND(COUNTIF(B2:B19,"&lt;&gt;")/18,4)</f>
        <v>0.55559999999999998</v>
      </c>
      <c r="C24" s="1">
        <f t="shared" si="0"/>
        <v>0.5</v>
      </c>
      <c r="D24" s="1">
        <f t="shared" si="0"/>
        <v>0.55559999999999998</v>
      </c>
      <c r="E24" s="1">
        <f t="shared" si="0"/>
        <v>0.94440000000000002</v>
      </c>
      <c r="F24" s="1">
        <f t="shared" si="0"/>
        <v>0.77780000000000005</v>
      </c>
      <c r="G24" s="1">
        <f t="shared" si="0"/>
        <v>0.77780000000000005</v>
      </c>
      <c r="H24" s="1">
        <f t="shared" si="0"/>
        <v>0.44440000000000002</v>
      </c>
      <c r="I24" s="1">
        <f t="shared" si="0"/>
        <v>0.55559999999999998</v>
      </c>
      <c r="J24" s="1">
        <f t="shared" si="0"/>
        <v>0.5</v>
      </c>
      <c r="K24" s="1">
        <f t="shared" si="0"/>
        <v>0.55559999999999998</v>
      </c>
      <c r="L24" s="1">
        <f t="shared" si="0"/>
        <v>0.94440000000000002</v>
      </c>
      <c r="M24" s="1">
        <f t="shared" si="0"/>
        <v>0.5</v>
      </c>
      <c r="N24" s="1">
        <f t="shared" si="0"/>
        <v>0.94440000000000002</v>
      </c>
      <c r="O24" s="1">
        <f t="shared" si="0"/>
        <v>0.16669999999999999</v>
      </c>
      <c r="P24" s="1">
        <f t="shared" si="0"/>
        <v>0.44440000000000002</v>
      </c>
      <c r="Q24" s="1">
        <f t="shared" si="0"/>
        <v>0.77780000000000005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8"/>
  <sheetViews>
    <sheetView workbookViewId="0">
      <selection activeCell="A24" sqref="A24:XFD24"/>
    </sheetView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  <c r="L2" t="s">
        <v>19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50</v>
      </c>
      <c r="D4" t="s">
        <v>114</v>
      </c>
      <c r="E4" t="s">
        <v>115</v>
      </c>
      <c r="G4" t="s">
        <v>116</v>
      </c>
      <c r="K4" t="s">
        <v>50</v>
      </c>
      <c r="L4" t="s">
        <v>117</v>
      </c>
      <c r="M4" t="s">
        <v>50</v>
      </c>
      <c r="N4" t="s">
        <v>118</v>
      </c>
      <c r="O4" t="s">
        <v>119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121</v>
      </c>
      <c r="G5" t="s">
        <v>29</v>
      </c>
      <c r="I5" t="s">
        <v>122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124</v>
      </c>
      <c r="E6" t="s">
        <v>44</v>
      </c>
      <c r="G6" t="s">
        <v>29</v>
      </c>
      <c r="J6" t="s">
        <v>33</v>
      </c>
      <c r="L6" t="s">
        <v>35</v>
      </c>
      <c r="Q6" t="s">
        <v>125</v>
      </c>
    </row>
    <row r="7" spans="1:17" x14ac:dyDescent="0.3">
      <c r="A7" t="s">
        <v>36</v>
      </c>
      <c r="B7" t="s">
        <v>126</v>
      </c>
      <c r="D7" t="s">
        <v>127</v>
      </c>
      <c r="E7" t="s">
        <v>128</v>
      </c>
      <c r="G7" t="s">
        <v>129</v>
      </c>
      <c r="J7" t="s">
        <v>38</v>
      </c>
      <c r="L7" t="s">
        <v>130</v>
      </c>
      <c r="N7" t="s">
        <v>131</v>
      </c>
      <c r="O7" t="s">
        <v>126</v>
      </c>
    </row>
    <row r="8" spans="1:17" x14ac:dyDescent="0.3">
      <c r="A8" t="s">
        <v>41</v>
      </c>
      <c r="B8" t="s">
        <v>126</v>
      </c>
      <c r="D8" t="s">
        <v>132</v>
      </c>
      <c r="E8" t="s">
        <v>128</v>
      </c>
      <c r="G8" t="s">
        <v>129</v>
      </c>
      <c r="J8" t="s">
        <v>38</v>
      </c>
      <c r="L8" t="s">
        <v>133</v>
      </c>
      <c r="O8" t="s">
        <v>126</v>
      </c>
      <c r="P8" t="s">
        <v>132</v>
      </c>
      <c r="Q8" t="s">
        <v>48</v>
      </c>
    </row>
    <row r="9" spans="1:17" x14ac:dyDescent="0.3">
      <c r="A9" t="s">
        <v>49</v>
      </c>
      <c r="C9" t="s">
        <v>134</v>
      </c>
      <c r="D9" t="s">
        <v>134</v>
      </c>
      <c r="E9" t="s">
        <v>44</v>
      </c>
      <c r="G9" t="s">
        <v>129</v>
      </c>
      <c r="J9" t="s">
        <v>135</v>
      </c>
      <c r="L9" t="s">
        <v>136</v>
      </c>
      <c r="N9" t="s">
        <v>137</v>
      </c>
      <c r="Q9" t="s">
        <v>48</v>
      </c>
    </row>
    <row r="10" spans="1:17" x14ac:dyDescent="0.3">
      <c r="A10" t="s">
        <v>53</v>
      </c>
      <c r="B10" t="s">
        <v>138</v>
      </c>
      <c r="C10" t="s">
        <v>138</v>
      </c>
      <c r="D10" t="s">
        <v>138</v>
      </c>
      <c r="E10" t="s">
        <v>44</v>
      </c>
      <c r="G10" t="s">
        <v>129</v>
      </c>
      <c r="H10" t="s">
        <v>57</v>
      </c>
      <c r="I10" t="s">
        <v>138</v>
      </c>
      <c r="J10" t="s">
        <v>38</v>
      </c>
      <c r="M10" t="s">
        <v>138</v>
      </c>
      <c r="N10" t="s">
        <v>138</v>
      </c>
      <c r="Q10" t="s">
        <v>48</v>
      </c>
    </row>
    <row r="11" spans="1:17" x14ac:dyDescent="0.3">
      <c r="A11" t="s">
        <v>58</v>
      </c>
      <c r="D11" t="s">
        <v>139</v>
      </c>
      <c r="E11" t="s">
        <v>140</v>
      </c>
      <c r="F11" t="s">
        <v>139</v>
      </c>
      <c r="H11" t="s">
        <v>57</v>
      </c>
      <c r="I11" t="s">
        <v>139</v>
      </c>
      <c r="J11" t="s">
        <v>139</v>
      </c>
      <c r="L11" t="s">
        <v>141</v>
      </c>
      <c r="Q11" t="s">
        <v>48</v>
      </c>
    </row>
    <row r="12" spans="1:17" x14ac:dyDescent="0.3">
      <c r="A12" t="s">
        <v>62</v>
      </c>
      <c r="B12" t="s">
        <v>142</v>
      </c>
      <c r="D12" t="s">
        <v>139</v>
      </c>
      <c r="E12" t="s">
        <v>139</v>
      </c>
      <c r="F12" t="s">
        <v>139</v>
      </c>
      <c r="H12" t="s">
        <v>57</v>
      </c>
      <c r="I12" t="s">
        <v>139</v>
      </c>
      <c r="J12" t="s">
        <v>139</v>
      </c>
      <c r="L12" t="s">
        <v>141</v>
      </c>
      <c r="N12" t="s">
        <v>143</v>
      </c>
      <c r="O12" t="s">
        <v>144</v>
      </c>
      <c r="Q12" t="s">
        <v>48</v>
      </c>
    </row>
    <row r="13" spans="1:17" x14ac:dyDescent="0.3">
      <c r="A13" t="s">
        <v>67</v>
      </c>
      <c r="D13" t="s">
        <v>145</v>
      </c>
      <c r="E13" t="s">
        <v>146</v>
      </c>
      <c r="H13" t="s">
        <v>57</v>
      </c>
      <c r="K13" t="s">
        <v>147</v>
      </c>
      <c r="L13" t="s">
        <v>148</v>
      </c>
      <c r="N13" t="s">
        <v>149</v>
      </c>
      <c r="O13" t="s">
        <v>144</v>
      </c>
      <c r="Q13" t="s">
        <v>73</v>
      </c>
    </row>
    <row r="14" spans="1:17" x14ac:dyDescent="0.3">
      <c r="A14" t="s">
        <v>74</v>
      </c>
      <c r="D14" t="s">
        <v>145</v>
      </c>
      <c r="E14" t="s">
        <v>150</v>
      </c>
      <c r="L14" t="s">
        <v>151</v>
      </c>
      <c r="N14" t="s">
        <v>98</v>
      </c>
      <c r="Q14" t="s">
        <v>73</v>
      </c>
    </row>
    <row r="15" spans="1:17" x14ac:dyDescent="0.3">
      <c r="A15" t="s">
        <v>80</v>
      </c>
      <c r="D15" t="s">
        <v>152</v>
      </c>
      <c r="E15" t="s">
        <v>150</v>
      </c>
      <c r="N15" t="s">
        <v>98</v>
      </c>
      <c r="Q15" t="s">
        <v>73</v>
      </c>
    </row>
    <row r="16" spans="1:17" x14ac:dyDescent="0.3">
      <c r="A16" t="s">
        <v>84</v>
      </c>
      <c r="D16" t="s">
        <v>153</v>
      </c>
      <c r="E16" t="s">
        <v>154</v>
      </c>
      <c r="N16" t="s">
        <v>98</v>
      </c>
    </row>
    <row r="17" spans="1:18" x14ac:dyDescent="0.3">
      <c r="A17" t="s">
        <v>90</v>
      </c>
      <c r="D17" t="s">
        <v>153</v>
      </c>
      <c r="E17" t="s">
        <v>154</v>
      </c>
      <c r="N17" t="s">
        <v>98</v>
      </c>
    </row>
    <row r="18" spans="1:18" x14ac:dyDescent="0.3">
      <c r="A18" t="s">
        <v>94</v>
      </c>
      <c r="B18" t="s">
        <v>155</v>
      </c>
      <c r="D18" t="s">
        <v>156</v>
      </c>
      <c r="E18" t="s">
        <v>44</v>
      </c>
      <c r="G18" t="s">
        <v>157</v>
      </c>
      <c r="K18" t="s">
        <v>158</v>
      </c>
      <c r="L18" t="s">
        <v>101</v>
      </c>
      <c r="M18" t="s">
        <v>158</v>
      </c>
      <c r="Q18" t="s">
        <v>103</v>
      </c>
    </row>
    <row r="19" spans="1:18" x14ac:dyDescent="0.3">
      <c r="A19" t="s">
        <v>100</v>
      </c>
      <c r="E19" t="s">
        <v>44</v>
      </c>
      <c r="L19" t="s">
        <v>101</v>
      </c>
      <c r="N19" t="s">
        <v>102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s="1" customFormat="1" x14ac:dyDescent="0.3">
      <c r="A24" s="1" t="s">
        <v>107</v>
      </c>
      <c r="B24" s="1">
        <f t="shared" ref="B24:Q24" si="0">ROUND(COUNTIF(B2:B19,"&lt;&gt;")/18,4)</f>
        <v>0.44440000000000002</v>
      </c>
      <c r="C24" s="1">
        <f t="shared" si="0"/>
        <v>0.22220000000000001</v>
      </c>
      <c r="D24" s="1">
        <f t="shared" si="0"/>
        <v>0.88890000000000002</v>
      </c>
      <c r="E24" s="1">
        <f t="shared" si="0"/>
        <v>0.94440000000000002</v>
      </c>
      <c r="F24" s="1">
        <f t="shared" si="0"/>
        <v>0.16669999999999999</v>
      </c>
      <c r="G24" s="1">
        <f t="shared" si="0"/>
        <v>0.5</v>
      </c>
      <c r="H24" s="1">
        <f t="shared" si="0"/>
        <v>0.27779999999999999</v>
      </c>
      <c r="I24" s="1">
        <f t="shared" si="0"/>
        <v>0.33329999999999999</v>
      </c>
      <c r="J24" s="1">
        <f t="shared" si="0"/>
        <v>0.5</v>
      </c>
      <c r="K24" s="1">
        <f t="shared" si="0"/>
        <v>0.27779999999999999</v>
      </c>
      <c r="L24" s="1">
        <f t="shared" si="0"/>
        <v>0.77780000000000005</v>
      </c>
      <c r="M24" s="1">
        <f t="shared" si="0"/>
        <v>0.27779999999999999</v>
      </c>
      <c r="N24" s="1">
        <f t="shared" si="0"/>
        <v>0.72219999999999995</v>
      </c>
      <c r="O24" s="1">
        <f t="shared" si="0"/>
        <v>0.33329999999999999</v>
      </c>
      <c r="P24" s="1">
        <f t="shared" si="0"/>
        <v>0.16669999999999999</v>
      </c>
      <c r="Q24" s="1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8"/>
  <sheetViews>
    <sheetView workbookViewId="0">
      <selection activeCell="A24" sqref="A24:XFD24"/>
    </sheetView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  <c r="L2" t="s">
        <v>19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50</v>
      </c>
      <c r="D4" t="s">
        <v>50</v>
      </c>
      <c r="E4" t="s">
        <v>159</v>
      </c>
      <c r="F4" t="s">
        <v>160</v>
      </c>
      <c r="G4" t="s">
        <v>116</v>
      </c>
      <c r="J4" t="s">
        <v>160</v>
      </c>
      <c r="K4" t="s">
        <v>50</v>
      </c>
      <c r="L4" t="s">
        <v>161</v>
      </c>
      <c r="M4" t="s">
        <v>50</v>
      </c>
      <c r="N4" t="s">
        <v>50</v>
      </c>
    </row>
    <row r="5" spans="1:17" x14ac:dyDescent="0.3">
      <c r="A5" t="s">
        <v>27</v>
      </c>
      <c r="C5" t="s">
        <v>162</v>
      </c>
      <c r="D5" t="s">
        <v>163</v>
      </c>
      <c r="E5" t="s">
        <v>164</v>
      </c>
      <c r="F5" t="s">
        <v>162</v>
      </c>
      <c r="G5" t="s">
        <v>165</v>
      </c>
      <c r="J5" t="s">
        <v>162</v>
      </c>
      <c r="K5" t="s">
        <v>166</v>
      </c>
      <c r="L5" t="s">
        <v>167</v>
      </c>
      <c r="M5" t="s">
        <v>168</v>
      </c>
      <c r="N5" t="s">
        <v>162</v>
      </c>
      <c r="P5" t="s">
        <v>163</v>
      </c>
      <c r="Q5" t="s">
        <v>168</v>
      </c>
    </row>
    <row r="6" spans="1:17" x14ac:dyDescent="0.3">
      <c r="A6" t="s">
        <v>32</v>
      </c>
      <c r="C6" t="s">
        <v>162</v>
      </c>
      <c r="D6" t="s">
        <v>169</v>
      </c>
      <c r="E6" t="s">
        <v>170</v>
      </c>
      <c r="F6" t="s">
        <v>162</v>
      </c>
      <c r="G6" t="s">
        <v>165</v>
      </c>
      <c r="J6" t="s">
        <v>171</v>
      </c>
      <c r="K6" t="s">
        <v>162</v>
      </c>
      <c r="L6" t="s">
        <v>172</v>
      </c>
      <c r="N6" t="s">
        <v>162</v>
      </c>
      <c r="P6" t="s">
        <v>162</v>
      </c>
    </row>
    <row r="7" spans="1:17" x14ac:dyDescent="0.3">
      <c r="A7" t="s">
        <v>36</v>
      </c>
      <c r="D7" t="s">
        <v>173</v>
      </c>
      <c r="E7" t="s">
        <v>174</v>
      </c>
      <c r="G7" t="s">
        <v>29</v>
      </c>
      <c r="J7" t="s">
        <v>38</v>
      </c>
      <c r="K7" t="s">
        <v>173</v>
      </c>
      <c r="L7" t="s">
        <v>35</v>
      </c>
      <c r="P7" t="s">
        <v>173</v>
      </c>
    </row>
    <row r="8" spans="1:17" x14ac:dyDescent="0.3">
      <c r="A8" t="s">
        <v>41</v>
      </c>
      <c r="C8" t="s">
        <v>175</v>
      </c>
      <c r="D8" t="s">
        <v>176</v>
      </c>
      <c r="E8" t="s">
        <v>174</v>
      </c>
      <c r="I8" t="s">
        <v>175</v>
      </c>
      <c r="J8" t="s">
        <v>38</v>
      </c>
      <c r="K8" t="s">
        <v>176</v>
      </c>
      <c r="L8" t="s">
        <v>136</v>
      </c>
      <c r="N8" t="s">
        <v>177</v>
      </c>
      <c r="P8" t="s">
        <v>173</v>
      </c>
      <c r="Q8" t="s">
        <v>48</v>
      </c>
    </row>
    <row r="9" spans="1:17" x14ac:dyDescent="0.3">
      <c r="A9" t="s">
        <v>49</v>
      </c>
      <c r="C9" t="s">
        <v>175</v>
      </c>
      <c r="D9" t="s">
        <v>177</v>
      </c>
      <c r="E9" t="s">
        <v>174</v>
      </c>
      <c r="I9" t="s">
        <v>175</v>
      </c>
      <c r="J9" t="s">
        <v>38</v>
      </c>
      <c r="K9" t="s">
        <v>177</v>
      </c>
      <c r="L9" t="s">
        <v>136</v>
      </c>
      <c r="N9" t="s">
        <v>177</v>
      </c>
      <c r="O9" t="s">
        <v>178</v>
      </c>
      <c r="Q9" t="s">
        <v>48</v>
      </c>
    </row>
    <row r="10" spans="1:17" x14ac:dyDescent="0.3">
      <c r="A10" t="s">
        <v>53</v>
      </c>
      <c r="D10" t="s">
        <v>179</v>
      </c>
      <c r="E10" t="s">
        <v>180</v>
      </c>
      <c r="G10" t="s">
        <v>129</v>
      </c>
      <c r="H10" t="s">
        <v>57</v>
      </c>
      <c r="I10" t="s">
        <v>181</v>
      </c>
      <c r="J10" t="s">
        <v>38</v>
      </c>
      <c r="K10" t="s">
        <v>182</v>
      </c>
      <c r="L10" t="s">
        <v>179</v>
      </c>
      <c r="N10" t="s">
        <v>137</v>
      </c>
      <c r="Q10" t="s">
        <v>48</v>
      </c>
    </row>
    <row r="11" spans="1:17" x14ac:dyDescent="0.3">
      <c r="A11" t="s">
        <v>58</v>
      </c>
      <c r="D11" t="s">
        <v>179</v>
      </c>
      <c r="E11" t="s">
        <v>183</v>
      </c>
      <c r="G11" t="s">
        <v>129</v>
      </c>
      <c r="H11" t="s">
        <v>57</v>
      </c>
      <c r="K11" t="s">
        <v>182</v>
      </c>
      <c r="L11" t="s">
        <v>184</v>
      </c>
      <c r="N11" t="s">
        <v>185</v>
      </c>
      <c r="Q11" t="s">
        <v>48</v>
      </c>
    </row>
    <row r="12" spans="1:17" x14ac:dyDescent="0.3">
      <c r="A12" t="s">
        <v>62</v>
      </c>
      <c r="D12" t="s">
        <v>179</v>
      </c>
      <c r="F12" t="s">
        <v>186</v>
      </c>
      <c r="G12" t="s">
        <v>129</v>
      </c>
      <c r="H12" t="s">
        <v>57</v>
      </c>
      <c r="L12" t="s">
        <v>184</v>
      </c>
      <c r="N12" t="s">
        <v>143</v>
      </c>
      <c r="P12" t="s">
        <v>186</v>
      </c>
      <c r="Q12" t="s">
        <v>48</v>
      </c>
    </row>
    <row r="13" spans="1:17" x14ac:dyDescent="0.3">
      <c r="A13" t="s">
        <v>67</v>
      </c>
      <c r="D13" t="s">
        <v>187</v>
      </c>
      <c r="E13" t="s">
        <v>64</v>
      </c>
      <c r="H13" t="s">
        <v>57</v>
      </c>
      <c r="L13" t="s">
        <v>148</v>
      </c>
      <c r="N13" t="s">
        <v>149</v>
      </c>
      <c r="Q13" t="s">
        <v>73</v>
      </c>
    </row>
    <row r="14" spans="1:17" x14ac:dyDescent="0.3">
      <c r="A14" t="s">
        <v>74</v>
      </c>
      <c r="B14" t="s">
        <v>188</v>
      </c>
      <c r="E14" t="s">
        <v>44</v>
      </c>
      <c r="F14" t="s">
        <v>188</v>
      </c>
      <c r="G14" t="s">
        <v>189</v>
      </c>
      <c r="L14" t="s">
        <v>190</v>
      </c>
      <c r="N14" t="s">
        <v>188</v>
      </c>
      <c r="Q14" t="s">
        <v>73</v>
      </c>
    </row>
    <row r="15" spans="1:17" x14ac:dyDescent="0.3">
      <c r="A15" t="s">
        <v>80</v>
      </c>
      <c r="E15" t="s">
        <v>44</v>
      </c>
      <c r="G15" t="s">
        <v>189</v>
      </c>
      <c r="N15" t="s">
        <v>98</v>
      </c>
      <c r="Q15" t="s">
        <v>73</v>
      </c>
    </row>
    <row r="16" spans="1:17" x14ac:dyDescent="0.3">
      <c r="A16" t="s">
        <v>84</v>
      </c>
      <c r="E16" t="s">
        <v>44</v>
      </c>
      <c r="G16" t="s">
        <v>189</v>
      </c>
      <c r="N16" t="s">
        <v>98</v>
      </c>
    </row>
    <row r="17" spans="1:18" x14ac:dyDescent="0.3">
      <c r="A17" t="s">
        <v>90</v>
      </c>
      <c r="D17" t="s">
        <v>191</v>
      </c>
      <c r="E17" t="s">
        <v>44</v>
      </c>
      <c r="N17" t="s">
        <v>98</v>
      </c>
    </row>
    <row r="18" spans="1:18" x14ac:dyDescent="0.3">
      <c r="A18" t="s">
        <v>94</v>
      </c>
      <c r="B18" t="s">
        <v>192</v>
      </c>
      <c r="D18" t="s">
        <v>193</v>
      </c>
      <c r="E18" t="s">
        <v>194</v>
      </c>
      <c r="G18" t="s">
        <v>157</v>
      </c>
      <c r="K18" t="s">
        <v>158</v>
      </c>
      <c r="L18" t="s">
        <v>101</v>
      </c>
      <c r="M18" t="s">
        <v>158</v>
      </c>
      <c r="N18" t="s">
        <v>98</v>
      </c>
      <c r="O18" t="s">
        <v>192</v>
      </c>
      <c r="Q18" t="s">
        <v>103</v>
      </c>
    </row>
    <row r="19" spans="1:18" x14ac:dyDescent="0.3">
      <c r="A19" t="s">
        <v>100</v>
      </c>
      <c r="B19" t="s">
        <v>192</v>
      </c>
      <c r="D19" t="s">
        <v>191</v>
      </c>
      <c r="E19" t="s">
        <v>194</v>
      </c>
      <c r="L19" t="s">
        <v>101</v>
      </c>
      <c r="N19" t="s">
        <v>102</v>
      </c>
      <c r="O19" t="s">
        <v>192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s="1" customFormat="1" x14ac:dyDescent="0.3">
      <c r="A24" s="1" t="s">
        <v>107</v>
      </c>
      <c r="B24" s="1">
        <f t="shared" ref="B24:Q24" si="0">ROUND(COUNTIF(B2:B19,"&lt;&gt;")/18,4)</f>
        <v>0.27779999999999999</v>
      </c>
      <c r="C24" s="1">
        <f t="shared" si="0"/>
        <v>0.27779999999999999</v>
      </c>
      <c r="D24" s="1">
        <f t="shared" si="0"/>
        <v>0.77780000000000005</v>
      </c>
      <c r="E24" s="1">
        <f t="shared" si="0"/>
        <v>0.88890000000000002</v>
      </c>
      <c r="F24" s="1">
        <f t="shared" si="0"/>
        <v>0.33329999999999999</v>
      </c>
      <c r="G24" s="1">
        <f t="shared" si="0"/>
        <v>0.66669999999999996</v>
      </c>
      <c r="H24" s="1">
        <f t="shared" si="0"/>
        <v>0.27779999999999999</v>
      </c>
      <c r="I24" s="1">
        <f t="shared" si="0"/>
        <v>0.27779999999999999</v>
      </c>
      <c r="J24" s="1">
        <f t="shared" si="0"/>
        <v>0.44440000000000002</v>
      </c>
      <c r="K24" s="1">
        <f t="shared" si="0"/>
        <v>0.55559999999999998</v>
      </c>
      <c r="L24" s="1">
        <f t="shared" si="0"/>
        <v>0.83330000000000004</v>
      </c>
      <c r="M24" s="1">
        <f t="shared" si="0"/>
        <v>0.22220000000000001</v>
      </c>
      <c r="N24" s="1">
        <f t="shared" si="0"/>
        <v>0.88890000000000002</v>
      </c>
      <c r="O24" s="1">
        <f t="shared" si="0"/>
        <v>0.22220000000000001</v>
      </c>
      <c r="P24" s="1">
        <f t="shared" si="0"/>
        <v>0.33329999999999999</v>
      </c>
      <c r="Q24" s="1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68"/>
  <sheetViews>
    <sheetView tabSelected="1"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  <c r="L2" t="s">
        <v>19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50</v>
      </c>
      <c r="D4" t="s">
        <v>50</v>
      </c>
      <c r="E4" t="s">
        <v>195</v>
      </c>
      <c r="F4" t="s">
        <v>196</v>
      </c>
      <c r="G4" t="s">
        <v>116</v>
      </c>
      <c r="J4" t="s">
        <v>197</v>
      </c>
      <c r="K4" t="s">
        <v>50</v>
      </c>
      <c r="L4" t="s">
        <v>26</v>
      </c>
      <c r="M4" t="s">
        <v>50</v>
      </c>
      <c r="N4" t="s">
        <v>50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198</v>
      </c>
      <c r="F5" t="s">
        <v>196</v>
      </c>
      <c r="G5" t="s">
        <v>165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B6" t="s">
        <v>199</v>
      </c>
      <c r="D6" t="s">
        <v>33</v>
      </c>
      <c r="E6" t="s">
        <v>200</v>
      </c>
      <c r="F6" t="s">
        <v>199</v>
      </c>
      <c r="G6" t="s">
        <v>165</v>
      </c>
      <c r="J6" t="s">
        <v>33</v>
      </c>
      <c r="L6" t="s">
        <v>201</v>
      </c>
    </row>
    <row r="7" spans="1:17" x14ac:dyDescent="0.3">
      <c r="A7" t="s">
        <v>36</v>
      </c>
      <c r="B7" t="s">
        <v>202</v>
      </c>
      <c r="E7" t="s">
        <v>200</v>
      </c>
      <c r="F7" t="s">
        <v>203</v>
      </c>
      <c r="G7" t="s">
        <v>204</v>
      </c>
      <c r="J7" t="s">
        <v>38</v>
      </c>
      <c r="K7" t="s">
        <v>205</v>
      </c>
      <c r="L7" t="s">
        <v>35</v>
      </c>
      <c r="M7" t="s">
        <v>206</v>
      </c>
      <c r="N7" t="s">
        <v>207</v>
      </c>
      <c r="Q7" t="s">
        <v>206</v>
      </c>
    </row>
    <row r="8" spans="1:17" x14ac:dyDescent="0.3">
      <c r="A8" t="s">
        <v>41</v>
      </c>
      <c r="C8" t="s">
        <v>208</v>
      </c>
      <c r="E8" t="s">
        <v>209</v>
      </c>
      <c r="F8" t="s">
        <v>203</v>
      </c>
      <c r="G8" t="s">
        <v>210</v>
      </c>
      <c r="J8" t="s">
        <v>38</v>
      </c>
      <c r="K8" t="s">
        <v>208</v>
      </c>
      <c r="L8" t="s">
        <v>211</v>
      </c>
      <c r="M8" t="s">
        <v>206</v>
      </c>
      <c r="N8" t="s">
        <v>98</v>
      </c>
      <c r="Q8" t="s">
        <v>212</v>
      </c>
    </row>
    <row r="9" spans="1:17" x14ac:dyDescent="0.3">
      <c r="A9" t="s">
        <v>49</v>
      </c>
      <c r="D9" t="s">
        <v>213</v>
      </c>
      <c r="E9" t="s">
        <v>214</v>
      </c>
      <c r="J9" t="s">
        <v>38</v>
      </c>
      <c r="K9" t="s">
        <v>215</v>
      </c>
      <c r="L9" t="s">
        <v>216</v>
      </c>
      <c r="N9" t="s">
        <v>98</v>
      </c>
      <c r="P9" t="s">
        <v>215</v>
      </c>
      <c r="Q9" t="s">
        <v>48</v>
      </c>
    </row>
    <row r="10" spans="1:17" x14ac:dyDescent="0.3">
      <c r="A10" t="s">
        <v>53</v>
      </c>
      <c r="D10" t="s">
        <v>213</v>
      </c>
      <c r="E10" t="s">
        <v>64</v>
      </c>
      <c r="H10" t="s">
        <v>57</v>
      </c>
      <c r="J10" t="s">
        <v>38</v>
      </c>
      <c r="K10" t="s">
        <v>215</v>
      </c>
      <c r="L10" t="s">
        <v>217</v>
      </c>
      <c r="N10" t="s">
        <v>98</v>
      </c>
      <c r="P10" t="s">
        <v>215</v>
      </c>
      <c r="Q10" t="s">
        <v>48</v>
      </c>
    </row>
    <row r="11" spans="1:17" x14ac:dyDescent="0.3">
      <c r="A11" t="s">
        <v>58</v>
      </c>
      <c r="B11" t="s">
        <v>218</v>
      </c>
      <c r="D11" t="s">
        <v>219</v>
      </c>
      <c r="E11" t="s">
        <v>64</v>
      </c>
      <c r="F11" t="s">
        <v>220</v>
      </c>
      <c r="H11" t="s">
        <v>57</v>
      </c>
      <c r="K11" t="s">
        <v>218</v>
      </c>
      <c r="L11" t="s">
        <v>141</v>
      </c>
      <c r="N11" t="s">
        <v>218</v>
      </c>
      <c r="Q11" t="s">
        <v>48</v>
      </c>
    </row>
    <row r="12" spans="1:17" x14ac:dyDescent="0.3">
      <c r="A12" t="s">
        <v>62</v>
      </c>
      <c r="D12" t="s">
        <v>221</v>
      </c>
      <c r="G12" t="s">
        <v>222</v>
      </c>
      <c r="H12" t="s">
        <v>57</v>
      </c>
      <c r="L12" t="s">
        <v>141</v>
      </c>
      <c r="Q12" t="s">
        <v>48</v>
      </c>
    </row>
    <row r="13" spans="1:17" x14ac:dyDescent="0.3">
      <c r="A13" t="s">
        <v>67</v>
      </c>
      <c r="D13" t="s">
        <v>221</v>
      </c>
      <c r="G13" t="s">
        <v>222</v>
      </c>
      <c r="H13" t="s">
        <v>57</v>
      </c>
      <c r="L13" t="s">
        <v>148</v>
      </c>
      <c r="P13" t="s">
        <v>223</v>
      </c>
      <c r="Q13" t="s">
        <v>73</v>
      </c>
    </row>
    <row r="14" spans="1:17" x14ac:dyDescent="0.3">
      <c r="A14" t="s">
        <v>74</v>
      </c>
      <c r="B14" t="s">
        <v>224</v>
      </c>
      <c r="D14" t="s">
        <v>221</v>
      </c>
      <c r="F14" t="s">
        <v>224</v>
      </c>
      <c r="G14" t="s">
        <v>222</v>
      </c>
      <c r="I14" t="s">
        <v>224</v>
      </c>
      <c r="L14" t="s">
        <v>148</v>
      </c>
      <c r="N14" t="s">
        <v>224</v>
      </c>
      <c r="P14" t="s">
        <v>223</v>
      </c>
      <c r="Q14" t="s">
        <v>73</v>
      </c>
    </row>
    <row r="15" spans="1:17" x14ac:dyDescent="0.3">
      <c r="A15" t="s">
        <v>80</v>
      </c>
      <c r="B15" t="s">
        <v>224</v>
      </c>
      <c r="D15" t="s">
        <v>225</v>
      </c>
      <c r="F15" t="s">
        <v>224</v>
      </c>
      <c r="G15" t="s">
        <v>222</v>
      </c>
      <c r="I15" t="s">
        <v>224</v>
      </c>
      <c r="L15" t="s">
        <v>226</v>
      </c>
      <c r="N15" t="s">
        <v>224</v>
      </c>
      <c r="Q15" t="s">
        <v>227</v>
      </c>
    </row>
    <row r="16" spans="1:17" x14ac:dyDescent="0.3">
      <c r="A16" t="s">
        <v>84</v>
      </c>
      <c r="D16" t="s">
        <v>225</v>
      </c>
      <c r="E16" t="s">
        <v>228</v>
      </c>
      <c r="L16" t="s">
        <v>229</v>
      </c>
      <c r="N16" t="s">
        <v>143</v>
      </c>
    </row>
    <row r="17" spans="1:18" x14ac:dyDescent="0.3">
      <c r="A17" t="s">
        <v>90</v>
      </c>
      <c r="B17" t="s">
        <v>230</v>
      </c>
      <c r="D17" t="s">
        <v>225</v>
      </c>
      <c r="E17" t="s">
        <v>231</v>
      </c>
      <c r="N17" t="s">
        <v>232</v>
      </c>
    </row>
    <row r="18" spans="1:18" x14ac:dyDescent="0.3">
      <c r="A18" t="s">
        <v>94</v>
      </c>
      <c r="D18" t="s">
        <v>233</v>
      </c>
      <c r="E18" t="s">
        <v>234</v>
      </c>
      <c r="G18" t="s">
        <v>157</v>
      </c>
      <c r="K18" t="s">
        <v>158</v>
      </c>
      <c r="L18" t="s">
        <v>101</v>
      </c>
      <c r="M18" t="s">
        <v>158</v>
      </c>
      <c r="N18" t="s">
        <v>137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N19" t="s">
        <v>102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0.5</v>
      </c>
      <c r="C24">
        <f t="shared" si="0"/>
        <v>0.16669999999999999</v>
      </c>
      <c r="D24">
        <f t="shared" si="0"/>
        <v>0.77780000000000005</v>
      </c>
      <c r="E24">
        <f t="shared" si="0"/>
        <v>0.72219999999999995</v>
      </c>
      <c r="F24">
        <f t="shared" si="0"/>
        <v>0.5</v>
      </c>
      <c r="G24">
        <f t="shared" si="0"/>
        <v>0.61109999999999998</v>
      </c>
      <c r="H24">
        <f t="shared" si="0"/>
        <v>0.27779999999999999</v>
      </c>
      <c r="I24">
        <f t="shared" si="0"/>
        <v>0.22220000000000001</v>
      </c>
      <c r="J24">
        <f t="shared" si="0"/>
        <v>0.44440000000000002</v>
      </c>
      <c r="K24">
        <f t="shared" si="0"/>
        <v>0.5</v>
      </c>
      <c r="L24">
        <f t="shared" si="0"/>
        <v>0.94440000000000002</v>
      </c>
      <c r="M24">
        <f t="shared" si="0"/>
        <v>0.33329999999999999</v>
      </c>
      <c r="N24">
        <f t="shared" si="0"/>
        <v>0.77780000000000005</v>
      </c>
      <c r="O24">
        <f t="shared" si="0"/>
        <v>5.5599999999999997E-2</v>
      </c>
      <c r="P24">
        <f t="shared" si="0"/>
        <v>0.33329999999999999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68"/>
  <sheetViews>
    <sheetView workbookViewId="0"/>
  </sheetViews>
  <sheetFormatPr defaultRowHeight="14.4" x14ac:dyDescent="0.3"/>
  <cols>
    <col min="1" max="1" width="20" customWidth="1"/>
    <col min="2" max="12" width="50" customWidth="1"/>
    <col min="13" max="13" width="35" customWidth="1"/>
    <col min="14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  <c r="L2" t="s">
        <v>19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235</v>
      </c>
      <c r="D4" t="s">
        <v>50</v>
      </c>
      <c r="E4" t="s">
        <v>236</v>
      </c>
      <c r="F4" t="s">
        <v>237</v>
      </c>
      <c r="G4" t="s">
        <v>116</v>
      </c>
      <c r="K4" t="s">
        <v>50</v>
      </c>
      <c r="L4" t="s">
        <v>26</v>
      </c>
      <c r="M4" t="s">
        <v>50</v>
      </c>
      <c r="N4" t="s">
        <v>50</v>
      </c>
    </row>
    <row r="5" spans="1:17" x14ac:dyDescent="0.3">
      <c r="A5" t="s">
        <v>27</v>
      </c>
      <c r="B5" t="s">
        <v>237</v>
      </c>
      <c r="D5" t="s">
        <v>238</v>
      </c>
      <c r="E5" t="s">
        <v>239</v>
      </c>
      <c r="F5" t="s">
        <v>237</v>
      </c>
      <c r="G5" t="s">
        <v>165</v>
      </c>
      <c r="I5" t="s">
        <v>238</v>
      </c>
      <c r="J5" t="s">
        <v>238</v>
      </c>
      <c r="L5" t="s">
        <v>26</v>
      </c>
      <c r="O5" t="s">
        <v>238</v>
      </c>
    </row>
    <row r="6" spans="1:17" x14ac:dyDescent="0.3">
      <c r="A6" t="s">
        <v>32</v>
      </c>
      <c r="B6" t="s">
        <v>237</v>
      </c>
      <c r="D6" t="s">
        <v>33</v>
      </c>
      <c r="E6" t="s">
        <v>240</v>
      </c>
      <c r="F6" t="s">
        <v>237</v>
      </c>
      <c r="G6" t="s">
        <v>165</v>
      </c>
      <c r="J6" t="s">
        <v>33</v>
      </c>
      <c r="L6" t="s">
        <v>35</v>
      </c>
    </row>
    <row r="7" spans="1:17" x14ac:dyDescent="0.3">
      <c r="A7" t="s">
        <v>36</v>
      </c>
      <c r="B7" t="s">
        <v>237</v>
      </c>
      <c r="D7" t="s">
        <v>241</v>
      </c>
      <c r="E7" t="s">
        <v>146</v>
      </c>
      <c r="F7" t="s">
        <v>237</v>
      </c>
      <c r="G7" t="s">
        <v>29</v>
      </c>
      <c r="J7" t="s">
        <v>38</v>
      </c>
      <c r="L7" t="s">
        <v>35</v>
      </c>
    </row>
    <row r="8" spans="1:17" x14ac:dyDescent="0.3">
      <c r="A8" t="s">
        <v>41</v>
      </c>
      <c r="B8" t="s">
        <v>242</v>
      </c>
      <c r="C8" t="s">
        <v>243</v>
      </c>
      <c r="D8" t="s">
        <v>243</v>
      </c>
      <c r="E8" t="s">
        <v>243</v>
      </c>
      <c r="F8" t="s">
        <v>237</v>
      </c>
      <c r="G8" t="s">
        <v>243</v>
      </c>
      <c r="I8" t="s">
        <v>243</v>
      </c>
      <c r="J8" t="s">
        <v>244</v>
      </c>
      <c r="K8" t="s">
        <v>243</v>
      </c>
      <c r="L8" t="s">
        <v>245</v>
      </c>
      <c r="M8" t="s">
        <v>243</v>
      </c>
      <c r="P8" t="s">
        <v>243</v>
      </c>
      <c r="Q8" t="s">
        <v>246</v>
      </c>
    </row>
    <row r="9" spans="1:17" x14ac:dyDescent="0.3">
      <c r="A9" t="s">
        <v>49</v>
      </c>
      <c r="B9" t="s">
        <v>242</v>
      </c>
      <c r="C9" t="s">
        <v>243</v>
      </c>
      <c r="D9" t="s">
        <v>243</v>
      </c>
      <c r="E9" t="s">
        <v>243</v>
      </c>
      <c r="F9" t="s">
        <v>237</v>
      </c>
      <c r="G9" t="s">
        <v>243</v>
      </c>
      <c r="I9" t="s">
        <v>243</v>
      </c>
      <c r="J9" t="s">
        <v>244</v>
      </c>
      <c r="K9" t="s">
        <v>243</v>
      </c>
      <c r="L9" t="s">
        <v>245</v>
      </c>
      <c r="M9" t="s">
        <v>243</v>
      </c>
      <c r="N9" t="s">
        <v>137</v>
      </c>
      <c r="P9" t="s">
        <v>243</v>
      </c>
      <c r="Q9" t="s">
        <v>246</v>
      </c>
    </row>
    <row r="10" spans="1:17" x14ac:dyDescent="0.3">
      <c r="A10" t="s">
        <v>53</v>
      </c>
      <c r="B10" t="s">
        <v>247</v>
      </c>
      <c r="C10" t="s">
        <v>243</v>
      </c>
      <c r="D10" t="s">
        <v>248</v>
      </c>
      <c r="E10" t="s">
        <v>243</v>
      </c>
      <c r="G10" t="s">
        <v>247</v>
      </c>
      <c r="H10" t="s">
        <v>57</v>
      </c>
      <c r="I10" t="s">
        <v>243</v>
      </c>
      <c r="J10" t="s">
        <v>244</v>
      </c>
      <c r="K10" t="s">
        <v>249</v>
      </c>
      <c r="L10" t="s">
        <v>250</v>
      </c>
      <c r="M10" t="s">
        <v>243</v>
      </c>
      <c r="N10" t="s">
        <v>251</v>
      </c>
      <c r="P10" t="s">
        <v>243</v>
      </c>
      <c r="Q10" t="s">
        <v>246</v>
      </c>
    </row>
    <row r="11" spans="1:17" x14ac:dyDescent="0.3">
      <c r="A11" t="s">
        <v>58</v>
      </c>
      <c r="D11" t="s">
        <v>252</v>
      </c>
      <c r="H11" t="s">
        <v>57</v>
      </c>
      <c r="L11" t="s">
        <v>141</v>
      </c>
      <c r="N11" t="s">
        <v>143</v>
      </c>
      <c r="Q11" t="s">
        <v>48</v>
      </c>
    </row>
    <row r="12" spans="1:17" x14ac:dyDescent="0.3">
      <c r="A12" t="s">
        <v>62</v>
      </c>
      <c r="B12" t="s">
        <v>253</v>
      </c>
      <c r="D12" t="s">
        <v>252</v>
      </c>
      <c r="F12" t="s">
        <v>253</v>
      </c>
      <c r="H12" t="s">
        <v>57</v>
      </c>
      <c r="L12" t="s">
        <v>254</v>
      </c>
      <c r="N12" t="s">
        <v>255</v>
      </c>
      <c r="Q12" t="s">
        <v>48</v>
      </c>
    </row>
    <row r="13" spans="1:17" x14ac:dyDescent="0.3">
      <c r="A13" t="s">
        <v>67</v>
      </c>
      <c r="D13" t="s">
        <v>256</v>
      </c>
      <c r="H13" t="s">
        <v>57</v>
      </c>
      <c r="L13" t="s">
        <v>148</v>
      </c>
      <c r="N13" t="s">
        <v>98</v>
      </c>
      <c r="Q13" t="s">
        <v>73</v>
      </c>
    </row>
    <row r="14" spans="1:17" x14ac:dyDescent="0.3">
      <c r="A14" t="s">
        <v>74</v>
      </c>
      <c r="D14" t="s">
        <v>256</v>
      </c>
      <c r="L14" t="s">
        <v>148</v>
      </c>
      <c r="N14" t="s">
        <v>98</v>
      </c>
      <c r="Q14" t="s">
        <v>73</v>
      </c>
    </row>
    <row r="15" spans="1:17" x14ac:dyDescent="0.3">
      <c r="A15" t="s">
        <v>80</v>
      </c>
      <c r="D15" t="s">
        <v>256</v>
      </c>
      <c r="N15" t="s">
        <v>98</v>
      </c>
      <c r="Q15" t="s">
        <v>73</v>
      </c>
    </row>
    <row r="16" spans="1:17" x14ac:dyDescent="0.3">
      <c r="A16" t="s">
        <v>84</v>
      </c>
      <c r="B16" t="s">
        <v>257</v>
      </c>
      <c r="C16" t="s">
        <v>257</v>
      </c>
      <c r="D16" t="s">
        <v>257</v>
      </c>
      <c r="E16" t="s">
        <v>257</v>
      </c>
      <c r="F16" t="s">
        <v>257</v>
      </c>
      <c r="G16" t="s">
        <v>257</v>
      </c>
      <c r="H16" t="s">
        <v>257</v>
      </c>
      <c r="I16" t="s">
        <v>257</v>
      </c>
      <c r="J16" t="s">
        <v>257</v>
      </c>
      <c r="K16" t="s">
        <v>257</v>
      </c>
      <c r="L16" t="s">
        <v>257</v>
      </c>
      <c r="M16" t="s">
        <v>257</v>
      </c>
      <c r="N16" t="s">
        <v>257</v>
      </c>
      <c r="O16" t="s">
        <v>257</v>
      </c>
      <c r="P16" t="s">
        <v>257</v>
      </c>
      <c r="Q16" t="s">
        <v>257</v>
      </c>
    </row>
    <row r="17" spans="1:18" x14ac:dyDescent="0.3">
      <c r="A17" t="s">
        <v>90</v>
      </c>
      <c r="B17" t="s">
        <v>257</v>
      </c>
      <c r="C17" t="s">
        <v>257</v>
      </c>
      <c r="D17" t="s">
        <v>257</v>
      </c>
      <c r="E17" t="s">
        <v>257</v>
      </c>
      <c r="F17" t="s">
        <v>257</v>
      </c>
      <c r="G17" t="s">
        <v>257</v>
      </c>
      <c r="H17" t="s">
        <v>257</v>
      </c>
      <c r="I17" t="s">
        <v>257</v>
      </c>
      <c r="J17" t="s">
        <v>257</v>
      </c>
      <c r="K17" t="s">
        <v>257</v>
      </c>
      <c r="L17" t="s">
        <v>257</v>
      </c>
      <c r="M17" t="s">
        <v>257</v>
      </c>
      <c r="N17" t="s">
        <v>257</v>
      </c>
      <c r="O17" t="s">
        <v>257</v>
      </c>
      <c r="P17" t="s">
        <v>257</v>
      </c>
      <c r="Q17" t="s">
        <v>257</v>
      </c>
    </row>
    <row r="18" spans="1:18" x14ac:dyDescent="0.3">
      <c r="A18" t="s">
        <v>94</v>
      </c>
      <c r="D18" t="s">
        <v>158</v>
      </c>
      <c r="E18" t="s">
        <v>234</v>
      </c>
      <c r="G18" t="s">
        <v>157</v>
      </c>
      <c r="K18" t="s">
        <v>158</v>
      </c>
      <c r="L18" t="s">
        <v>101</v>
      </c>
      <c r="M18" t="s">
        <v>158</v>
      </c>
      <c r="N18" t="s">
        <v>149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N19" t="s">
        <v>102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0.61109999999999998</v>
      </c>
      <c r="C24">
        <f t="shared" si="0"/>
        <v>0.33329999999999999</v>
      </c>
      <c r="D24">
        <f t="shared" si="0"/>
        <v>0.88890000000000002</v>
      </c>
      <c r="E24">
        <f t="shared" si="0"/>
        <v>0.66669999999999996</v>
      </c>
      <c r="F24">
        <f t="shared" si="0"/>
        <v>0.55559999999999998</v>
      </c>
      <c r="G24">
        <f t="shared" si="0"/>
        <v>0.61109999999999998</v>
      </c>
      <c r="H24">
        <f t="shared" si="0"/>
        <v>0.38890000000000002</v>
      </c>
      <c r="I24">
        <f t="shared" si="0"/>
        <v>0.44440000000000002</v>
      </c>
      <c r="J24">
        <f t="shared" si="0"/>
        <v>0.5</v>
      </c>
      <c r="K24">
        <f t="shared" si="0"/>
        <v>0.44440000000000002</v>
      </c>
      <c r="L24">
        <f t="shared" si="0"/>
        <v>0.94440000000000002</v>
      </c>
      <c r="M24">
        <f t="shared" si="0"/>
        <v>0.44440000000000002</v>
      </c>
      <c r="N24">
        <f t="shared" si="0"/>
        <v>0.72219999999999995</v>
      </c>
      <c r="O24">
        <f t="shared" si="0"/>
        <v>0.22220000000000001</v>
      </c>
      <c r="P24">
        <f t="shared" si="0"/>
        <v>0.33329999999999999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F2" t="s">
        <v>258</v>
      </c>
      <c r="I2" t="s">
        <v>18</v>
      </c>
      <c r="L2" t="s">
        <v>19</v>
      </c>
    </row>
    <row r="3" spans="1:17" x14ac:dyDescent="0.3">
      <c r="A3" t="s">
        <v>20</v>
      </c>
      <c r="B3" t="s">
        <v>21</v>
      </c>
      <c r="C3" t="s">
        <v>22</v>
      </c>
      <c r="D3" t="s">
        <v>22</v>
      </c>
      <c r="E3" t="s">
        <v>22</v>
      </c>
      <c r="F3" t="s">
        <v>258</v>
      </c>
      <c r="G3" t="s">
        <v>21</v>
      </c>
      <c r="H3" t="s">
        <v>22</v>
      </c>
      <c r="I3" t="s">
        <v>21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25</v>
      </c>
      <c r="E4" t="s">
        <v>24</v>
      </c>
      <c r="F4" t="s">
        <v>258</v>
      </c>
      <c r="L4" t="s">
        <v>26</v>
      </c>
      <c r="N4" t="s">
        <v>25</v>
      </c>
    </row>
    <row r="5" spans="1:17" x14ac:dyDescent="0.3">
      <c r="A5" t="s">
        <v>27</v>
      </c>
      <c r="B5" t="s">
        <v>25</v>
      </c>
      <c r="E5" t="s">
        <v>259</v>
      </c>
      <c r="F5" t="s">
        <v>258</v>
      </c>
      <c r="G5" t="s">
        <v>165</v>
      </c>
      <c r="J5" t="s">
        <v>260</v>
      </c>
      <c r="L5" t="s">
        <v>26</v>
      </c>
      <c r="N5" t="s">
        <v>25</v>
      </c>
    </row>
    <row r="6" spans="1:17" x14ac:dyDescent="0.3">
      <c r="A6" t="s">
        <v>32</v>
      </c>
      <c r="B6" t="s">
        <v>25</v>
      </c>
      <c r="D6" t="s">
        <v>33</v>
      </c>
      <c r="E6" t="s">
        <v>259</v>
      </c>
      <c r="F6" t="s">
        <v>258</v>
      </c>
      <c r="G6" t="s">
        <v>165</v>
      </c>
      <c r="J6" t="s">
        <v>261</v>
      </c>
      <c r="L6" t="s">
        <v>35</v>
      </c>
      <c r="N6" t="s">
        <v>25</v>
      </c>
    </row>
    <row r="7" spans="1:17" x14ac:dyDescent="0.3">
      <c r="A7" t="s">
        <v>36</v>
      </c>
      <c r="B7" t="s">
        <v>262</v>
      </c>
      <c r="D7" t="s">
        <v>50</v>
      </c>
      <c r="E7" t="s">
        <v>146</v>
      </c>
      <c r="F7" t="s">
        <v>258</v>
      </c>
      <c r="G7" t="s">
        <v>263</v>
      </c>
      <c r="J7" t="s">
        <v>264</v>
      </c>
      <c r="K7" t="s">
        <v>50</v>
      </c>
      <c r="L7" t="s">
        <v>35</v>
      </c>
      <c r="M7" t="s">
        <v>50</v>
      </c>
      <c r="N7" t="s">
        <v>50</v>
      </c>
    </row>
    <row r="8" spans="1:17" x14ac:dyDescent="0.3">
      <c r="A8" t="s">
        <v>41</v>
      </c>
      <c r="B8" t="s">
        <v>265</v>
      </c>
      <c r="C8" t="s">
        <v>42</v>
      </c>
      <c r="D8" t="s">
        <v>42</v>
      </c>
      <c r="E8" t="s">
        <v>146</v>
      </c>
      <c r="F8" t="s">
        <v>258</v>
      </c>
      <c r="G8" t="s">
        <v>266</v>
      </c>
      <c r="I8" t="s">
        <v>42</v>
      </c>
      <c r="J8" t="s">
        <v>264</v>
      </c>
      <c r="L8" t="s">
        <v>136</v>
      </c>
      <c r="M8" t="s">
        <v>42</v>
      </c>
      <c r="N8" t="s">
        <v>42</v>
      </c>
      <c r="Q8" t="s">
        <v>48</v>
      </c>
    </row>
    <row r="9" spans="1:17" x14ac:dyDescent="0.3">
      <c r="A9" t="s">
        <v>49</v>
      </c>
      <c r="E9" t="s">
        <v>146</v>
      </c>
      <c r="F9" t="s">
        <v>258</v>
      </c>
      <c r="G9" t="s">
        <v>266</v>
      </c>
      <c r="J9" t="s">
        <v>38</v>
      </c>
      <c r="L9" t="s">
        <v>136</v>
      </c>
      <c r="N9" t="s">
        <v>137</v>
      </c>
      <c r="Q9" t="s">
        <v>48</v>
      </c>
    </row>
    <row r="10" spans="1:17" x14ac:dyDescent="0.3">
      <c r="A10" t="s">
        <v>53</v>
      </c>
      <c r="E10" t="s">
        <v>146</v>
      </c>
      <c r="F10" t="s">
        <v>258</v>
      </c>
      <c r="G10" t="s">
        <v>56</v>
      </c>
      <c r="H10" t="s">
        <v>57</v>
      </c>
      <c r="J10" t="s">
        <v>38</v>
      </c>
      <c r="Q10" t="s">
        <v>48</v>
      </c>
    </row>
    <row r="11" spans="1:17" x14ac:dyDescent="0.3">
      <c r="A11" t="s">
        <v>58</v>
      </c>
      <c r="E11" t="s">
        <v>146</v>
      </c>
      <c r="F11" t="s">
        <v>258</v>
      </c>
      <c r="G11" t="s">
        <v>60</v>
      </c>
      <c r="H11" t="s">
        <v>57</v>
      </c>
      <c r="L11" t="s">
        <v>141</v>
      </c>
      <c r="Q11" t="s">
        <v>48</v>
      </c>
    </row>
    <row r="12" spans="1:17" x14ac:dyDescent="0.3">
      <c r="A12" t="s">
        <v>62</v>
      </c>
      <c r="F12" t="s">
        <v>258</v>
      </c>
      <c r="G12" t="s">
        <v>60</v>
      </c>
      <c r="H12" t="s">
        <v>57</v>
      </c>
      <c r="L12" t="s">
        <v>141</v>
      </c>
      <c r="N12" t="s">
        <v>143</v>
      </c>
      <c r="Q12" t="s">
        <v>48</v>
      </c>
    </row>
    <row r="13" spans="1:17" x14ac:dyDescent="0.3">
      <c r="A13" t="s">
        <v>67</v>
      </c>
      <c r="F13" t="s">
        <v>258</v>
      </c>
      <c r="G13" t="s">
        <v>60</v>
      </c>
      <c r="H13" t="s">
        <v>57</v>
      </c>
      <c r="L13" t="s">
        <v>267</v>
      </c>
      <c r="N13" t="s">
        <v>149</v>
      </c>
      <c r="Q13" t="s">
        <v>73</v>
      </c>
    </row>
    <row r="14" spans="1:17" x14ac:dyDescent="0.3">
      <c r="A14" t="s">
        <v>74</v>
      </c>
      <c r="B14" t="s">
        <v>268</v>
      </c>
      <c r="E14" t="s">
        <v>146</v>
      </c>
      <c r="F14" t="s">
        <v>258</v>
      </c>
      <c r="L14" t="s">
        <v>148</v>
      </c>
      <c r="N14" t="s">
        <v>98</v>
      </c>
      <c r="Q14" t="s">
        <v>73</v>
      </c>
    </row>
    <row r="15" spans="1:17" x14ac:dyDescent="0.3">
      <c r="A15" t="s">
        <v>80</v>
      </c>
      <c r="B15" t="s">
        <v>268</v>
      </c>
      <c r="E15" t="s">
        <v>146</v>
      </c>
      <c r="F15" t="s">
        <v>258</v>
      </c>
      <c r="I15" t="s">
        <v>269</v>
      </c>
      <c r="N15" t="s">
        <v>98</v>
      </c>
      <c r="Q15" t="s">
        <v>73</v>
      </c>
    </row>
    <row r="16" spans="1:17" x14ac:dyDescent="0.3">
      <c r="A16" t="s">
        <v>84</v>
      </c>
      <c r="B16" t="s">
        <v>270</v>
      </c>
      <c r="E16" t="s">
        <v>271</v>
      </c>
      <c r="F16" t="s">
        <v>258</v>
      </c>
      <c r="H16" t="s">
        <v>270</v>
      </c>
      <c r="I16" t="s">
        <v>269</v>
      </c>
      <c r="L16" t="s">
        <v>270</v>
      </c>
      <c r="M16" t="s">
        <v>272</v>
      </c>
      <c r="N16" t="s">
        <v>98</v>
      </c>
      <c r="O16" t="s">
        <v>270</v>
      </c>
      <c r="P16" t="s">
        <v>270</v>
      </c>
      <c r="Q16" t="s">
        <v>270</v>
      </c>
    </row>
    <row r="17" spans="1:18" x14ac:dyDescent="0.3">
      <c r="A17" t="s">
        <v>90</v>
      </c>
      <c r="B17" t="s">
        <v>270</v>
      </c>
      <c r="E17" t="s">
        <v>271</v>
      </c>
      <c r="F17" t="s">
        <v>258</v>
      </c>
      <c r="H17" t="s">
        <v>270</v>
      </c>
      <c r="I17" t="s">
        <v>273</v>
      </c>
      <c r="L17" t="s">
        <v>270</v>
      </c>
      <c r="M17" t="s">
        <v>272</v>
      </c>
      <c r="N17" t="s">
        <v>98</v>
      </c>
      <c r="O17" t="s">
        <v>270</v>
      </c>
      <c r="P17" t="s">
        <v>270</v>
      </c>
      <c r="Q17" t="s">
        <v>270</v>
      </c>
    </row>
    <row r="18" spans="1:18" x14ac:dyDescent="0.3">
      <c r="A18" t="s">
        <v>94</v>
      </c>
      <c r="D18" t="s">
        <v>158</v>
      </c>
      <c r="E18" t="s">
        <v>274</v>
      </c>
      <c r="G18" t="s">
        <v>158</v>
      </c>
      <c r="K18" t="s">
        <v>158</v>
      </c>
      <c r="L18" t="s">
        <v>101</v>
      </c>
      <c r="M18" t="s">
        <v>158</v>
      </c>
      <c r="Q18" t="s">
        <v>103</v>
      </c>
    </row>
    <row r="19" spans="1:18" x14ac:dyDescent="0.3">
      <c r="A19" t="s">
        <v>100</v>
      </c>
      <c r="E19" t="s">
        <v>274</v>
      </c>
      <c r="L19" t="s">
        <v>101</v>
      </c>
      <c r="N19" t="s">
        <v>102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0.55559999999999998</v>
      </c>
      <c r="C24">
        <f t="shared" si="0"/>
        <v>0.1111</v>
      </c>
      <c r="D24">
        <f t="shared" si="0"/>
        <v>0.27779999999999999</v>
      </c>
      <c r="E24">
        <f t="shared" si="0"/>
        <v>0.83330000000000004</v>
      </c>
      <c r="F24">
        <f t="shared" si="0"/>
        <v>0.88890000000000002</v>
      </c>
      <c r="G24">
        <f t="shared" si="0"/>
        <v>0.61109999999999998</v>
      </c>
      <c r="H24">
        <f t="shared" si="0"/>
        <v>0.38890000000000002</v>
      </c>
      <c r="I24">
        <f t="shared" si="0"/>
        <v>0.33329999999999999</v>
      </c>
      <c r="J24">
        <f t="shared" si="0"/>
        <v>0.38890000000000002</v>
      </c>
      <c r="K24">
        <f t="shared" si="0"/>
        <v>0.16669999999999999</v>
      </c>
      <c r="L24">
        <f t="shared" si="0"/>
        <v>0.88890000000000002</v>
      </c>
      <c r="M24">
        <f t="shared" si="0"/>
        <v>0.33329999999999999</v>
      </c>
      <c r="N24">
        <f t="shared" si="0"/>
        <v>0.77780000000000005</v>
      </c>
      <c r="O24">
        <f t="shared" si="0"/>
        <v>0.16669999999999999</v>
      </c>
      <c r="P24">
        <f t="shared" si="0"/>
        <v>0.16669999999999999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E2" t="s">
        <v>275</v>
      </c>
      <c r="F2" t="s">
        <v>258</v>
      </c>
      <c r="I2" t="s">
        <v>18</v>
      </c>
      <c r="L2" t="s">
        <v>19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258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276</v>
      </c>
      <c r="D4" t="s">
        <v>50</v>
      </c>
      <c r="E4" t="s">
        <v>24</v>
      </c>
      <c r="F4" t="s">
        <v>258</v>
      </c>
      <c r="G4" t="s">
        <v>116</v>
      </c>
      <c r="K4" t="s">
        <v>50</v>
      </c>
      <c r="L4" t="s">
        <v>26</v>
      </c>
      <c r="M4" t="s">
        <v>50</v>
      </c>
      <c r="N4" t="s">
        <v>50</v>
      </c>
    </row>
    <row r="5" spans="1:17" x14ac:dyDescent="0.3">
      <c r="A5" t="s">
        <v>27</v>
      </c>
      <c r="B5" t="s">
        <v>277</v>
      </c>
      <c r="C5" t="s">
        <v>120</v>
      </c>
      <c r="D5" t="s">
        <v>120</v>
      </c>
      <c r="E5" t="s">
        <v>198</v>
      </c>
      <c r="F5" t="s">
        <v>258</v>
      </c>
      <c r="G5" t="s">
        <v>165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F6" t="s">
        <v>258</v>
      </c>
      <c r="G6" t="s">
        <v>165</v>
      </c>
      <c r="J6" t="s">
        <v>33</v>
      </c>
      <c r="L6" t="s">
        <v>35</v>
      </c>
    </row>
    <row r="7" spans="1:17" x14ac:dyDescent="0.3">
      <c r="A7" t="s">
        <v>36</v>
      </c>
      <c r="E7" t="s">
        <v>146</v>
      </c>
      <c r="F7" t="s">
        <v>258</v>
      </c>
      <c r="G7" t="s">
        <v>29</v>
      </c>
      <c r="J7" t="s">
        <v>38</v>
      </c>
      <c r="L7" t="s">
        <v>35</v>
      </c>
      <c r="N7" t="s">
        <v>131</v>
      </c>
    </row>
    <row r="8" spans="1:17" x14ac:dyDescent="0.3">
      <c r="A8" t="s">
        <v>41</v>
      </c>
      <c r="E8" t="s">
        <v>146</v>
      </c>
      <c r="F8" t="s">
        <v>278</v>
      </c>
      <c r="J8" t="s">
        <v>38</v>
      </c>
      <c r="K8" t="s">
        <v>279</v>
      </c>
      <c r="L8" t="s">
        <v>136</v>
      </c>
      <c r="N8" t="s">
        <v>279</v>
      </c>
      <c r="Q8" t="s">
        <v>48</v>
      </c>
    </row>
    <row r="9" spans="1:17" x14ac:dyDescent="0.3">
      <c r="A9" t="s">
        <v>49</v>
      </c>
      <c r="E9" t="s">
        <v>146</v>
      </c>
      <c r="F9" t="s">
        <v>278</v>
      </c>
      <c r="I9" t="s">
        <v>280</v>
      </c>
      <c r="J9" t="s">
        <v>38</v>
      </c>
      <c r="K9" t="s">
        <v>279</v>
      </c>
      <c r="L9" t="s">
        <v>136</v>
      </c>
      <c r="N9" t="s">
        <v>279</v>
      </c>
      <c r="Q9" t="s">
        <v>48</v>
      </c>
    </row>
    <row r="10" spans="1:17" x14ac:dyDescent="0.3">
      <c r="A10" t="s">
        <v>53</v>
      </c>
      <c r="B10" t="s">
        <v>138</v>
      </c>
      <c r="C10" t="s">
        <v>138</v>
      </c>
      <c r="D10" t="s">
        <v>138</v>
      </c>
      <c r="E10" t="s">
        <v>146</v>
      </c>
      <c r="F10" t="s">
        <v>258</v>
      </c>
      <c r="H10" t="s">
        <v>57</v>
      </c>
      <c r="I10" t="s">
        <v>281</v>
      </c>
      <c r="J10" t="s">
        <v>38</v>
      </c>
      <c r="M10" t="s">
        <v>138</v>
      </c>
      <c r="N10" t="s">
        <v>138</v>
      </c>
      <c r="Q10" t="s">
        <v>48</v>
      </c>
    </row>
    <row r="11" spans="1:17" x14ac:dyDescent="0.3">
      <c r="A11" t="s">
        <v>58</v>
      </c>
      <c r="E11" t="s">
        <v>146</v>
      </c>
      <c r="F11" t="s">
        <v>258</v>
      </c>
      <c r="H11" t="s">
        <v>57</v>
      </c>
      <c r="L11" t="s">
        <v>282</v>
      </c>
      <c r="N11" t="s">
        <v>283</v>
      </c>
      <c r="Q11" t="s">
        <v>48</v>
      </c>
    </row>
    <row r="12" spans="1:17" x14ac:dyDescent="0.3">
      <c r="A12" t="s">
        <v>62</v>
      </c>
      <c r="E12" t="s">
        <v>284</v>
      </c>
      <c r="F12" t="s">
        <v>258</v>
      </c>
      <c r="G12" t="s">
        <v>222</v>
      </c>
      <c r="H12" t="s">
        <v>57</v>
      </c>
      <c r="L12" t="s">
        <v>141</v>
      </c>
      <c r="N12" t="s">
        <v>137</v>
      </c>
      <c r="O12" t="s">
        <v>144</v>
      </c>
      <c r="Q12" t="s">
        <v>48</v>
      </c>
    </row>
    <row r="13" spans="1:17" x14ac:dyDescent="0.3">
      <c r="A13" t="s">
        <v>67</v>
      </c>
      <c r="E13" t="s">
        <v>284</v>
      </c>
      <c r="F13" t="s">
        <v>258</v>
      </c>
      <c r="G13" t="s">
        <v>222</v>
      </c>
      <c r="H13" t="s">
        <v>57</v>
      </c>
      <c r="L13" t="s">
        <v>148</v>
      </c>
      <c r="N13" t="s">
        <v>149</v>
      </c>
      <c r="O13" t="s">
        <v>144</v>
      </c>
      <c r="Q13" t="s">
        <v>73</v>
      </c>
    </row>
    <row r="14" spans="1:17" x14ac:dyDescent="0.3">
      <c r="A14" t="s">
        <v>74</v>
      </c>
      <c r="E14" t="s">
        <v>146</v>
      </c>
      <c r="F14" t="s">
        <v>258</v>
      </c>
      <c r="G14" t="s">
        <v>222</v>
      </c>
      <c r="L14" t="s">
        <v>148</v>
      </c>
      <c r="N14" t="s">
        <v>98</v>
      </c>
      <c r="Q14" t="s">
        <v>73</v>
      </c>
    </row>
    <row r="15" spans="1:17" x14ac:dyDescent="0.3">
      <c r="A15" t="s">
        <v>80</v>
      </c>
      <c r="E15" t="s">
        <v>146</v>
      </c>
      <c r="F15" t="s">
        <v>258</v>
      </c>
      <c r="G15" t="s">
        <v>222</v>
      </c>
      <c r="N15" t="s">
        <v>83</v>
      </c>
      <c r="Q15" t="s">
        <v>73</v>
      </c>
    </row>
    <row r="16" spans="1:17" x14ac:dyDescent="0.3">
      <c r="A16" t="s">
        <v>84</v>
      </c>
      <c r="B16" t="s">
        <v>285</v>
      </c>
      <c r="E16" t="s">
        <v>146</v>
      </c>
      <c r="F16" t="s">
        <v>258</v>
      </c>
      <c r="N16" t="s">
        <v>98</v>
      </c>
    </row>
    <row r="17" spans="1:18" x14ac:dyDescent="0.3">
      <c r="A17" t="s">
        <v>90</v>
      </c>
      <c r="E17" t="s">
        <v>146</v>
      </c>
      <c r="F17" t="s">
        <v>258</v>
      </c>
      <c r="N17" t="s">
        <v>98</v>
      </c>
    </row>
    <row r="18" spans="1:18" x14ac:dyDescent="0.3">
      <c r="A18" t="s">
        <v>94</v>
      </c>
      <c r="B18" t="s">
        <v>286</v>
      </c>
      <c r="D18" t="s">
        <v>158</v>
      </c>
      <c r="E18" t="s">
        <v>146</v>
      </c>
      <c r="G18" t="s">
        <v>157</v>
      </c>
      <c r="K18" t="s">
        <v>158</v>
      </c>
      <c r="L18" t="s">
        <v>101</v>
      </c>
      <c r="M18" t="s">
        <v>158</v>
      </c>
      <c r="Q18" t="s">
        <v>103</v>
      </c>
    </row>
    <row r="19" spans="1:18" x14ac:dyDescent="0.3">
      <c r="A19" t="s">
        <v>100</v>
      </c>
      <c r="B19" t="s">
        <v>286</v>
      </c>
      <c r="E19" t="s">
        <v>146</v>
      </c>
      <c r="L19" t="s">
        <v>101</v>
      </c>
      <c r="N19" t="s">
        <v>102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0.38890000000000002</v>
      </c>
      <c r="C24">
        <f t="shared" si="0"/>
        <v>0.16669999999999999</v>
      </c>
      <c r="D24">
        <f t="shared" si="0"/>
        <v>0.33329999999999999</v>
      </c>
      <c r="E24">
        <f t="shared" si="0"/>
        <v>1</v>
      </c>
      <c r="F24">
        <f t="shared" si="0"/>
        <v>0.88890000000000002</v>
      </c>
      <c r="G24">
        <f t="shared" si="0"/>
        <v>0.55559999999999998</v>
      </c>
      <c r="H24">
        <f t="shared" si="0"/>
        <v>0.27779999999999999</v>
      </c>
      <c r="I24">
        <f t="shared" si="0"/>
        <v>0.22220000000000001</v>
      </c>
      <c r="J24">
        <f t="shared" si="0"/>
        <v>0.38890000000000002</v>
      </c>
      <c r="K24">
        <f t="shared" si="0"/>
        <v>0.33329999999999999</v>
      </c>
      <c r="L24">
        <f t="shared" si="0"/>
        <v>0.77780000000000005</v>
      </c>
      <c r="M24">
        <f t="shared" si="0"/>
        <v>0.27779999999999999</v>
      </c>
      <c r="N24">
        <f t="shared" si="0"/>
        <v>0.83330000000000004</v>
      </c>
      <c r="O24">
        <f t="shared" si="0"/>
        <v>0.16669999999999999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68"/>
  <sheetViews>
    <sheetView workbookViewId="0"/>
  </sheetViews>
  <sheetFormatPr defaultRowHeight="14.4" x14ac:dyDescent="0.3"/>
  <cols>
    <col min="1" max="1" width="20" customWidth="1"/>
    <col min="2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E2" t="s">
        <v>275</v>
      </c>
      <c r="F2" t="s">
        <v>258</v>
      </c>
      <c r="I2" t="s">
        <v>18</v>
      </c>
      <c r="L2" t="s">
        <v>19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258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50</v>
      </c>
      <c r="D4" t="s">
        <v>50</v>
      </c>
      <c r="E4" t="s">
        <v>24</v>
      </c>
      <c r="F4" t="s">
        <v>258</v>
      </c>
      <c r="G4" t="s">
        <v>116</v>
      </c>
      <c r="K4" t="s">
        <v>50</v>
      </c>
      <c r="L4" t="s">
        <v>26</v>
      </c>
      <c r="M4" t="s">
        <v>50</v>
      </c>
      <c r="N4" t="s">
        <v>50</v>
      </c>
    </row>
    <row r="5" spans="1:17" x14ac:dyDescent="0.3">
      <c r="A5" t="s">
        <v>27</v>
      </c>
      <c r="B5" t="s">
        <v>162</v>
      </c>
      <c r="C5" t="s">
        <v>287</v>
      </c>
      <c r="D5" t="s">
        <v>163</v>
      </c>
      <c r="E5" t="s">
        <v>288</v>
      </c>
      <c r="F5" t="s">
        <v>258</v>
      </c>
      <c r="G5" t="s">
        <v>165</v>
      </c>
      <c r="J5" t="s">
        <v>162</v>
      </c>
      <c r="K5" t="s">
        <v>166</v>
      </c>
      <c r="L5" t="s">
        <v>167</v>
      </c>
      <c r="M5" t="s">
        <v>168</v>
      </c>
      <c r="N5" t="s">
        <v>162</v>
      </c>
      <c r="P5" t="s">
        <v>163</v>
      </c>
    </row>
    <row r="6" spans="1:17" x14ac:dyDescent="0.3">
      <c r="A6" t="s">
        <v>32</v>
      </c>
      <c r="B6" t="s">
        <v>162</v>
      </c>
      <c r="C6" t="s">
        <v>289</v>
      </c>
      <c r="D6" t="s">
        <v>169</v>
      </c>
      <c r="E6" t="s">
        <v>290</v>
      </c>
      <c r="F6" t="s">
        <v>258</v>
      </c>
      <c r="G6" t="s">
        <v>291</v>
      </c>
      <c r="H6" t="s">
        <v>292</v>
      </c>
      <c r="I6" t="s">
        <v>292</v>
      </c>
      <c r="J6" t="s">
        <v>171</v>
      </c>
      <c r="K6" t="s">
        <v>162</v>
      </c>
      <c r="L6" t="s">
        <v>172</v>
      </c>
      <c r="M6" t="s">
        <v>292</v>
      </c>
      <c r="N6" t="s">
        <v>293</v>
      </c>
      <c r="P6" t="s">
        <v>162</v>
      </c>
      <c r="Q6" t="s">
        <v>292</v>
      </c>
    </row>
    <row r="7" spans="1:17" x14ac:dyDescent="0.3">
      <c r="A7" t="s">
        <v>36</v>
      </c>
      <c r="C7" t="s">
        <v>292</v>
      </c>
      <c r="E7" t="s">
        <v>146</v>
      </c>
      <c r="F7" t="s">
        <v>258</v>
      </c>
      <c r="G7" t="s">
        <v>294</v>
      </c>
      <c r="H7" t="s">
        <v>292</v>
      </c>
      <c r="I7" t="s">
        <v>292</v>
      </c>
      <c r="J7" t="s">
        <v>38</v>
      </c>
      <c r="L7" t="s">
        <v>35</v>
      </c>
      <c r="M7" t="s">
        <v>292</v>
      </c>
      <c r="Q7" t="s">
        <v>292</v>
      </c>
    </row>
    <row r="8" spans="1:17" x14ac:dyDescent="0.3">
      <c r="A8" t="s">
        <v>41</v>
      </c>
      <c r="E8" t="s">
        <v>146</v>
      </c>
      <c r="F8" t="s">
        <v>258</v>
      </c>
      <c r="J8" t="s">
        <v>38</v>
      </c>
      <c r="L8" t="s">
        <v>136</v>
      </c>
      <c r="N8" t="s">
        <v>232</v>
      </c>
      <c r="Q8" t="s">
        <v>48</v>
      </c>
    </row>
    <row r="9" spans="1:17" x14ac:dyDescent="0.3">
      <c r="A9" t="s">
        <v>49</v>
      </c>
      <c r="E9" t="s">
        <v>146</v>
      </c>
      <c r="F9" t="s">
        <v>258</v>
      </c>
      <c r="J9" t="s">
        <v>38</v>
      </c>
      <c r="L9" t="s">
        <v>136</v>
      </c>
      <c r="N9" t="s">
        <v>137</v>
      </c>
      <c r="Q9" t="s">
        <v>48</v>
      </c>
    </row>
    <row r="10" spans="1:17" x14ac:dyDescent="0.3">
      <c r="A10" t="s">
        <v>53</v>
      </c>
      <c r="E10" t="s">
        <v>146</v>
      </c>
      <c r="F10" t="s">
        <v>258</v>
      </c>
      <c r="H10" t="s">
        <v>57</v>
      </c>
      <c r="J10" t="s">
        <v>38</v>
      </c>
      <c r="Q10" t="s">
        <v>48</v>
      </c>
    </row>
    <row r="11" spans="1:17" x14ac:dyDescent="0.3">
      <c r="A11" t="s">
        <v>58</v>
      </c>
      <c r="E11" t="s">
        <v>146</v>
      </c>
      <c r="F11" t="s">
        <v>258</v>
      </c>
      <c r="H11" t="s">
        <v>57</v>
      </c>
      <c r="L11" t="s">
        <v>141</v>
      </c>
      <c r="Q11" t="s">
        <v>48</v>
      </c>
    </row>
    <row r="12" spans="1:17" x14ac:dyDescent="0.3">
      <c r="A12" t="s">
        <v>62</v>
      </c>
      <c r="F12" t="s">
        <v>258</v>
      </c>
      <c r="G12" t="s">
        <v>222</v>
      </c>
      <c r="H12" t="s">
        <v>57</v>
      </c>
      <c r="L12" t="s">
        <v>141</v>
      </c>
      <c r="N12" t="s">
        <v>143</v>
      </c>
      <c r="Q12" t="s">
        <v>48</v>
      </c>
    </row>
    <row r="13" spans="1:17" x14ac:dyDescent="0.3">
      <c r="A13" t="s">
        <v>67</v>
      </c>
      <c r="F13" t="s">
        <v>258</v>
      </c>
      <c r="G13" t="s">
        <v>222</v>
      </c>
      <c r="H13" t="s">
        <v>57</v>
      </c>
      <c r="L13" t="s">
        <v>148</v>
      </c>
      <c r="N13" t="s">
        <v>149</v>
      </c>
      <c r="Q13" t="s">
        <v>73</v>
      </c>
    </row>
    <row r="14" spans="1:17" x14ac:dyDescent="0.3">
      <c r="A14" t="s">
        <v>74</v>
      </c>
      <c r="B14" t="s">
        <v>295</v>
      </c>
      <c r="D14" t="s">
        <v>295</v>
      </c>
      <c r="E14" t="s">
        <v>146</v>
      </c>
      <c r="F14" t="s">
        <v>258</v>
      </c>
      <c r="G14" t="s">
        <v>222</v>
      </c>
      <c r="L14" t="s">
        <v>296</v>
      </c>
      <c r="N14" t="s">
        <v>98</v>
      </c>
      <c r="Q14" t="s">
        <v>73</v>
      </c>
    </row>
    <row r="15" spans="1:17" x14ac:dyDescent="0.3">
      <c r="A15" t="s">
        <v>80</v>
      </c>
      <c r="B15" t="s">
        <v>295</v>
      </c>
      <c r="D15" t="s">
        <v>295</v>
      </c>
      <c r="E15" t="s">
        <v>146</v>
      </c>
      <c r="F15" t="s">
        <v>258</v>
      </c>
      <c r="G15" t="s">
        <v>222</v>
      </c>
      <c r="L15" t="s">
        <v>295</v>
      </c>
      <c r="N15" t="s">
        <v>98</v>
      </c>
      <c r="Q15" t="s">
        <v>73</v>
      </c>
    </row>
    <row r="16" spans="1:17" x14ac:dyDescent="0.3">
      <c r="A16" t="s">
        <v>84</v>
      </c>
      <c r="E16" t="s">
        <v>146</v>
      </c>
      <c r="F16" t="s">
        <v>258</v>
      </c>
      <c r="N16" t="s">
        <v>98</v>
      </c>
    </row>
    <row r="17" spans="1:18" x14ac:dyDescent="0.3">
      <c r="A17" t="s">
        <v>90</v>
      </c>
      <c r="E17" t="s">
        <v>146</v>
      </c>
      <c r="F17" t="s">
        <v>258</v>
      </c>
      <c r="N17" t="s">
        <v>98</v>
      </c>
    </row>
    <row r="18" spans="1:18" x14ac:dyDescent="0.3">
      <c r="A18" t="s">
        <v>94</v>
      </c>
      <c r="B18" t="s">
        <v>192</v>
      </c>
      <c r="D18" t="s">
        <v>158</v>
      </c>
      <c r="E18" t="s">
        <v>234</v>
      </c>
      <c r="G18" t="s">
        <v>157</v>
      </c>
      <c r="K18" t="s">
        <v>158</v>
      </c>
      <c r="L18" t="s">
        <v>101</v>
      </c>
      <c r="M18" t="s">
        <v>158</v>
      </c>
      <c r="O18" t="s">
        <v>192</v>
      </c>
      <c r="Q18" t="s">
        <v>103</v>
      </c>
    </row>
    <row r="19" spans="1:18" x14ac:dyDescent="0.3">
      <c r="A19" t="s">
        <v>100</v>
      </c>
      <c r="B19" t="s">
        <v>192</v>
      </c>
      <c r="E19" t="s">
        <v>234</v>
      </c>
      <c r="L19" t="s">
        <v>101</v>
      </c>
      <c r="N19" t="s">
        <v>102</v>
      </c>
      <c r="O19" t="s">
        <v>192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0.44440000000000002</v>
      </c>
      <c r="C24">
        <f t="shared" si="0"/>
        <v>0.22220000000000001</v>
      </c>
      <c r="D24">
        <f t="shared" si="0"/>
        <v>0.38890000000000002</v>
      </c>
      <c r="E24">
        <f t="shared" si="0"/>
        <v>0.88890000000000002</v>
      </c>
      <c r="F24">
        <f t="shared" si="0"/>
        <v>0.88890000000000002</v>
      </c>
      <c r="G24">
        <f t="shared" si="0"/>
        <v>0.55559999999999998</v>
      </c>
      <c r="H24">
        <f t="shared" si="0"/>
        <v>0.38890000000000002</v>
      </c>
      <c r="I24">
        <f t="shared" si="0"/>
        <v>0.22220000000000001</v>
      </c>
      <c r="J24">
        <f t="shared" si="0"/>
        <v>0.38890000000000002</v>
      </c>
      <c r="K24">
        <f t="shared" si="0"/>
        <v>0.27779999999999999</v>
      </c>
      <c r="L24">
        <f t="shared" si="0"/>
        <v>0.83330000000000004</v>
      </c>
      <c r="M24">
        <f t="shared" si="0"/>
        <v>0.33329999999999999</v>
      </c>
      <c r="N24">
        <f t="shared" si="0"/>
        <v>0.72219999999999995</v>
      </c>
      <c r="O24">
        <f t="shared" si="0"/>
        <v>0.16669999999999999</v>
      </c>
      <c r="P24">
        <f t="shared" si="0"/>
        <v>0.16669999999999999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E2" t="s">
        <v>275</v>
      </c>
      <c r="F2" t="s">
        <v>258</v>
      </c>
      <c r="I2" t="s">
        <v>18</v>
      </c>
      <c r="L2" t="s">
        <v>19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258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297</v>
      </c>
      <c r="D4" t="s">
        <v>50</v>
      </c>
      <c r="E4" t="s">
        <v>298</v>
      </c>
      <c r="F4" t="s">
        <v>258</v>
      </c>
      <c r="G4" t="s">
        <v>116</v>
      </c>
      <c r="K4" t="s">
        <v>50</v>
      </c>
      <c r="L4" t="s">
        <v>26</v>
      </c>
      <c r="M4" t="s">
        <v>50</v>
      </c>
      <c r="N4" t="s">
        <v>50</v>
      </c>
      <c r="O4" t="s">
        <v>299</v>
      </c>
    </row>
    <row r="5" spans="1:17" x14ac:dyDescent="0.3">
      <c r="A5" t="s">
        <v>27</v>
      </c>
      <c r="B5" t="s">
        <v>300</v>
      </c>
      <c r="C5" t="s">
        <v>120</v>
      </c>
      <c r="D5" t="s">
        <v>120</v>
      </c>
      <c r="E5" t="s">
        <v>301</v>
      </c>
      <c r="F5" t="s">
        <v>258</v>
      </c>
      <c r="G5" t="s">
        <v>165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O5" t="s">
        <v>299</v>
      </c>
      <c r="P5" t="s">
        <v>120</v>
      </c>
      <c r="Q5" t="s">
        <v>120</v>
      </c>
    </row>
    <row r="6" spans="1:17" x14ac:dyDescent="0.3">
      <c r="A6" t="s">
        <v>32</v>
      </c>
      <c r="B6" t="s">
        <v>302</v>
      </c>
      <c r="D6" t="s">
        <v>33</v>
      </c>
      <c r="E6" t="s">
        <v>146</v>
      </c>
      <c r="F6" t="s">
        <v>258</v>
      </c>
      <c r="G6" t="s">
        <v>165</v>
      </c>
      <c r="J6" t="s">
        <v>303</v>
      </c>
      <c r="L6" t="s">
        <v>201</v>
      </c>
      <c r="O6" t="s">
        <v>299</v>
      </c>
    </row>
    <row r="7" spans="1:17" x14ac:dyDescent="0.3">
      <c r="A7" t="s">
        <v>36</v>
      </c>
      <c r="B7" t="s">
        <v>304</v>
      </c>
      <c r="C7" t="s">
        <v>305</v>
      </c>
      <c r="D7" t="s">
        <v>305</v>
      </c>
      <c r="E7" t="s">
        <v>146</v>
      </c>
      <c r="F7" t="s">
        <v>306</v>
      </c>
      <c r="G7" t="s">
        <v>29</v>
      </c>
      <c r="J7" t="s">
        <v>307</v>
      </c>
      <c r="K7" t="s">
        <v>305</v>
      </c>
      <c r="L7" t="s">
        <v>308</v>
      </c>
      <c r="N7" t="s">
        <v>305</v>
      </c>
      <c r="O7" t="s">
        <v>299</v>
      </c>
      <c r="P7" t="s">
        <v>305</v>
      </c>
    </row>
    <row r="8" spans="1:17" x14ac:dyDescent="0.3">
      <c r="A8" t="s">
        <v>41</v>
      </c>
      <c r="B8" t="s">
        <v>309</v>
      </c>
      <c r="C8" t="s">
        <v>310</v>
      </c>
      <c r="D8" t="s">
        <v>311</v>
      </c>
      <c r="E8" t="s">
        <v>312</v>
      </c>
      <c r="F8" t="s">
        <v>306</v>
      </c>
      <c r="J8" t="s">
        <v>313</v>
      </c>
      <c r="K8" t="s">
        <v>310</v>
      </c>
      <c r="L8" t="s">
        <v>314</v>
      </c>
      <c r="M8" t="s">
        <v>315</v>
      </c>
      <c r="N8" t="s">
        <v>311</v>
      </c>
      <c r="P8" t="s">
        <v>305</v>
      </c>
      <c r="Q8" t="s">
        <v>316</v>
      </c>
    </row>
    <row r="9" spans="1:17" x14ac:dyDescent="0.3">
      <c r="A9" t="s">
        <v>49</v>
      </c>
      <c r="B9" t="s">
        <v>317</v>
      </c>
      <c r="C9" t="s">
        <v>318</v>
      </c>
      <c r="D9" t="s">
        <v>318</v>
      </c>
      <c r="E9" t="s">
        <v>312</v>
      </c>
      <c r="F9" t="s">
        <v>258</v>
      </c>
      <c r="J9" t="s">
        <v>319</v>
      </c>
      <c r="K9" t="s">
        <v>318</v>
      </c>
      <c r="L9" t="s">
        <v>320</v>
      </c>
      <c r="M9" t="s">
        <v>315</v>
      </c>
      <c r="N9" t="s">
        <v>321</v>
      </c>
      <c r="Q9" t="s">
        <v>316</v>
      </c>
    </row>
    <row r="10" spans="1:17" x14ac:dyDescent="0.3">
      <c r="A10" t="s">
        <v>53</v>
      </c>
      <c r="B10" t="s">
        <v>317</v>
      </c>
      <c r="C10" t="s">
        <v>318</v>
      </c>
      <c r="D10" t="s">
        <v>318</v>
      </c>
      <c r="E10" t="s">
        <v>315</v>
      </c>
      <c r="F10" t="s">
        <v>258</v>
      </c>
      <c r="H10" t="s">
        <v>57</v>
      </c>
      <c r="J10" t="s">
        <v>319</v>
      </c>
      <c r="K10" t="s">
        <v>318</v>
      </c>
      <c r="L10" t="s">
        <v>318</v>
      </c>
      <c r="M10" t="s">
        <v>315</v>
      </c>
      <c r="N10" t="s">
        <v>318</v>
      </c>
      <c r="Q10" t="s">
        <v>316</v>
      </c>
    </row>
    <row r="11" spans="1:17" x14ac:dyDescent="0.3">
      <c r="A11" t="s">
        <v>58</v>
      </c>
      <c r="B11" t="s">
        <v>317</v>
      </c>
      <c r="C11" t="s">
        <v>318</v>
      </c>
      <c r="D11" t="s">
        <v>318</v>
      </c>
      <c r="E11" t="s">
        <v>315</v>
      </c>
      <c r="F11" t="s">
        <v>258</v>
      </c>
      <c r="H11" t="s">
        <v>57</v>
      </c>
      <c r="J11" t="s">
        <v>318</v>
      </c>
      <c r="K11" t="s">
        <v>318</v>
      </c>
      <c r="L11" t="s">
        <v>322</v>
      </c>
      <c r="M11" t="s">
        <v>315</v>
      </c>
      <c r="N11" t="s">
        <v>318</v>
      </c>
      <c r="Q11" t="s">
        <v>316</v>
      </c>
    </row>
    <row r="12" spans="1:17" x14ac:dyDescent="0.3">
      <c r="A12" t="s">
        <v>62</v>
      </c>
      <c r="B12" t="s">
        <v>323</v>
      </c>
      <c r="F12" t="s">
        <v>258</v>
      </c>
      <c r="G12" t="s">
        <v>222</v>
      </c>
      <c r="H12" t="s">
        <v>57</v>
      </c>
      <c r="L12" t="s">
        <v>141</v>
      </c>
      <c r="N12" t="s">
        <v>143</v>
      </c>
      <c r="Q12" t="s">
        <v>48</v>
      </c>
    </row>
    <row r="13" spans="1:17" x14ac:dyDescent="0.3">
      <c r="A13" t="s">
        <v>67</v>
      </c>
      <c r="B13" t="s">
        <v>323</v>
      </c>
      <c r="F13" t="s">
        <v>258</v>
      </c>
      <c r="G13" t="s">
        <v>222</v>
      </c>
      <c r="H13" t="s">
        <v>57</v>
      </c>
      <c r="L13" t="s">
        <v>148</v>
      </c>
      <c r="N13" t="s">
        <v>149</v>
      </c>
      <c r="Q13" t="s">
        <v>73</v>
      </c>
    </row>
    <row r="14" spans="1:17" x14ac:dyDescent="0.3">
      <c r="A14" t="s">
        <v>74</v>
      </c>
      <c r="B14" t="s">
        <v>323</v>
      </c>
      <c r="F14" t="s">
        <v>258</v>
      </c>
      <c r="G14" t="s">
        <v>222</v>
      </c>
      <c r="L14" t="s">
        <v>148</v>
      </c>
      <c r="N14" t="s">
        <v>98</v>
      </c>
      <c r="Q14" t="s">
        <v>73</v>
      </c>
    </row>
    <row r="15" spans="1:17" x14ac:dyDescent="0.3">
      <c r="A15" t="s">
        <v>80</v>
      </c>
      <c r="B15" t="s">
        <v>323</v>
      </c>
      <c r="F15" t="s">
        <v>258</v>
      </c>
      <c r="G15" t="s">
        <v>222</v>
      </c>
      <c r="N15" t="s">
        <v>98</v>
      </c>
      <c r="Q15" t="s">
        <v>73</v>
      </c>
    </row>
    <row r="16" spans="1:17" x14ac:dyDescent="0.3">
      <c r="A16" t="s">
        <v>84</v>
      </c>
      <c r="B16" t="s">
        <v>323</v>
      </c>
      <c r="F16" t="s">
        <v>258</v>
      </c>
      <c r="N16" t="s">
        <v>98</v>
      </c>
    </row>
    <row r="17" spans="1:18" x14ac:dyDescent="0.3">
      <c r="A17" t="s">
        <v>90</v>
      </c>
      <c r="B17" t="s">
        <v>324</v>
      </c>
      <c r="C17" t="s">
        <v>325</v>
      </c>
      <c r="D17" t="s">
        <v>325</v>
      </c>
      <c r="E17" t="s">
        <v>325</v>
      </c>
      <c r="F17" t="s">
        <v>258</v>
      </c>
      <c r="J17" t="s">
        <v>325</v>
      </c>
      <c r="K17" t="s">
        <v>325</v>
      </c>
      <c r="L17" t="s">
        <v>325</v>
      </c>
      <c r="M17" t="s">
        <v>325</v>
      </c>
      <c r="N17" t="s">
        <v>326</v>
      </c>
      <c r="P17" t="s">
        <v>325</v>
      </c>
      <c r="Q17" t="s">
        <v>325</v>
      </c>
    </row>
    <row r="18" spans="1:18" x14ac:dyDescent="0.3">
      <c r="A18" t="s">
        <v>94</v>
      </c>
      <c r="B18" t="s">
        <v>325</v>
      </c>
      <c r="C18" t="s">
        <v>325</v>
      </c>
      <c r="D18" t="s">
        <v>327</v>
      </c>
      <c r="E18" t="s">
        <v>328</v>
      </c>
      <c r="G18" t="s">
        <v>157</v>
      </c>
      <c r="J18" t="s">
        <v>325</v>
      </c>
      <c r="K18" t="s">
        <v>327</v>
      </c>
      <c r="L18" t="s">
        <v>329</v>
      </c>
      <c r="M18" t="s">
        <v>327</v>
      </c>
      <c r="N18" t="s">
        <v>325</v>
      </c>
      <c r="P18" t="s">
        <v>325</v>
      </c>
      <c r="Q18" t="s">
        <v>330</v>
      </c>
    </row>
    <row r="19" spans="1:18" x14ac:dyDescent="0.3">
      <c r="A19" t="s">
        <v>100</v>
      </c>
      <c r="B19" t="s">
        <v>325</v>
      </c>
      <c r="C19" t="s">
        <v>325</v>
      </c>
      <c r="D19" t="s">
        <v>325</v>
      </c>
      <c r="E19" t="s">
        <v>328</v>
      </c>
      <c r="J19" t="s">
        <v>325</v>
      </c>
      <c r="K19" t="s">
        <v>325</v>
      </c>
      <c r="L19" t="s">
        <v>329</v>
      </c>
      <c r="M19" t="s">
        <v>325</v>
      </c>
      <c r="N19" t="s">
        <v>331</v>
      </c>
      <c r="P19" t="s">
        <v>325</v>
      </c>
      <c r="Q19" t="s">
        <v>330</v>
      </c>
    </row>
    <row r="20" spans="1:18" x14ac:dyDescent="0.3">
      <c r="A20" t="s">
        <v>104</v>
      </c>
      <c r="B20" t="s">
        <v>325</v>
      </c>
      <c r="C20" t="s">
        <v>325</v>
      </c>
      <c r="D20" t="s">
        <v>325</v>
      </c>
      <c r="E20" t="s">
        <v>325</v>
      </c>
      <c r="J20" t="s">
        <v>325</v>
      </c>
      <c r="K20" t="s">
        <v>325</v>
      </c>
      <c r="L20" t="s">
        <v>325</v>
      </c>
      <c r="M20" t="s">
        <v>325</v>
      </c>
      <c r="N20" t="s">
        <v>325</v>
      </c>
      <c r="P20" t="s">
        <v>325</v>
      </c>
      <c r="Q20" t="s">
        <v>325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0.94440000000000002</v>
      </c>
      <c r="C24">
        <f t="shared" si="0"/>
        <v>0.55559999999999998</v>
      </c>
      <c r="D24">
        <f t="shared" si="0"/>
        <v>0.66669999999999996</v>
      </c>
      <c r="E24">
        <f t="shared" si="0"/>
        <v>0.72219999999999995</v>
      </c>
      <c r="F24">
        <f t="shared" si="0"/>
        <v>0.88890000000000002</v>
      </c>
      <c r="G24">
        <f t="shared" si="0"/>
        <v>0.55559999999999998</v>
      </c>
      <c r="H24">
        <f t="shared" si="0"/>
        <v>0.27779999999999999</v>
      </c>
      <c r="I24">
        <f t="shared" si="0"/>
        <v>0.1111</v>
      </c>
      <c r="J24">
        <f t="shared" si="0"/>
        <v>0.61109999999999998</v>
      </c>
      <c r="K24">
        <f t="shared" si="0"/>
        <v>0.61109999999999998</v>
      </c>
      <c r="L24">
        <f t="shared" si="0"/>
        <v>0.88890000000000002</v>
      </c>
      <c r="M24">
        <f t="shared" si="0"/>
        <v>0.55559999999999998</v>
      </c>
      <c r="N24">
        <f t="shared" si="0"/>
        <v>0.88890000000000002</v>
      </c>
      <c r="O24">
        <f t="shared" si="0"/>
        <v>0.27779999999999999</v>
      </c>
      <c r="P24">
        <f t="shared" si="0"/>
        <v>0.38890000000000002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F2" t="s">
        <v>258</v>
      </c>
      <c r="I2" t="s">
        <v>18</v>
      </c>
      <c r="L2" t="s">
        <v>19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258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50</v>
      </c>
      <c r="D4" t="s">
        <v>50</v>
      </c>
      <c r="E4" t="s">
        <v>24</v>
      </c>
      <c r="F4" t="s">
        <v>258</v>
      </c>
      <c r="G4" t="s">
        <v>116</v>
      </c>
      <c r="K4" t="s">
        <v>50</v>
      </c>
      <c r="L4" t="s">
        <v>26</v>
      </c>
      <c r="M4" t="s">
        <v>50</v>
      </c>
      <c r="N4" t="s">
        <v>50</v>
      </c>
    </row>
    <row r="5" spans="1:17" x14ac:dyDescent="0.3">
      <c r="A5" t="s">
        <v>27</v>
      </c>
      <c r="E5" t="s">
        <v>259</v>
      </c>
      <c r="F5" t="s">
        <v>258</v>
      </c>
      <c r="G5" t="s">
        <v>165</v>
      </c>
      <c r="L5" t="s">
        <v>26</v>
      </c>
    </row>
    <row r="6" spans="1:17" x14ac:dyDescent="0.3">
      <c r="A6" t="s">
        <v>32</v>
      </c>
      <c r="B6" t="s">
        <v>332</v>
      </c>
      <c r="D6" t="s">
        <v>33</v>
      </c>
      <c r="E6" t="s">
        <v>259</v>
      </c>
      <c r="F6" t="s">
        <v>258</v>
      </c>
      <c r="G6" t="s">
        <v>165</v>
      </c>
      <c r="J6" t="s">
        <v>33</v>
      </c>
      <c r="L6" t="s">
        <v>35</v>
      </c>
    </row>
    <row r="7" spans="1:17" x14ac:dyDescent="0.3">
      <c r="A7" t="s">
        <v>36</v>
      </c>
      <c r="E7" t="s">
        <v>146</v>
      </c>
      <c r="F7" t="s">
        <v>258</v>
      </c>
      <c r="G7" t="s">
        <v>29</v>
      </c>
      <c r="J7" t="s">
        <v>38</v>
      </c>
      <c r="L7" t="s">
        <v>35</v>
      </c>
    </row>
    <row r="8" spans="1:17" x14ac:dyDescent="0.3">
      <c r="A8" t="s">
        <v>41</v>
      </c>
      <c r="B8" t="s">
        <v>243</v>
      </c>
      <c r="C8" t="s">
        <v>243</v>
      </c>
      <c r="D8" t="s">
        <v>243</v>
      </c>
      <c r="E8" t="s">
        <v>243</v>
      </c>
      <c r="F8" t="s">
        <v>258</v>
      </c>
      <c r="G8" t="s">
        <v>243</v>
      </c>
      <c r="I8" t="s">
        <v>243</v>
      </c>
      <c r="J8" t="s">
        <v>244</v>
      </c>
      <c r="K8" t="s">
        <v>243</v>
      </c>
      <c r="L8" t="s">
        <v>245</v>
      </c>
      <c r="M8" t="s">
        <v>243</v>
      </c>
      <c r="N8" t="s">
        <v>333</v>
      </c>
      <c r="P8" t="s">
        <v>243</v>
      </c>
      <c r="Q8" t="s">
        <v>246</v>
      </c>
    </row>
    <row r="9" spans="1:17" x14ac:dyDescent="0.3">
      <c r="A9" t="s">
        <v>49</v>
      </c>
      <c r="B9" t="s">
        <v>243</v>
      </c>
      <c r="C9" t="s">
        <v>243</v>
      </c>
      <c r="D9" t="s">
        <v>334</v>
      </c>
      <c r="E9" t="s">
        <v>334</v>
      </c>
      <c r="F9" t="s">
        <v>258</v>
      </c>
      <c r="G9" t="s">
        <v>243</v>
      </c>
      <c r="I9" t="s">
        <v>334</v>
      </c>
      <c r="J9" t="s">
        <v>335</v>
      </c>
      <c r="K9" t="s">
        <v>243</v>
      </c>
      <c r="L9" t="s">
        <v>245</v>
      </c>
      <c r="M9" t="s">
        <v>243</v>
      </c>
      <c r="N9" t="s">
        <v>137</v>
      </c>
      <c r="P9" t="s">
        <v>243</v>
      </c>
      <c r="Q9" t="s">
        <v>246</v>
      </c>
    </row>
    <row r="10" spans="1:17" x14ac:dyDescent="0.3">
      <c r="A10" t="s">
        <v>53</v>
      </c>
      <c r="F10" t="s">
        <v>258</v>
      </c>
      <c r="G10" t="s">
        <v>336</v>
      </c>
      <c r="H10" t="s">
        <v>57</v>
      </c>
      <c r="J10" t="s">
        <v>38</v>
      </c>
      <c r="Q10" t="s">
        <v>48</v>
      </c>
    </row>
    <row r="11" spans="1:17" x14ac:dyDescent="0.3">
      <c r="A11" t="s">
        <v>58</v>
      </c>
      <c r="F11" t="s">
        <v>258</v>
      </c>
      <c r="H11" t="s">
        <v>57</v>
      </c>
      <c r="L11" t="s">
        <v>141</v>
      </c>
      <c r="Q11" t="s">
        <v>48</v>
      </c>
    </row>
    <row r="12" spans="1:17" x14ac:dyDescent="0.3">
      <c r="A12" t="s">
        <v>62</v>
      </c>
      <c r="F12" t="s">
        <v>258</v>
      </c>
      <c r="H12" t="s">
        <v>57</v>
      </c>
      <c r="L12" t="s">
        <v>141</v>
      </c>
      <c r="N12" t="s">
        <v>143</v>
      </c>
      <c r="Q12" t="s">
        <v>48</v>
      </c>
    </row>
    <row r="13" spans="1:17" x14ac:dyDescent="0.3">
      <c r="A13" t="s">
        <v>67</v>
      </c>
      <c r="F13" t="s">
        <v>258</v>
      </c>
      <c r="H13" t="s">
        <v>57</v>
      </c>
      <c r="L13" t="s">
        <v>148</v>
      </c>
      <c r="N13" t="s">
        <v>149</v>
      </c>
      <c r="Q13" t="s">
        <v>73</v>
      </c>
    </row>
    <row r="14" spans="1:17" x14ac:dyDescent="0.3">
      <c r="A14" t="s">
        <v>74</v>
      </c>
      <c r="B14" t="s">
        <v>63</v>
      </c>
      <c r="C14" t="s">
        <v>63</v>
      </c>
      <c r="D14" t="s">
        <v>63</v>
      </c>
      <c r="E14" t="s">
        <v>63</v>
      </c>
      <c r="F14" t="s">
        <v>258</v>
      </c>
      <c r="K14" t="s">
        <v>63</v>
      </c>
      <c r="L14" t="s">
        <v>72</v>
      </c>
      <c r="M14" t="s">
        <v>63</v>
      </c>
      <c r="N14" t="s">
        <v>337</v>
      </c>
      <c r="P14" t="s">
        <v>63</v>
      </c>
      <c r="Q14" t="s">
        <v>338</v>
      </c>
    </row>
    <row r="15" spans="1:17" x14ac:dyDescent="0.3">
      <c r="A15" t="s">
        <v>80</v>
      </c>
      <c r="B15" t="s">
        <v>63</v>
      </c>
      <c r="C15" t="s">
        <v>63</v>
      </c>
      <c r="D15" t="s">
        <v>63</v>
      </c>
      <c r="E15" t="s">
        <v>63</v>
      </c>
      <c r="F15" t="s">
        <v>258</v>
      </c>
      <c r="K15" t="s">
        <v>63</v>
      </c>
      <c r="L15" t="s">
        <v>63</v>
      </c>
      <c r="M15" t="s">
        <v>63</v>
      </c>
      <c r="N15" t="s">
        <v>337</v>
      </c>
      <c r="P15" t="s">
        <v>63</v>
      </c>
      <c r="Q15" t="s">
        <v>338</v>
      </c>
    </row>
    <row r="16" spans="1:17" x14ac:dyDescent="0.3">
      <c r="A16" t="s">
        <v>84</v>
      </c>
      <c r="B16" t="s">
        <v>257</v>
      </c>
      <c r="C16" t="s">
        <v>257</v>
      </c>
      <c r="D16" t="s">
        <v>257</v>
      </c>
      <c r="E16" t="s">
        <v>257</v>
      </c>
      <c r="F16" t="s">
        <v>258</v>
      </c>
      <c r="G16" t="s">
        <v>257</v>
      </c>
      <c r="H16" t="s">
        <v>257</v>
      </c>
      <c r="I16" t="s">
        <v>257</v>
      </c>
      <c r="J16" t="s">
        <v>257</v>
      </c>
      <c r="K16" t="s">
        <v>257</v>
      </c>
      <c r="L16" t="s">
        <v>257</v>
      </c>
      <c r="M16" t="s">
        <v>257</v>
      </c>
      <c r="N16" t="s">
        <v>339</v>
      </c>
      <c r="O16" t="s">
        <v>257</v>
      </c>
      <c r="P16" t="s">
        <v>257</v>
      </c>
      <c r="Q16" t="s">
        <v>257</v>
      </c>
    </row>
    <row r="17" spans="1:18" x14ac:dyDescent="0.3">
      <c r="A17" t="s">
        <v>90</v>
      </c>
      <c r="B17" t="s">
        <v>257</v>
      </c>
      <c r="C17" t="s">
        <v>257</v>
      </c>
      <c r="D17" t="s">
        <v>257</v>
      </c>
      <c r="E17" t="s">
        <v>257</v>
      </c>
      <c r="F17" t="s">
        <v>258</v>
      </c>
      <c r="G17" t="s">
        <v>257</v>
      </c>
      <c r="H17" t="s">
        <v>257</v>
      </c>
      <c r="I17" t="s">
        <v>257</v>
      </c>
      <c r="J17" t="s">
        <v>257</v>
      </c>
      <c r="K17" t="s">
        <v>257</v>
      </c>
      <c r="L17" t="s">
        <v>257</v>
      </c>
      <c r="M17" t="s">
        <v>257</v>
      </c>
      <c r="N17" t="s">
        <v>339</v>
      </c>
      <c r="O17" t="s">
        <v>257</v>
      </c>
      <c r="P17" t="s">
        <v>257</v>
      </c>
      <c r="Q17" t="s">
        <v>257</v>
      </c>
    </row>
    <row r="18" spans="1:18" x14ac:dyDescent="0.3">
      <c r="A18" t="s">
        <v>94</v>
      </c>
      <c r="D18" t="s">
        <v>158</v>
      </c>
      <c r="E18" t="s">
        <v>234</v>
      </c>
      <c r="G18" t="s">
        <v>157</v>
      </c>
      <c r="K18" t="s">
        <v>158</v>
      </c>
      <c r="L18" t="s">
        <v>101</v>
      </c>
      <c r="M18" t="s">
        <v>158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N19" t="s">
        <v>102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0.5</v>
      </c>
      <c r="C24">
        <f t="shared" si="0"/>
        <v>0.38890000000000002</v>
      </c>
      <c r="D24">
        <f t="shared" si="0"/>
        <v>0.55559999999999998</v>
      </c>
      <c r="E24">
        <f t="shared" si="0"/>
        <v>0.72219999999999995</v>
      </c>
      <c r="F24">
        <f t="shared" si="0"/>
        <v>0.88890000000000002</v>
      </c>
      <c r="G24">
        <f t="shared" si="0"/>
        <v>0.61109999999999998</v>
      </c>
      <c r="H24">
        <f t="shared" si="0"/>
        <v>0.38890000000000002</v>
      </c>
      <c r="I24">
        <f t="shared" si="0"/>
        <v>0.33329999999999999</v>
      </c>
      <c r="J24">
        <f t="shared" si="0"/>
        <v>0.44440000000000002</v>
      </c>
      <c r="K24">
        <f t="shared" si="0"/>
        <v>0.5</v>
      </c>
      <c r="L24">
        <f t="shared" si="0"/>
        <v>0.94440000000000002</v>
      </c>
      <c r="M24">
        <f t="shared" si="0"/>
        <v>0.5</v>
      </c>
      <c r="N24">
        <f t="shared" si="0"/>
        <v>0.61109999999999998</v>
      </c>
      <c r="O24">
        <f t="shared" si="0"/>
        <v>0.16669999999999999</v>
      </c>
      <c r="P24">
        <f t="shared" si="0"/>
        <v>0.38890000000000002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45" customWidth="1"/>
    <col min="6" max="12" width="50" customWidth="1"/>
    <col min="13" max="13" width="37" customWidth="1"/>
    <col min="14" max="16" width="50" customWidth="1"/>
    <col min="17" max="17" width="48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  <c r="L2" t="s">
        <v>19</v>
      </c>
    </row>
    <row r="3" spans="1:17" x14ac:dyDescent="0.3">
      <c r="A3" t="s">
        <v>20</v>
      </c>
      <c r="B3" t="s">
        <v>21</v>
      </c>
      <c r="C3" t="s">
        <v>22</v>
      </c>
      <c r="D3" t="s">
        <v>22</v>
      </c>
      <c r="E3" t="s">
        <v>22</v>
      </c>
      <c r="F3" t="s">
        <v>22</v>
      </c>
      <c r="G3" t="s">
        <v>21</v>
      </c>
      <c r="H3" t="s">
        <v>22</v>
      </c>
      <c r="I3" t="s">
        <v>21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25</v>
      </c>
      <c r="E4" t="s">
        <v>24</v>
      </c>
      <c r="F4" t="s">
        <v>25</v>
      </c>
      <c r="L4" t="s">
        <v>26</v>
      </c>
      <c r="N4" t="s">
        <v>340</v>
      </c>
    </row>
    <row r="5" spans="1:17" x14ac:dyDescent="0.3">
      <c r="A5" t="s">
        <v>27</v>
      </c>
      <c r="B5" t="s">
        <v>25</v>
      </c>
      <c r="E5" t="s">
        <v>146</v>
      </c>
      <c r="F5" t="s">
        <v>25</v>
      </c>
      <c r="G5" t="s">
        <v>165</v>
      </c>
      <c r="L5" t="s">
        <v>26</v>
      </c>
      <c r="N5" t="s">
        <v>340</v>
      </c>
    </row>
    <row r="6" spans="1:17" x14ac:dyDescent="0.3">
      <c r="A6" t="s">
        <v>32</v>
      </c>
      <c r="B6" t="s">
        <v>25</v>
      </c>
      <c r="D6" t="s">
        <v>33</v>
      </c>
      <c r="E6" t="s">
        <v>146</v>
      </c>
      <c r="F6" t="s">
        <v>25</v>
      </c>
      <c r="G6" t="s">
        <v>165</v>
      </c>
      <c r="J6" t="s">
        <v>33</v>
      </c>
      <c r="L6" t="s">
        <v>35</v>
      </c>
      <c r="N6" t="s">
        <v>25</v>
      </c>
    </row>
    <row r="7" spans="1:17" x14ac:dyDescent="0.3">
      <c r="A7" t="s">
        <v>36</v>
      </c>
      <c r="B7" t="s">
        <v>50</v>
      </c>
      <c r="D7" t="s">
        <v>50</v>
      </c>
      <c r="E7" t="s">
        <v>146</v>
      </c>
      <c r="G7" t="s">
        <v>263</v>
      </c>
      <c r="J7" t="s">
        <v>38</v>
      </c>
      <c r="K7" t="s">
        <v>50</v>
      </c>
      <c r="L7" t="s">
        <v>35</v>
      </c>
      <c r="M7" t="s">
        <v>50</v>
      </c>
      <c r="N7" t="s">
        <v>50</v>
      </c>
    </row>
    <row r="8" spans="1:17" x14ac:dyDescent="0.3">
      <c r="A8" t="s">
        <v>41</v>
      </c>
      <c r="C8" t="s">
        <v>42</v>
      </c>
      <c r="D8" t="s">
        <v>42</v>
      </c>
      <c r="E8" t="s">
        <v>146</v>
      </c>
      <c r="G8" t="s">
        <v>266</v>
      </c>
      <c r="I8" t="s">
        <v>42</v>
      </c>
      <c r="J8" t="s">
        <v>38</v>
      </c>
      <c r="L8" t="s">
        <v>136</v>
      </c>
      <c r="M8" t="s">
        <v>42</v>
      </c>
      <c r="N8" t="s">
        <v>42</v>
      </c>
      <c r="Q8" t="s">
        <v>48</v>
      </c>
    </row>
    <row r="9" spans="1:17" x14ac:dyDescent="0.3">
      <c r="A9" t="s">
        <v>49</v>
      </c>
      <c r="D9" t="s">
        <v>341</v>
      </c>
      <c r="E9" t="s">
        <v>146</v>
      </c>
      <c r="G9" t="s">
        <v>266</v>
      </c>
      <c r="I9" t="s">
        <v>52</v>
      </c>
      <c r="J9" t="s">
        <v>38</v>
      </c>
      <c r="L9" t="s">
        <v>136</v>
      </c>
      <c r="Q9" t="s">
        <v>48</v>
      </c>
    </row>
    <row r="10" spans="1:17" x14ac:dyDescent="0.3">
      <c r="A10" t="s">
        <v>53</v>
      </c>
      <c r="C10" t="s">
        <v>55</v>
      </c>
      <c r="E10" t="s">
        <v>146</v>
      </c>
      <c r="G10" t="s">
        <v>56</v>
      </c>
      <c r="H10" t="s">
        <v>57</v>
      </c>
      <c r="J10" t="s">
        <v>38</v>
      </c>
      <c r="Q10" t="s">
        <v>48</v>
      </c>
    </row>
    <row r="11" spans="1:17" x14ac:dyDescent="0.3">
      <c r="A11" t="s">
        <v>58</v>
      </c>
      <c r="E11" t="s">
        <v>342</v>
      </c>
      <c r="G11" t="s">
        <v>60</v>
      </c>
      <c r="H11" t="s">
        <v>57</v>
      </c>
      <c r="L11" t="s">
        <v>141</v>
      </c>
      <c r="Q11" t="s">
        <v>48</v>
      </c>
    </row>
    <row r="12" spans="1:17" x14ac:dyDescent="0.3">
      <c r="A12" t="s">
        <v>62</v>
      </c>
      <c r="G12" t="s">
        <v>60</v>
      </c>
      <c r="H12" t="s">
        <v>57</v>
      </c>
      <c r="L12" t="s">
        <v>141</v>
      </c>
      <c r="Q12" t="s">
        <v>48</v>
      </c>
    </row>
    <row r="13" spans="1:17" x14ac:dyDescent="0.3">
      <c r="A13" t="s">
        <v>67</v>
      </c>
      <c r="F13" t="s">
        <v>343</v>
      </c>
      <c r="G13" t="s">
        <v>60</v>
      </c>
      <c r="H13" t="s">
        <v>57</v>
      </c>
      <c r="L13" t="s">
        <v>148</v>
      </c>
      <c r="Q13" t="s">
        <v>73</v>
      </c>
    </row>
    <row r="14" spans="1:17" x14ac:dyDescent="0.3">
      <c r="A14" t="s">
        <v>74</v>
      </c>
      <c r="E14" t="s">
        <v>146</v>
      </c>
      <c r="G14" t="s">
        <v>76</v>
      </c>
      <c r="L14" t="s">
        <v>148</v>
      </c>
      <c r="Q14" t="s">
        <v>73</v>
      </c>
    </row>
    <row r="15" spans="1:17" x14ac:dyDescent="0.3">
      <c r="A15" t="s">
        <v>80</v>
      </c>
      <c r="E15" t="s">
        <v>146</v>
      </c>
      <c r="Q15" t="s">
        <v>73</v>
      </c>
    </row>
    <row r="16" spans="1:17" x14ac:dyDescent="0.3">
      <c r="A16" t="s">
        <v>84</v>
      </c>
      <c r="B16" t="s">
        <v>85</v>
      </c>
      <c r="C16" t="s">
        <v>85</v>
      </c>
      <c r="D16" t="s">
        <v>85</v>
      </c>
      <c r="E16" t="s">
        <v>86</v>
      </c>
      <c r="F16" t="s">
        <v>85</v>
      </c>
      <c r="G16" t="s">
        <v>85</v>
      </c>
      <c r="H16" t="s">
        <v>85</v>
      </c>
      <c r="I16" t="s">
        <v>92</v>
      </c>
      <c r="J16" t="s">
        <v>88</v>
      </c>
      <c r="K16" t="s">
        <v>85</v>
      </c>
      <c r="L16" t="s">
        <v>85</v>
      </c>
      <c r="M16" t="s">
        <v>85</v>
      </c>
      <c r="P16" t="s">
        <v>85</v>
      </c>
      <c r="Q16" t="s">
        <v>85</v>
      </c>
    </row>
    <row r="17" spans="1:18" x14ac:dyDescent="0.3">
      <c r="A17" t="s">
        <v>90</v>
      </c>
      <c r="B17" t="s">
        <v>85</v>
      </c>
      <c r="C17" t="s">
        <v>85</v>
      </c>
      <c r="D17" t="s">
        <v>85</v>
      </c>
      <c r="E17" t="s">
        <v>86</v>
      </c>
      <c r="F17" t="s">
        <v>85</v>
      </c>
      <c r="G17" t="s">
        <v>85</v>
      </c>
      <c r="H17" t="s">
        <v>85</v>
      </c>
      <c r="I17" t="s">
        <v>92</v>
      </c>
      <c r="J17" t="s">
        <v>88</v>
      </c>
      <c r="K17" t="s">
        <v>85</v>
      </c>
      <c r="L17" t="s">
        <v>85</v>
      </c>
      <c r="M17" t="s">
        <v>85</v>
      </c>
      <c r="P17" t="s">
        <v>85</v>
      </c>
      <c r="Q17" t="s">
        <v>85</v>
      </c>
    </row>
    <row r="18" spans="1:18" x14ac:dyDescent="0.3">
      <c r="A18" t="s">
        <v>94</v>
      </c>
      <c r="B18" t="s">
        <v>85</v>
      </c>
      <c r="C18" t="s">
        <v>85</v>
      </c>
      <c r="D18" t="s">
        <v>85</v>
      </c>
      <c r="E18" t="s">
        <v>85</v>
      </c>
      <c r="F18" t="s">
        <v>85</v>
      </c>
      <c r="G18" t="s">
        <v>85</v>
      </c>
      <c r="H18" t="s">
        <v>85</v>
      </c>
      <c r="I18" t="s">
        <v>85</v>
      </c>
      <c r="J18" t="s">
        <v>88</v>
      </c>
      <c r="K18" t="s">
        <v>85</v>
      </c>
      <c r="L18" t="s">
        <v>97</v>
      </c>
      <c r="M18" t="s">
        <v>85</v>
      </c>
      <c r="P18" t="s">
        <v>85</v>
      </c>
      <c r="Q18" t="s">
        <v>99</v>
      </c>
    </row>
    <row r="19" spans="1:18" x14ac:dyDescent="0.3">
      <c r="A19" t="s">
        <v>100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0.44440000000000002</v>
      </c>
      <c r="C24">
        <f t="shared" si="0"/>
        <v>0.33329999999999999</v>
      </c>
      <c r="D24">
        <f t="shared" si="0"/>
        <v>0.44440000000000002</v>
      </c>
      <c r="E24">
        <f t="shared" si="0"/>
        <v>0.77780000000000005</v>
      </c>
      <c r="F24">
        <f t="shared" si="0"/>
        <v>0.44440000000000002</v>
      </c>
      <c r="G24">
        <f t="shared" si="0"/>
        <v>0.77780000000000005</v>
      </c>
      <c r="H24">
        <f t="shared" si="0"/>
        <v>0.44440000000000002</v>
      </c>
      <c r="I24">
        <f t="shared" si="0"/>
        <v>0.38890000000000002</v>
      </c>
      <c r="J24">
        <f t="shared" si="0"/>
        <v>0.5</v>
      </c>
      <c r="K24">
        <f t="shared" si="0"/>
        <v>0.27779999999999999</v>
      </c>
      <c r="L24">
        <f t="shared" si="0"/>
        <v>0.88890000000000002</v>
      </c>
      <c r="M24">
        <f t="shared" si="0"/>
        <v>0.33329999999999999</v>
      </c>
      <c r="N24">
        <f t="shared" si="0"/>
        <v>0.33329999999999999</v>
      </c>
      <c r="O24">
        <f t="shared" si="0"/>
        <v>5.5599999999999997E-2</v>
      </c>
      <c r="P24">
        <f t="shared" si="0"/>
        <v>0.22220000000000001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  <c r="L2" t="s">
        <v>19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344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198</v>
      </c>
      <c r="G5" t="s">
        <v>165</v>
      </c>
      <c r="I5" t="s">
        <v>122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165</v>
      </c>
      <c r="J6" t="s">
        <v>33</v>
      </c>
      <c r="L6" t="s">
        <v>35</v>
      </c>
      <c r="Q6" t="s">
        <v>125</v>
      </c>
    </row>
    <row r="7" spans="1:17" x14ac:dyDescent="0.3">
      <c r="A7" t="s">
        <v>36</v>
      </c>
      <c r="B7" t="s">
        <v>126</v>
      </c>
      <c r="E7" t="s">
        <v>345</v>
      </c>
      <c r="G7" t="s">
        <v>29</v>
      </c>
      <c r="J7" t="s">
        <v>38</v>
      </c>
      <c r="L7" t="s">
        <v>35</v>
      </c>
      <c r="N7" t="s">
        <v>131</v>
      </c>
      <c r="O7" t="s">
        <v>126</v>
      </c>
    </row>
    <row r="8" spans="1:17" x14ac:dyDescent="0.3">
      <c r="A8" t="s">
        <v>41</v>
      </c>
      <c r="B8" t="s">
        <v>126</v>
      </c>
      <c r="E8" t="s">
        <v>345</v>
      </c>
      <c r="J8" t="s">
        <v>38</v>
      </c>
      <c r="L8" t="s">
        <v>136</v>
      </c>
      <c r="O8" t="s">
        <v>126</v>
      </c>
      <c r="Q8" t="s">
        <v>48</v>
      </c>
    </row>
    <row r="9" spans="1:17" x14ac:dyDescent="0.3">
      <c r="A9" t="s">
        <v>49</v>
      </c>
      <c r="E9" t="s">
        <v>146</v>
      </c>
      <c r="J9" t="s">
        <v>135</v>
      </c>
      <c r="L9" t="s">
        <v>136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J10" t="s">
        <v>38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L11" t="s">
        <v>141</v>
      </c>
      <c r="Q11" t="s">
        <v>48</v>
      </c>
    </row>
    <row r="12" spans="1:17" x14ac:dyDescent="0.3">
      <c r="A12" t="s">
        <v>62</v>
      </c>
      <c r="E12" t="s">
        <v>284</v>
      </c>
      <c r="G12" t="s">
        <v>222</v>
      </c>
      <c r="H12" t="s">
        <v>57</v>
      </c>
      <c r="L12" t="s">
        <v>141</v>
      </c>
      <c r="O12" t="s">
        <v>144</v>
      </c>
      <c r="Q12" t="s">
        <v>48</v>
      </c>
    </row>
    <row r="13" spans="1:17" x14ac:dyDescent="0.3">
      <c r="A13" t="s">
        <v>67</v>
      </c>
      <c r="E13" t="s">
        <v>284</v>
      </c>
      <c r="G13" t="s">
        <v>222</v>
      </c>
      <c r="H13" t="s">
        <v>57</v>
      </c>
      <c r="K13" t="s">
        <v>147</v>
      </c>
      <c r="L13" t="s">
        <v>148</v>
      </c>
      <c r="O13" t="s">
        <v>144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L14" t="s">
        <v>151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E18" t="s">
        <v>146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146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0.94440000000000002</v>
      </c>
      <c r="F24">
        <f t="shared" si="0"/>
        <v>5.5599999999999997E-2</v>
      </c>
      <c r="G24">
        <f t="shared" si="0"/>
        <v>0.55559999999999998</v>
      </c>
      <c r="H24">
        <f t="shared" si="0"/>
        <v>0.27779999999999999</v>
      </c>
      <c r="I24">
        <f t="shared" si="0"/>
        <v>0.16669999999999999</v>
      </c>
      <c r="J24">
        <f t="shared" si="0"/>
        <v>0.38890000000000002</v>
      </c>
      <c r="K24">
        <f t="shared" si="0"/>
        <v>0.16669999999999999</v>
      </c>
      <c r="L24">
        <f t="shared" si="0"/>
        <v>0.77780000000000005</v>
      </c>
      <c r="M24">
        <f t="shared" si="0"/>
        <v>0.1111</v>
      </c>
      <c r="N24">
        <f t="shared" si="0"/>
        <v>0.16669999999999999</v>
      </c>
      <c r="O24">
        <f t="shared" si="0"/>
        <v>0.27779999999999999</v>
      </c>
      <c r="P24">
        <f t="shared" si="0"/>
        <v>0.1111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  <c r="L2" t="s">
        <v>19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24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346</v>
      </c>
      <c r="G5" t="s">
        <v>165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165</v>
      </c>
      <c r="J6" t="s">
        <v>33</v>
      </c>
      <c r="L6" t="s">
        <v>35</v>
      </c>
      <c r="N6" t="s">
        <v>185</v>
      </c>
    </row>
    <row r="7" spans="1:17" x14ac:dyDescent="0.3">
      <c r="A7" t="s">
        <v>36</v>
      </c>
      <c r="E7" t="s">
        <v>146</v>
      </c>
      <c r="G7" t="s">
        <v>29</v>
      </c>
      <c r="J7" t="s">
        <v>38</v>
      </c>
      <c r="L7" t="s">
        <v>35</v>
      </c>
    </row>
    <row r="8" spans="1:17" x14ac:dyDescent="0.3">
      <c r="A8" t="s">
        <v>41</v>
      </c>
      <c r="E8" t="s">
        <v>146</v>
      </c>
      <c r="J8" t="s">
        <v>38</v>
      </c>
      <c r="L8" t="s">
        <v>136</v>
      </c>
      <c r="Q8" t="s">
        <v>48</v>
      </c>
    </row>
    <row r="9" spans="1:17" x14ac:dyDescent="0.3">
      <c r="A9" t="s">
        <v>49</v>
      </c>
      <c r="E9" t="s">
        <v>347</v>
      </c>
      <c r="J9" t="s">
        <v>38</v>
      </c>
      <c r="K9" t="s">
        <v>348</v>
      </c>
      <c r="L9" t="s">
        <v>136</v>
      </c>
      <c r="O9" t="s">
        <v>178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J10" t="s">
        <v>38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L11" t="s">
        <v>141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L12" t="s">
        <v>141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L13" t="s">
        <v>148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L14" t="s">
        <v>148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B18" t="s">
        <v>192</v>
      </c>
      <c r="E18" t="s">
        <v>234</v>
      </c>
      <c r="G18" t="s">
        <v>50</v>
      </c>
      <c r="L18" t="s">
        <v>101</v>
      </c>
      <c r="O18" t="s">
        <v>192</v>
      </c>
      <c r="Q18" t="s">
        <v>103</v>
      </c>
    </row>
    <row r="19" spans="1:18" x14ac:dyDescent="0.3">
      <c r="A19" t="s">
        <v>100</v>
      </c>
      <c r="B19" t="s">
        <v>192</v>
      </c>
      <c r="E19" t="s">
        <v>234</v>
      </c>
      <c r="L19" t="s">
        <v>101</v>
      </c>
      <c r="O19" t="s">
        <v>192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0.55559999999999998</v>
      </c>
      <c r="H24">
        <f t="shared" si="0"/>
        <v>0.27779999999999999</v>
      </c>
      <c r="I24">
        <f t="shared" si="0"/>
        <v>0.1111</v>
      </c>
      <c r="J24">
        <f t="shared" si="0"/>
        <v>0.38890000000000002</v>
      </c>
      <c r="K24">
        <f t="shared" si="0"/>
        <v>0.16669999999999999</v>
      </c>
      <c r="L24">
        <f t="shared" si="0"/>
        <v>0.77780000000000005</v>
      </c>
      <c r="M24">
        <f t="shared" si="0"/>
        <v>0.1111</v>
      </c>
      <c r="N24">
        <f t="shared" si="0"/>
        <v>0.16669999999999999</v>
      </c>
      <c r="O24">
        <f t="shared" si="0"/>
        <v>0.22220000000000001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  <c r="L2" t="s">
        <v>19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323</v>
      </c>
      <c r="E4" t="s">
        <v>24</v>
      </c>
      <c r="G4" t="s">
        <v>50</v>
      </c>
      <c r="L4" t="s">
        <v>26</v>
      </c>
    </row>
    <row r="5" spans="1:17" x14ac:dyDescent="0.3">
      <c r="A5" t="s">
        <v>27</v>
      </c>
      <c r="B5" t="s">
        <v>300</v>
      </c>
      <c r="C5" t="s">
        <v>120</v>
      </c>
      <c r="D5" t="s">
        <v>120</v>
      </c>
      <c r="E5" t="s">
        <v>198</v>
      </c>
      <c r="G5" t="s">
        <v>165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B6" t="s">
        <v>302</v>
      </c>
      <c r="D6" t="s">
        <v>33</v>
      </c>
      <c r="E6" t="s">
        <v>146</v>
      </c>
      <c r="F6" t="s">
        <v>199</v>
      </c>
      <c r="G6" t="s">
        <v>165</v>
      </c>
      <c r="J6" t="s">
        <v>33</v>
      </c>
      <c r="L6" t="s">
        <v>201</v>
      </c>
    </row>
    <row r="7" spans="1:17" x14ac:dyDescent="0.3">
      <c r="A7" t="s">
        <v>36</v>
      </c>
      <c r="B7" t="s">
        <v>323</v>
      </c>
      <c r="E7" t="s">
        <v>146</v>
      </c>
      <c r="G7" t="s">
        <v>29</v>
      </c>
      <c r="J7" t="s">
        <v>38</v>
      </c>
      <c r="L7" t="s">
        <v>35</v>
      </c>
    </row>
    <row r="8" spans="1:17" x14ac:dyDescent="0.3">
      <c r="A8" t="s">
        <v>41</v>
      </c>
      <c r="B8" t="s">
        <v>323</v>
      </c>
      <c r="E8" t="s">
        <v>146</v>
      </c>
      <c r="J8" t="s">
        <v>38</v>
      </c>
      <c r="L8" t="s">
        <v>136</v>
      </c>
      <c r="Q8" t="s">
        <v>48</v>
      </c>
    </row>
    <row r="9" spans="1:17" x14ac:dyDescent="0.3">
      <c r="A9" t="s">
        <v>49</v>
      </c>
      <c r="B9" t="s">
        <v>323</v>
      </c>
      <c r="E9" t="s">
        <v>146</v>
      </c>
      <c r="J9" t="s">
        <v>38</v>
      </c>
      <c r="L9" t="s">
        <v>136</v>
      </c>
      <c r="Q9" t="s">
        <v>48</v>
      </c>
    </row>
    <row r="10" spans="1:17" x14ac:dyDescent="0.3">
      <c r="A10" t="s">
        <v>53</v>
      </c>
      <c r="B10" t="s">
        <v>323</v>
      </c>
      <c r="H10" t="s">
        <v>57</v>
      </c>
      <c r="J10" t="s">
        <v>38</v>
      </c>
      <c r="Q10" t="s">
        <v>48</v>
      </c>
    </row>
    <row r="11" spans="1:17" x14ac:dyDescent="0.3">
      <c r="A11" t="s">
        <v>58</v>
      </c>
      <c r="B11" t="s">
        <v>323</v>
      </c>
      <c r="H11" t="s">
        <v>57</v>
      </c>
      <c r="L11" t="s">
        <v>141</v>
      </c>
      <c r="Q11" t="s">
        <v>48</v>
      </c>
    </row>
    <row r="12" spans="1:17" x14ac:dyDescent="0.3">
      <c r="A12" t="s">
        <v>62</v>
      </c>
      <c r="B12" t="s">
        <v>323</v>
      </c>
      <c r="G12" t="s">
        <v>222</v>
      </c>
      <c r="H12" t="s">
        <v>57</v>
      </c>
      <c r="L12" t="s">
        <v>141</v>
      </c>
      <c r="Q12" t="s">
        <v>48</v>
      </c>
    </row>
    <row r="13" spans="1:17" x14ac:dyDescent="0.3">
      <c r="A13" t="s">
        <v>67</v>
      </c>
      <c r="B13" t="s">
        <v>323</v>
      </c>
      <c r="G13" t="s">
        <v>222</v>
      </c>
      <c r="H13" t="s">
        <v>57</v>
      </c>
      <c r="L13" t="s">
        <v>148</v>
      </c>
      <c r="Q13" t="s">
        <v>73</v>
      </c>
    </row>
    <row r="14" spans="1:17" x14ac:dyDescent="0.3">
      <c r="A14" t="s">
        <v>74</v>
      </c>
      <c r="B14" t="s">
        <v>323</v>
      </c>
      <c r="G14" t="s">
        <v>222</v>
      </c>
      <c r="L14" t="s">
        <v>148</v>
      </c>
      <c r="Q14" t="s">
        <v>73</v>
      </c>
    </row>
    <row r="15" spans="1:17" x14ac:dyDescent="0.3">
      <c r="A15" t="s">
        <v>80</v>
      </c>
      <c r="B15" t="s">
        <v>323</v>
      </c>
      <c r="G15" t="s">
        <v>222</v>
      </c>
      <c r="Q15" t="s">
        <v>73</v>
      </c>
    </row>
    <row r="16" spans="1:17" x14ac:dyDescent="0.3">
      <c r="A16" t="s">
        <v>84</v>
      </c>
      <c r="B16" t="s">
        <v>323</v>
      </c>
    </row>
    <row r="17" spans="1:18" x14ac:dyDescent="0.3">
      <c r="A17" t="s">
        <v>90</v>
      </c>
      <c r="B17" t="s">
        <v>323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0.83330000000000004</v>
      </c>
      <c r="C24">
        <f t="shared" si="0"/>
        <v>0.1111</v>
      </c>
      <c r="D24">
        <f t="shared" si="0"/>
        <v>0.16669999999999999</v>
      </c>
      <c r="E24">
        <f t="shared" si="0"/>
        <v>0.5</v>
      </c>
      <c r="F24">
        <f t="shared" si="0"/>
        <v>0.1111</v>
      </c>
      <c r="G24">
        <f t="shared" si="0"/>
        <v>0.55559999999999998</v>
      </c>
      <c r="H24">
        <f t="shared" si="0"/>
        <v>0.27779999999999999</v>
      </c>
      <c r="I24">
        <f t="shared" si="0"/>
        <v>0.1111</v>
      </c>
      <c r="J24">
        <f t="shared" si="0"/>
        <v>0.38890000000000002</v>
      </c>
      <c r="K24">
        <f t="shared" si="0"/>
        <v>0.1111</v>
      </c>
      <c r="L24">
        <f t="shared" si="0"/>
        <v>0.77780000000000005</v>
      </c>
      <c r="M24">
        <f t="shared" si="0"/>
        <v>0.1111</v>
      </c>
      <c r="N24">
        <f t="shared" si="0"/>
        <v>0.1111</v>
      </c>
      <c r="O24">
        <f t="shared" si="0"/>
        <v>5.5599999999999997E-2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45" customWidth="1"/>
    <col min="6" max="12" width="50" customWidth="1"/>
    <col min="13" max="14" width="35" customWidth="1"/>
    <col min="15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  <c r="L2" t="s">
        <v>19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24</v>
      </c>
      <c r="G4" t="s">
        <v>50</v>
      </c>
      <c r="L4" t="s">
        <v>26</v>
      </c>
    </row>
    <row r="5" spans="1:17" x14ac:dyDescent="0.3">
      <c r="A5" t="s">
        <v>27</v>
      </c>
      <c r="E5" t="s">
        <v>146</v>
      </c>
      <c r="G5" t="s">
        <v>165</v>
      </c>
      <c r="L5" t="s">
        <v>26</v>
      </c>
    </row>
    <row r="6" spans="1:17" x14ac:dyDescent="0.3">
      <c r="A6" t="s">
        <v>32</v>
      </c>
      <c r="B6" t="s">
        <v>332</v>
      </c>
      <c r="D6" t="s">
        <v>33</v>
      </c>
      <c r="E6" t="s">
        <v>146</v>
      </c>
      <c r="G6" t="s">
        <v>165</v>
      </c>
      <c r="J6" t="s">
        <v>33</v>
      </c>
      <c r="L6" t="s">
        <v>35</v>
      </c>
    </row>
    <row r="7" spans="1:17" x14ac:dyDescent="0.3">
      <c r="A7" t="s">
        <v>36</v>
      </c>
      <c r="E7" t="s">
        <v>146</v>
      </c>
      <c r="G7" t="s">
        <v>29</v>
      </c>
      <c r="J7" t="s">
        <v>38</v>
      </c>
      <c r="L7" t="s">
        <v>35</v>
      </c>
    </row>
    <row r="8" spans="1:17" x14ac:dyDescent="0.3">
      <c r="A8" t="s">
        <v>41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I8" t="s">
        <v>243</v>
      </c>
      <c r="J8" t="s">
        <v>244</v>
      </c>
      <c r="K8" t="s">
        <v>243</v>
      </c>
      <c r="L8" t="s">
        <v>245</v>
      </c>
      <c r="M8" t="s">
        <v>243</v>
      </c>
      <c r="P8" t="s">
        <v>243</v>
      </c>
      <c r="Q8" t="s">
        <v>246</v>
      </c>
    </row>
    <row r="9" spans="1:17" x14ac:dyDescent="0.3">
      <c r="A9" t="s">
        <v>49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I9" t="s">
        <v>243</v>
      </c>
      <c r="J9" t="s">
        <v>244</v>
      </c>
      <c r="K9" t="s">
        <v>243</v>
      </c>
      <c r="L9" t="s">
        <v>245</v>
      </c>
      <c r="M9" t="s">
        <v>243</v>
      </c>
      <c r="P9" t="s">
        <v>243</v>
      </c>
      <c r="Q9" t="s">
        <v>246</v>
      </c>
    </row>
    <row r="10" spans="1:17" x14ac:dyDescent="0.3">
      <c r="A10" t="s">
        <v>53</v>
      </c>
      <c r="G10" t="s">
        <v>336</v>
      </c>
      <c r="H10" t="s">
        <v>57</v>
      </c>
      <c r="J10" t="s">
        <v>38</v>
      </c>
      <c r="Q10" t="s">
        <v>48</v>
      </c>
    </row>
    <row r="11" spans="1:17" x14ac:dyDescent="0.3">
      <c r="A11" t="s">
        <v>58</v>
      </c>
      <c r="H11" t="s">
        <v>57</v>
      </c>
      <c r="L11" t="s">
        <v>141</v>
      </c>
      <c r="Q11" t="s">
        <v>48</v>
      </c>
    </row>
    <row r="12" spans="1:17" x14ac:dyDescent="0.3">
      <c r="A12" t="s">
        <v>62</v>
      </c>
      <c r="H12" t="s">
        <v>57</v>
      </c>
      <c r="L12" t="s">
        <v>141</v>
      </c>
      <c r="Q12" t="s">
        <v>48</v>
      </c>
    </row>
    <row r="13" spans="1:17" x14ac:dyDescent="0.3">
      <c r="A13" t="s">
        <v>67</v>
      </c>
      <c r="H13" t="s">
        <v>57</v>
      </c>
      <c r="L13" t="s">
        <v>148</v>
      </c>
      <c r="Q13" t="s">
        <v>73</v>
      </c>
    </row>
    <row r="14" spans="1:17" x14ac:dyDescent="0.3">
      <c r="A14" t="s">
        <v>74</v>
      </c>
      <c r="L14" t="s">
        <v>148</v>
      </c>
      <c r="Q14" t="s">
        <v>73</v>
      </c>
    </row>
    <row r="15" spans="1:17" x14ac:dyDescent="0.3">
      <c r="A15" t="s">
        <v>80</v>
      </c>
      <c r="Q15" t="s">
        <v>73</v>
      </c>
    </row>
    <row r="16" spans="1:17" x14ac:dyDescent="0.3">
      <c r="A16" t="s">
        <v>84</v>
      </c>
    </row>
    <row r="17" spans="1:18" x14ac:dyDescent="0.3">
      <c r="A17" t="s">
        <v>90</v>
      </c>
      <c r="G17" t="s">
        <v>349</v>
      </c>
      <c r="H17" t="s">
        <v>349</v>
      </c>
      <c r="I17" t="s">
        <v>349</v>
      </c>
    </row>
    <row r="18" spans="1:18" x14ac:dyDescent="0.3">
      <c r="A18" t="s">
        <v>94</v>
      </c>
      <c r="E18" t="s">
        <v>234</v>
      </c>
      <c r="G18" t="s">
        <v>350</v>
      </c>
      <c r="H18" t="s">
        <v>349</v>
      </c>
      <c r="I18" t="s">
        <v>349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G19" t="s">
        <v>349</v>
      </c>
      <c r="H19" t="s">
        <v>349</v>
      </c>
      <c r="I19" t="s">
        <v>349</v>
      </c>
      <c r="L19" t="s">
        <v>101</v>
      </c>
      <c r="Q19" t="s">
        <v>103</v>
      </c>
    </row>
    <row r="20" spans="1:18" x14ac:dyDescent="0.3">
      <c r="A20" t="s">
        <v>104</v>
      </c>
      <c r="G20" t="s">
        <v>349</v>
      </c>
      <c r="H20" t="s">
        <v>349</v>
      </c>
      <c r="I20" t="s">
        <v>349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0.16669999999999999</v>
      </c>
      <c r="D24">
        <f t="shared" si="0"/>
        <v>0.22220000000000001</v>
      </c>
      <c r="E24">
        <f t="shared" si="0"/>
        <v>0.5</v>
      </c>
      <c r="F24">
        <f t="shared" si="0"/>
        <v>0.16669999999999999</v>
      </c>
      <c r="G24">
        <f t="shared" si="0"/>
        <v>0.61109999999999998</v>
      </c>
      <c r="H24">
        <f t="shared" si="0"/>
        <v>0.44440000000000002</v>
      </c>
      <c r="I24">
        <f t="shared" si="0"/>
        <v>0.38890000000000002</v>
      </c>
      <c r="J24">
        <f t="shared" si="0"/>
        <v>0.33329999999999999</v>
      </c>
      <c r="K24">
        <f t="shared" si="0"/>
        <v>0.16669999999999999</v>
      </c>
      <c r="L24">
        <f t="shared" si="0"/>
        <v>0.77780000000000005</v>
      </c>
      <c r="M24">
        <f t="shared" si="0"/>
        <v>0.16669999999999999</v>
      </c>
      <c r="N24">
        <f t="shared" si="0"/>
        <v>5.5599999999999997E-2</v>
      </c>
      <c r="O24">
        <f t="shared" si="0"/>
        <v>5.5599999999999997E-2</v>
      </c>
      <c r="P24">
        <f t="shared" si="0"/>
        <v>0.16669999999999999</v>
      </c>
      <c r="Q24">
        <f t="shared" si="0"/>
        <v>0.61109999999999998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R68"/>
  <sheetViews>
    <sheetView workbookViewId="0"/>
  </sheetViews>
  <sheetFormatPr defaultRowHeight="14.4" x14ac:dyDescent="0.3"/>
  <cols>
    <col min="1" max="1" width="20" customWidth="1"/>
    <col min="2" max="12" width="50" customWidth="1"/>
    <col min="13" max="13" width="42" customWidth="1"/>
    <col min="14" max="14" width="35" customWidth="1"/>
    <col min="15" max="16" width="50" customWidth="1"/>
    <col min="17" max="17" width="42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  <c r="L2" t="s">
        <v>19</v>
      </c>
    </row>
    <row r="3" spans="1:17" x14ac:dyDescent="0.3">
      <c r="A3" t="s">
        <v>20</v>
      </c>
      <c r="B3" t="s">
        <v>21</v>
      </c>
      <c r="C3" t="s">
        <v>22</v>
      </c>
      <c r="D3" t="s">
        <v>22</v>
      </c>
      <c r="E3" t="s">
        <v>22</v>
      </c>
      <c r="F3" t="s">
        <v>22</v>
      </c>
      <c r="G3" t="s">
        <v>21</v>
      </c>
      <c r="H3" t="s">
        <v>22</v>
      </c>
      <c r="I3" t="s">
        <v>21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25</v>
      </c>
      <c r="E4" t="s">
        <v>146</v>
      </c>
      <c r="F4" t="s">
        <v>25</v>
      </c>
      <c r="L4" t="s">
        <v>26</v>
      </c>
      <c r="N4" t="s">
        <v>25</v>
      </c>
    </row>
    <row r="5" spans="1:17" x14ac:dyDescent="0.3">
      <c r="A5" t="s">
        <v>27</v>
      </c>
      <c r="B5" t="s">
        <v>25</v>
      </c>
      <c r="E5" t="s">
        <v>146</v>
      </c>
      <c r="F5" t="s">
        <v>25</v>
      </c>
      <c r="G5" t="s">
        <v>165</v>
      </c>
      <c r="L5" t="s">
        <v>26</v>
      </c>
      <c r="N5" t="s">
        <v>25</v>
      </c>
    </row>
    <row r="6" spans="1:17" x14ac:dyDescent="0.3">
      <c r="A6" t="s">
        <v>32</v>
      </c>
      <c r="B6" t="s">
        <v>25</v>
      </c>
      <c r="D6" t="s">
        <v>33</v>
      </c>
      <c r="E6" t="s">
        <v>146</v>
      </c>
      <c r="F6" t="s">
        <v>25</v>
      </c>
      <c r="G6" t="s">
        <v>165</v>
      </c>
      <c r="J6" t="s">
        <v>33</v>
      </c>
      <c r="L6" t="s">
        <v>35</v>
      </c>
      <c r="N6" t="s">
        <v>25</v>
      </c>
    </row>
    <row r="7" spans="1:17" x14ac:dyDescent="0.3">
      <c r="A7" t="s">
        <v>36</v>
      </c>
      <c r="E7" t="s">
        <v>146</v>
      </c>
      <c r="G7" t="s">
        <v>29</v>
      </c>
      <c r="J7" t="s">
        <v>38</v>
      </c>
      <c r="L7" t="s">
        <v>35</v>
      </c>
    </row>
    <row r="8" spans="1:17" x14ac:dyDescent="0.3">
      <c r="A8" t="s">
        <v>41</v>
      </c>
      <c r="E8" t="s">
        <v>146</v>
      </c>
      <c r="G8" t="s">
        <v>266</v>
      </c>
      <c r="J8" t="s">
        <v>38</v>
      </c>
      <c r="L8" t="s">
        <v>136</v>
      </c>
      <c r="Q8" t="s">
        <v>48</v>
      </c>
    </row>
    <row r="9" spans="1:17" x14ac:dyDescent="0.3">
      <c r="A9" t="s">
        <v>49</v>
      </c>
      <c r="E9" t="s">
        <v>146</v>
      </c>
      <c r="G9" t="s">
        <v>266</v>
      </c>
      <c r="J9" t="s">
        <v>38</v>
      </c>
      <c r="L9" t="s">
        <v>136</v>
      </c>
      <c r="Q9" t="s">
        <v>48</v>
      </c>
    </row>
    <row r="10" spans="1:17" x14ac:dyDescent="0.3">
      <c r="A10" t="s">
        <v>53</v>
      </c>
      <c r="E10" t="s">
        <v>146</v>
      </c>
      <c r="G10" t="s">
        <v>56</v>
      </c>
      <c r="H10" t="s">
        <v>57</v>
      </c>
      <c r="J10" t="s">
        <v>38</v>
      </c>
      <c r="Q10" t="s">
        <v>48</v>
      </c>
    </row>
    <row r="11" spans="1:17" x14ac:dyDescent="0.3">
      <c r="A11" t="s">
        <v>58</v>
      </c>
      <c r="E11" t="s">
        <v>146</v>
      </c>
      <c r="G11" t="s">
        <v>60</v>
      </c>
      <c r="H11" t="s">
        <v>57</v>
      </c>
      <c r="L11" t="s">
        <v>141</v>
      </c>
      <c r="Q11" t="s">
        <v>48</v>
      </c>
    </row>
    <row r="12" spans="1:17" x14ac:dyDescent="0.3">
      <c r="A12" t="s">
        <v>62</v>
      </c>
      <c r="G12" t="s">
        <v>60</v>
      </c>
      <c r="H12" t="s">
        <v>57</v>
      </c>
      <c r="L12" t="s">
        <v>141</v>
      </c>
      <c r="Q12" t="s">
        <v>48</v>
      </c>
    </row>
    <row r="13" spans="1:17" x14ac:dyDescent="0.3">
      <c r="A13" t="s">
        <v>67</v>
      </c>
      <c r="G13" t="s">
        <v>60</v>
      </c>
      <c r="H13" t="s">
        <v>57</v>
      </c>
      <c r="L13" t="s">
        <v>148</v>
      </c>
      <c r="Q13" t="s">
        <v>73</v>
      </c>
    </row>
    <row r="14" spans="1:17" x14ac:dyDescent="0.3">
      <c r="A14" t="s">
        <v>74</v>
      </c>
      <c r="E14" t="s">
        <v>146</v>
      </c>
      <c r="L14" t="s">
        <v>148</v>
      </c>
      <c r="Q14" t="s">
        <v>73</v>
      </c>
    </row>
    <row r="15" spans="1:17" x14ac:dyDescent="0.3">
      <c r="A15" t="s">
        <v>80</v>
      </c>
      <c r="E15" t="s">
        <v>146</v>
      </c>
      <c r="I15" t="s">
        <v>269</v>
      </c>
      <c r="Q15" t="s">
        <v>73</v>
      </c>
    </row>
    <row r="16" spans="1:17" x14ac:dyDescent="0.3">
      <c r="A16" t="s">
        <v>84</v>
      </c>
      <c r="B16" t="s">
        <v>351</v>
      </c>
      <c r="E16" t="s">
        <v>352</v>
      </c>
      <c r="F16" t="s">
        <v>351</v>
      </c>
      <c r="H16" t="s">
        <v>351</v>
      </c>
      <c r="I16" t="s">
        <v>269</v>
      </c>
      <c r="L16" t="s">
        <v>351</v>
      </c>
      <c r="M16" t="s">
        <v>351</v>
      </c>
      <c r="O16" t="s">
        <v>351</v>
      </c>
      <c r="P16" t="s">
        <v>351</v>
      </c>
      <c r="Q16" t="s">
        <v>351</v>
      </c>
    </row>
    <row r="17" spans="1:18" x14ac:dyDescent="0.3">
      <c r="A17" t="s">
        <v>90</v>
      </c>
      <c r="B17" t="s">
        <v>351</v>
      </c>
      <c r="E17" t="s">
        <v>352</v>
      </c>
      <c r="F17" t="s">
        <v>351</v>
      </c>
      <c r="H17" t="s">
        <v>351</v>
      </c>
      <c r="I17" t="s">
        <v>273</v>
      </c>
      <c r="L17" t="s">
        <v>351</v>
      </c>
      <c r="M17" t="s">
        <v>351</v>
      </c>
      <c r="O17" t="s">
        <v>351</v>
      </c>
      <c r="P17" t="s">
        <v>351</v>
      </c>
      <c r="Q17" t="s">
        <v>351</v>
      </c>
    </row>
    <row r="18" spans="1:18" x14ac:dyDescent="0.3">
      <c r="A18" t="s">
        <v>94</v>
      </c>
      <c r="L18" t="s">
        <v>101</v>
      </c>
      <c r="Q18" t="s">
        <v>103</v>
      </c>
    </row>
    <row r="19" spans="1:18" x14ac:dyDescent="0.3">
      <c r="A19" t="s">
        <v>100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0.33329999999999999</v>
      </c>
      <c r="C24">
        <f t="shared" si="0"/>
        <v>5.5599999999999997E-2</v>
      </c>
      <c r="D24">
        <f t="shared" si="0"/>
        <v>0.1111</v>
      </c>
      <c r="E24">
        <f t="shared" si="0"/>
        <v>0.72219999999999995</v>
      </c>
      <c r="F24">
        <f t="shared" si="0"/>
        <v>0.33329999999999999</v>
      </c>
      <c r="G24">
        <f t="shared" si="0"/>
        <v>0.55559999999999998</v>
      </c>
      <c r="H24">
        <f t="shared" si="0"/>
        <v>0.38890000000000002</v>
      </c>
      <c r="I24">
        <f t="shared" si="0"/>
        <v>0.27779999999999999</v>
      </c>
      <c r="J24">
        <f t="shared" si="0"/>
        <v>0.33329999999999999</v>
      </c>
      <c r="K24">
        <f t="shared" si="0"/>
        <v>5.5599999999999997E-2</v>
      </c>
      <c r="L24">
        <f t="shared" si="0"/>
        <v>0.88890000000000002</v>
      </c>
      <c r="M24">
        <f t="shared" si="0"/>
        <v>0.16669999999999999</v>
      </c>
      <c r="N24">
        <f t="shared" si="0"/>
        <v>0.22220000000000001</v>
      </c>
      <c r="O24">
        <f t="shared" si="0"/>
        <v>0.16669999999999999</v>
      </c>
      <c r="P24">
        <f t="shared" si="0"/>
        <v>0.16669999999999999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  <c r="L2" t="s">
        <v>19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198</v>
      </c>
      <c r="G5" t="s">
        <v>165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165</v>
      </c>
      <c r="J6" t="s">
        <v>33</v>
      </c>
      <c r="L6" t="s">
        <v>35</v>
      </c>
    </row>
    <row r="7" spans="1:17" x14ac:dyDescent="0.3">
      <c r="A7" t="s">
        <v>36</v>
      </c>
      <c r="E7" t="s">
        <v>146</v>
      </c>
      <c r="G7" t="s">
        <v>29</v>
      </c>
      <c r="L7" t="s">
        <v>35</v>
      </c>
      <c r="N7" t="s">
        <v>131</v>
      </c>
    </row>
    <row r="8" spans="1:17" x14ac:dyDescent="0.3">
      <c r="A8" t="s">
        <v>41</v>
      </c>
      <c r="E8" t="s">
        <v>146</v>
      </c>
      <c r="L8" t="s">
        <v>136</v>
      </c>
      <c r="Q8" t="s">
        <v>48</v>
      </c>
    </row>
    <row r="9" spans="1:17" x14ac:dyDescent="0.3">
      <c r="A9" t="s">
        <v>49</v>
      </c>
      <c r="E9" t="s">
        <v>146</v>
      </c>
      <c r="L9" t="s">
        <v>136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L11" t="s">
        <v>141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L12" t="s">
        <v>141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L13" t="s">
        <v>148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L14" t="s">
        <v>148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E18" t="s">
        <v>146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146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0.1111</v>
      </c>
      <c r="C24">
        <f t="shared" si="0"/>
        <v>0.1111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0.55559999999999998</v>
      </c>
      <c r="H24">
        <f t="shared" si="0"/>
        <v>0.27779999999999999</v>
      </c>
      <c r="I24">
        <f t="shared" si="0"/>
        <v>0.1111</v>
      </c>
      <c r="J24">
        <f t="shared" si="0"/>
        <v>0.16669999999999999</v>
      </c>
      <c r="K24">
        <f t="shared" si="0"/>
        <v>0.1111</v>
      </c>
      <c r="L24">
        <f t="shared" si="0"/>
        <v>0.77780000000000005</v>
      </c>
      <c r="M24">
        <f t="shared" si="0"/>
        <v>0.1111</v>
      </c>
      <c r="N24">
        <f t="shared" si="0"/>
        <v>0.16669999999999999</v>
      </c>
      <c r="O24">
        <f t="shared" si="0"/>
        <v>5.5599999999999997E-2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  <c r="L2" t="s">
        <v>19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346</v>
      </c>
      <c r="G5" t="s">
        <v>165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C6" t="s">
        <v>292</v>
      </c>
      <c r="D6" t="s">
        <v>33</v>
      </c>
      <c r="E6" t="s">
        <v>146</v>
      </c>
      <c r="G6" t="s">
        <v>291</v>
      </c>
      <c r="H6" t="s">
        <v>292</v>
      </c>
      <c r="I6" t="s">
        <v>292</v>
      </c>
      <c r="J6" t="s">
        <v>33</v>
      </c>
      <c r="L6" t="s">
        <v>35</v>
      </c>
      <c r="M6" t="s">
        <v>292</v>
      </c>
      <c r="N6" t="s">
        <v>185</v>
      </c>
      <c r="Q6" t="s">
        <v>292</v>
      </c>
    </row>
    <row r="7" spans="1:17" x14ac:dyDescent="0.3">
      <c r="A7" t="s">
        <v>36</v>
      </c>
      <c r="C7" t="s">
        <v>292</v>
      </c>
      <c r="E7" t="s">
        <v>146</v>
      </c>
      <c r="G7" t="s">
        <v>294</v>
      </c>
      <c r="H7" t="s">
        <v>292</v>
      </c>
      <c r="I7" t="s">
        <v>292</v>
      </c>
      <c r="L7" t="s">
        <v>35</v>
      </c>
      <c r="M7" t="s">
        <v>292</v>
      </c>
      <c r="Q7" t="s">
        <v>292</v>
      </c>
    </row>
    <row r="8" spans="1:17" x14ac:dyDescent="0.3">
      <c r="A8" t="s">
        <v>41</v>
      </c>
      <c r="E8" t="s">
        <v>146</v>
      </c>
      <c r="L8" t="s">
        <v>136</v>
      </c>
      <c r="Q8" t="s">
        <v>48</v>
      </c>
    </row>
    <row r="9" spans="1:17" x14ac:dyDescent="0.3">
      <c r="A9" t="s">
        <v>49</v>
      </c>
      <c r="E9" t="s">
        <v>146</v>
      </c>
      <c r="L9" t="s">
        <v>136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L11" t="s">
        <v>141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L12" t="s">
        <v>141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L13" t="s">
        <v>148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L14" t="s">
        <v>148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  <c r="I16" t="s">
        <v>353</v>
      </c>
    </row>
    <row r="17" spans="1:18" x14ac:dyDescent="0.3">
      <c r="A17" t="s">
        <v>90</v>
      </c>
      <c r="E17" t="s">
        <v>146</v>
      </c>
      <c r="I17" t="s">
        <v>353</v>
      </c>
    </row>
    <row r="18" spans="1:18" x14ac:dyDescent="0.3">
      <c r="A18" t="s">
        <v>94</v>
      </c>
      <c r="B18" t="s">
        <v>192</v>
      </c>
      <c r="E18" t="s">
        <v>234</v>
      </c>
      <c r="G18" t="s">
        <v>50</v>
      </c>
      <c r="L18" t="s">
        <v>101</v>
      </c>
      <c r="O18" t="s">
        <v>192</v>
      </c>
      <c r="Q18" t="s">
        <v>103</v>
      </c>
    </row>
    <row r="19" spans="1:18" x14ac:dyDescent="0.3">
      <c r="A19" t="s">
        <v>100</v>
      </c>
      <c r="B19" t="s">
        <v>192</v>
      </c>
      <c r="E19" t="s">
        <v>234</v>
      </c>
      <c r="L19" t="s">
        <v>101</v>
      </c>
      <c r="O19" t="s">
        <v>192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0.22220000000000001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0.55559999999999998</v>
      </c>
      <c r="H24">
        <f t="shared" si="0"/>
        <v>0.38890000000000002</v>
      </c>
      <c r="I24">
        <f t="shared" si="0"/>
        <v>0.33329999999999999</v>
      </c>
      <c r="J24">
        <f t="shared" si="0"/>
        <v>0.16669999999999999</v>
      </c>
      <c r="K24">
        <f t="shared" si="0"/>
        <v>0.1111</v>
      </c>
      <c r="L24">
        <f t="shared" si="0"/>
        <v>0.77780000000000005</v>
      </c>
      <c r="M24">
        <f t="shared" si="0"/>
        <v>0.22220000000000001</v>
      </c>
      <c r="N24">
        <f t="shared" si="0"/>
        <v>0.16669999999999999</v>
      </c>
      <c r="O24">
        <f t="shared" si="0"/>
        <v>0.16669999999999999</v>
      </c>
      <c r="P24">
        <f t="shared" si="0"/>
        <v>0.1111</v>
      </c>
      <c r="Q24">
        <f t="shared" si="0"/>
        <v>0.77780000000000005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  <c r="L2" t="s">
        <v>19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323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300</v>
      </c>
      <c r="C5" t="s">
        <v>120</v>
      </c>
      <c r="D5" t="s">
        <v>120</v>
      </c>
      <c r="E5" t="s">
        <v>198</v>
      </c>
      <c r="G5" t="s">
        <v>165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B6" t="s">
        <v>302</v>
      </c>
      <c r="D6" t="s">
        <v>33</v>
      </c>
      <c r="E6" t="s">
        <v>146</v>
      </c>
      <c r="F6" t="s">
        <v>199</v>
      </c>
      <c r="G6" t="s">
        <v>165</v>
      </c>
      <c r="J6" t="s">
        <v>33</v>
      </c>
      <c r="L6" t="s">
        <v>354</v>
      </c>
    </row>
    <row r="7" spans="1:17" x14ac:dyDescent="0.3">
      <c r="A7" t="s">
        <v>36</v>
      </c>
      <c r="B7" t="s">
        <v>323</v>
      </c>
      <c r="E7" t="s">
        <v>146</v>
      </c>
      <c r="G7" t="s">
        <v>29</v>
      </c>
      <c r="L7" t="s">
        <v>26</v>
      </c>
    </row>
    <row r="8" spans="1:17" x14ac:dyDescent="0.3">
      <c r="A8" t="s">
        <v>41</v>
      </c>
      <c r="B8" t="s">
        <v>323</v>
      </c>
      <c r="E8" t="s">
        <v>146</v>
      </c>
      <c r="Q8" t="s">
        <v>48</v>
      </c>
    </row>
    <row r="9" spans="1:17" x14ac:dyDescent="0.3">
      <c r="A9" t="s">
        <v>49</v>
      </c>
      <c r="B9" t="s">
        <v>323</v>
      </c>
      <c r="E9" t="s">
        <v>146</v>
      </c>
      <c r="Q9" t="s">
        <v>48</v>
      </c>
    </row>
    <row r="10" spans="1:17" x14ac:dyDescent="0.3">
      <c r="A10" t="s">
        <v>53</v>
      </c>
      <c r="B10" t="s">
        <v>323</v>
      </c>
      <c r="H10" t="s">
        <v>57</v>
      </c>
      <c r="Q10" t="s">
        <v>48</v>
      </c>
    </row>
    <row r="11" spans="1:17" x14ac:dyDescent="0.3">
      <c r="A11" t="s">
        <v>58</v>
      </c>
      <c r="B11" t="s">
        <v>323</v>
      </c>
      <c r="H11" t="s">
        <v>57</v>
      </c>
      <c r="L11" t="s">
        <v>141</v>
      </c>
      <c r="Q11" t="s">
        <v>48</v>
      </c>
    </row>
    <row r="12" spans="1:17" x14ac:dyDescent="0.3">
      <c r="A12" t="s">
        <v>62</v>
      </c>
      <c r="B12" t="s">
        <v>317</v>
      </c>
      <c r="C12" t="s">
        <v>318</v>
      </c>
      <c r="D12" t="s">
        <v>318</v>
      </c>
      <c r="E12" t="s">
        <v>318</v>
      </c>
      <c r="F12" t="s">
        <v>318</v>
      </c>
      <c r="G12" t="s">
        <v>222</v>
      </c>
      <c r="H12" t="s">
        <v>57</v>
      </c>
      <c r="K12" t="s">
        <v>318</v>
      </c>
      <c r="L12" t="s">
        <v>322</v>
      </c>
      <c r="M12" t="s">
        <v>318</v>
      </c>
      <c r="N12" t="s">
        <v>318</v>
      </c>
      <c r="Q12" t="s">
        <v>355</v>
      </c>
    </row>
    <row r="13" spans="1:17" x14ac:dyDescent="0.3">
      <c r="A13" t="s">
        <v>67</v>
      </c>
      <c r="B13" t="s">
        <v>317</v>
      </c>
      <c r="C13" t="s">
        <v>318</v>
      </c>
      <c r="D13" t="s">
        <v>318</v>
      </c>
      <c r="E13" t="s">
        <v>318</v>
      </c>
      <c r="F13" t="s">
        <v>318</v>
      </c>
      <c r="G13" t="s">
        <v>222</v>
      </c>
      <c r="H13" t="s">
        <v>57</v>
      </c>
      <c r="K13" t="s">
        <v>318</v>
      </c>
      <c r="L13" t="s">
        <v>356</v>
      </c>
      <c r="M13" t="s">
        <v>318</v>
      </c>
      <c r="N13" t="s">
        <v>318</v>
      </c>
      <c r="Q13" t="s">
        <v>357</v>
      </c>
    </row>
    <row r="14" spans="1:17" x14ac:dyDescent="0.3">
      <c r="A14" t="s">
        <v>74</v>
      </c>
      <c r="B14" t="s">
        <v>317</v>
      </c>
      <c r="C14" t="s">
        <v>318</v>
      </c>
      <c r="D14" t="s">
        <v>318</v>
      </c>
      <c r="E14" t="s">
        <v>318</v>
      </c>
      <c r="F14" t="s">
        <v>318</v>
      </c>
      <c r="G14" t="s">
        <v>222</v>
      </c>
      <c r="K14" t="s">
        <v>318</v>
      </c>
      <c r="L14" t="s">
        <v>356</v>
      </c>
      <c r="M14" t="s">
        <v>318</v>
      </c>
      <c r="N14" t="s">
        <v>318</v>
      </c>
      <c r="Q14" t="s">
        <v>357</v>
      </c>
    </row>
    <row r="15" spans="1:17" x14ac:dyDescent="0.3">
      <c r="A15" t="s">
        <v>80</v>
      </c>
      <c r="B15" t="s">
        <v>317</v>
      </c>
      <c r="C15" t="s">
        <v>318</v>
      </c>
      <c r="D15" t="s">
        <v>318</v>
      </c>
      <c r="E15" t="s">
        <v>318</v>
      </c>
      <c r="F15" t="s">
        <v>318</v>
      </c>
      <c r="G15" t="s">
        <v>222</v>
      </c>
      <c r="K15" t="s">
        <v>318</v>
      </c>
      <c r="L15" t="s">
        <v>318</v>
      </c>
      <c r="M15" t="s">
        <v>318</v>
      </c>
      <c r="N15" t="s">
        <v>318</v>
      </c>
      <c r="Q15" t="s">
        <v>357</v>
      </c>
    </row>
    <row r="16" spans="1:17" x14ac:dyDescent="0.3">
      <c r="A16" t="s">
        <v>84</v>
      </c>
      <c r="B16" t="s">
        <v>323</v>
      </c>
    </row>
    <row r="17" spans="1:18" x14ac:dyDescent="0.3">
      <c r="A17" t="s">
        <v>90</v>
      </c>
      <c r="B17" t="s">
        <v>323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0.83330000000000004</v>
      </c>
      <c r="C24">
        <f t="shared" si="0"/>
        <v>0.33329999999999999</v>
      </c>
      <c r="D24">
        <f t="shared" si="0"/>
        <v>0.38890000000000002</v>
      </c>
      <c r="E24">
        <f t="shared" si="0"/>
        <v>0.72219999999999995</v>
      </c>
      <c r="F24">
        <f t="shared" si="0"/>
        <v>0.33329999999999999</v>
      </c>
      <c r="G24">
        <f t="shared" si="0"/>
        <v>0.55559999999999998</v>
      </c>
      <c r="H24">
        <f t="shared" si="0"/>
        <v>0.27779999999999999</v>
      </c>
      <c r="I24">
        <f t="shared" si="0"/>
        <v>0.1111</v>
      </c>
      <c r="J24">
        <f t="shared" si="0"/>
        <v>0.16669999999999999</v>
      </c>
      <c r="K24">
        <f t="shared" si="0"/>
        <v>0.33329999999999999</v>
      </c>
      <c r="L24">
        <f t="shared" si="0"/>
        <v>0.72219999999999995</v>
      </c>
      <c r="M24">
        <f t="shared" si="0"/>
        <v>0.33329999999999999</v>
      </c>
      <c r="N24">
        <f t="shared" si="0"/>
        <v>0.33329999999999999</v>
      </c>
      <c r="O24">
        <f t="shared" si="0"/>
        <v>5.5599999999999997E-2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358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359</v>
      </c>
      <c r="D5" t="s">
        <v>238</v>
      </c>
      <c r="E5" t="s">
        <v>360</v>
      </c>
      <c r="F5" t="s">
        <v>238</v>
      </c>
      <c r="G5" t="s">
        <v>165</v>
      </c>
      <c r="I5" t="s">
        <v>238</v>
      </c>
      <c r="J5" t="s">
        <v>238</v>
      </c>
      <c r="L5" t="s">
        <v>26</v>
      </c>
      <c r="O5" t="s">
        <v>238</v>
      </c>
    </row>
    <row r="6" spans="1:17" x14ac:dyDescent="0.3">
      <c r="A6" t="s">
        <v>32</v>
      </c>
      <c r="B6" t="s">
        <v>361</v>
      </c>
      <c r="D6" t="s">
        <v>33</v>
      </c>
      <c r="E6" t="s">
        <v>146</v>
      </c>
      <c r="G6" t="s">
        <v>165</v>
      </c>
      <c r="J6" t="s">
        <v>33</v>
      </c>
      <c r="L6" t="s">
        <v>26</v>
      </c>
    </row>
    <row r="7" spans="1:17" x14ac:dyDescent="0.3">
      <c r="A7" t="s">
        <v>36</v>
      </c>
      <c r="B7" t="s">
        <v>358</v>
      </c>
      <c r="E7" t="s">
        <v>146</v>
      </c>
      <c r="G7" t="s">
        <v>29</v>
      </c>
      <c r="L7" t="s">
        <v>26</v>
      </c>
    </row>
    <row r="8" spans="1:17" x14ac:dyDescent="0.3">
      <c r="A8" t="s">
        <v>41</v>
      </c>
      <c r="B8" t="s">
        <v>358</v>
      </c>
      <c r="Q8" t="s">
        <v>48</v>
      </c>
    </row>
    <row r="9" spans="1:17" x14ac:dyDescent="0.3">
      <c r="A9" t="s">
        <v>49</v>
      </c>
      <c r="B9" t="s">
        <v>358</v>
      </c>
      <c r="Q9" t="s">
        <v>48</v>
      </c>
    </row>
    <row r="10" spans="1:17" x14ac:dyDescent="0.3">
      <c r="A10" t="s">
        <v>53</v>
      </c>
      <c r="B10" t="s">
        <v>358</v>
      </c>
      <c r="G10" t="s">
        <v>336</v>
      </c>
      <c r="H10" t="s">
        <v>57</v>
      </c>
      <c r="Q10" t="s">
        <v>48</v>
      </c>
    </row>
    <row r="11" spans="1:17" x14ac:dyDescent="0.3">
      <c r="A11" t="s">
        <v>58</v>
      </c>
      <c r="B11" t="s">
        <v>358</v>
      </c>
      <c r="H11" t="s">
        <v>57</v>
      </c>
      <c r="L11" t="s">
        <v>141</v>
      </c>
      <c r="Q11" t="s">
        <v>48</v>
      </c>
    </row>
    <row r="12" spans="1:17" x14ac:dyDescent="0.3">
      <c r="A12" t="s">
        <v>62</v>
      </c>
      <c r="H12" t="s">
        <v>57</v>
      </c>
      <c r="L12" t="s">
        <v>141</v>
      </c>
      <c r="Q12" t="s">
        <v>48</v>
      </c>
    </row>
    <row r="13" spans="1:17" x14ac:dyDescent="0.3">
      <c r="A13" t="s">
        <v>67</v>
      </c>
      <c r="H13" t="s">
        <v>57</v>
      </c>
      <c r="L13" t="s">
        <v>148</v>
      </c>
      <c r="Q13" t="s">
        <v>73</v>
      </c>
    </row>
    <row r="14" spans="1:17" x14ac:dyDescent="0.3">
      <c r="A14" t="s">
        <v>74</v>
      </c>
      <c r="B14" t="s">
        <v>63</v>
      </c>
      <c r="C14" t="s">
        <v>63</v>
      </c>
      <c r="D14" t="s">
        <v>63</v>
      </c>
      <c r="E14" t="s">
        <v>63</v>
      </c>
      <c r="F14" t="s">
        <v>63</v>
      </c>
      <c r="K14" t="s">
        <v>63</v>
      </c>
      <c r="L14" t="s">
        <v>72</v>
      </c>
      <c r="M14" t="s">
        <v>63</v>
      </c>
      <c r="N14" t="s">
        <v>63</v>
      </c>
      <c r="P14" t="s">
        <v>63</v>
      </c>
      <c r="Q14" t="s">
        <v>338</v>
      </c>
    </row>
    <row r="15" spans="1:17" x14ac:dyDescent="0.3">
      <c r="A15" t="s">
        <v>80</v>
      </c>
      <c r="B15" t="s">
        <v>63</v>
      </c>
      <c r="C15" t="s">
        <v>63</v>
      </c>
      <c r="D15" t="s">
        <v>63</v>
      </c>
      <c r="E15" t="s">
        <v>63</v>
      </c>
      <c r="F15" t="s">
        <v>63</v>
      </c>
      <c r="K15" t="s">
        <v>63</v>
      </c>
      <c r="L15" t="s">
        <v>63</v>
      </c>
      <c r="M15" t="s">
        <v>63</v>
      </c>
      <c r="N15" t="s">
        <v>63</v>
      </c>
      <c r="P15" t="s">
        <v>63</v>
      </c>
      <c r="Q15" t="s">
        <v>338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0.61109999999999998</v>
      </c>
      <c r="C24">
        <f t="shared" si="0"/>
        <v>0.16669999999999999</v>
      </c>
      <c r="D24">
        <f t="shared" si="0"/>
        <v>0.27779999999999999</v>
      </c>
      <c r="E24">
        <f t="shared" si="0"/>
        <v>0.5</v>
      </c>
      <c r="F24">
        <f t="shared" si="0"/>
        <v>0.22220000000000001</v>
      </c>
      <c r="G24">
        <f t="shared" si="0"/>
        <v>0.38890000000000002</v>
      </c>
      <c r="H24">
        <f t="shared" si="0"/>
        <v>0.27779999999999999</v>
      </c>
      <c r="I24">
        <f t="shared" si="0"/>
        <v>0.16669999999999999</v>
      </c>
      <c r="J24">
        <f t="shared" si="0"/>
        <v>0.16669999999999999</v>
      </c>
      <c r="K24">
        <f t="shared" si="0"/>
        <v>0.16669999999999999</v>
      </c>
      <c r="L24">
        <f t="shared" si="0"/>
        <v>0.66669999999999996</v>
      </c>
      <c r="M24">
        <f t="shared" si="0"/>
        <v>0.16669999999999999</v>
      </c>
      <c r="N24">
        <f t="shared" si="0"/>
        <v>0.16669999999999999</v>
      </c>
      <c r="O24">
        <f t="shared" si="0"/>
        <v>0.1111</v>
      </c>
      <c r="P24">
        <f t="shared" si="0"/>
        <v>0.16669999999999999</v>
      </c>
      <c r="Q24">
        <f t="shared" si="0"/>
        <v>0.61109999999999998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3" width="35" customWidth="1"/>
    <col min="14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</row>
    <row r="3" spans="1:17" x14ac:dyDescent="0.3">
      <c r="A3" t="s">
        <v>20</v>
      </c>
      <c r="B3" t="s">
        <v>21</v>
      </c>
      <c r="C3" t="s">
        <v>22</v>
      </c>
      <c r="D3" t="s">
        <v>22</v>
      </c>
      <c r="E3" t="s">
        <v>22</v>
      </c>
      <c r="F3" t="s">
        <v>22</v>
      </c>
      <c r="G3" t="s">
        <v>21</v>
      </c>
      <c r="H3" t="s">
        <v>22</v>
      </c>
      <c r="I3" t="s">
        <v>21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25</v>
      </c>
      <c r="E4" t="s">
        <v>146</v>
      </c>
      <c r="F4" t="s">
        <v>25</v>
      </c>
      <c r="L4" t="s">
        <v>26</v>
      </c>
      <c r="N4" t="s">
        <v>340</v>
      </c>
    </row>
    <row r="5" spans="1:17" x14ac:dyDescent="0.3">
      <c r="A5" t="s">
        <v>27</v>
      </c>
      <c r="B5" t="s">
        <v>25</v>
      </c>
      <c r="E5" t="s">
        <v>146</v>
      </c>
      <c r="F5" t="s">
        <v>25</v>
      </c>
      <c r="G5" t="s">
        <v>165</v>
      </c>
      <c r="L5" t="s">
        <v>26</v>
      </c>
      <c r="N5" t="s">
        <v>340</v>
      </c>
    </row>
    <row r="6" spans="1:17" x14ac:dyDescent="0.3">
      <c r="A6" t="s">
        <v>32</v>
      </c>
      <c r="B6" t="s">
        <v>25</v>
      </c>
      <c r="D6" t="s">
        <v>33</v>
      </c>
      <c r="E6" t="s">
        <v>146</v>
      </c>
      <c r="F6" t="s">
        <v>25</v>
      </c>
      <c r="G6" t="s">
        <v>165</v>
      </c>
      <c r="J6" t="s">
        <v>33</v>
      </c>
      <c r="L6" t="s">
        <v>26</v>
      </c>
      <c r="N6" t="s">
        <v>25</v>
      </c>
    </row>
    <row r="7" spans="1:17" x14ac:dyDescent="0.3">
      <c r="A7" t="s">
        <v>36</v>
      </c>
      <c r="E7" t="s">
        <v>146</v>
      </c>
      <c r="G7" t="s">
        <v>29</v>
      </c>
      <c r="L7" t="s">
        <v>26</v>
      </c>
    </row>
    <row r="8" spans="1:17" x14ac:dyDescent="0.3">
      <c r="A8" t="s">
        <v>41</v>
      </c>
      <c r="E8" t="s">
        <v>146</v>
      </c>
      <c r="G8" t="s">
        <v>266</v>
      </c>
      <c r="Q8" t="s">
        <v>48</v>
      </c>
    </row>
    <row r="9" spans="1:17" x14ac:dyDescent="0.3">
      <c r="A9" t="s">
        <v>49</v>
      </c>
      <c r="D9" t="s">
        <v>341</v>
      </c>
      <c r="E9" t="s">
        <v>146</v>
      </c>
      <c r="G9" t="s">
        <v>266</v>
      </c>
      <c r="I9" t="s">
        <v>52</v>
      </c>
      <c r="Q9" t="s">
        <v>48</v>
      </c>
    </row>
    <row r="10" spans="1:17" x14ac:dyDescent="0.3">
      <c r="A10" t="s">
        <v>53</v>
      </c>
      <c r="C10" t="s">
        <v>55</v>
      </c>
      <c r="E10" t="s">
        <v>146</v>
      </c>
      <c r="G10" t="s">
        <v>56</v>
      </c>
      <c r="H10" t="s">
        <v>57</v>
      </c>
      <c r="Q10" t="s">
        <v>48</v>
      </c>
    </row>
    <row r="11" spans="1:17" x14ac:dyDescent="0.3">
      <c r="A11" t="s">
        <v>58</v>
      </c>
      <c r="E11" t="s">
        <v>342</v>
      </c>
      <c r="G11" t="s">
        <v>60</v>
      </c>
      <c r="H11" t="s">
        <v>57</v>
      </c>
      <c r="L11" t="s">
        <v>141</v>
      </c>
      <c r="Q11" t="s">
        <v>48</v>
      </c>
    </row>
    <row r="12" spans="1:17" x14ac:dyDescent="0.3">
      <c r="A12" t="s">
        <v>62</v>
      </c>
      <c r="G12" t="s">
        <v>60</v>
      </c>
      <c r="H12" t="s">
        <v>57</v>
      </c>
      <c r="L12" t="s">
        <v>141</v>
      </c>
      <c r="Q12" t="s">
        <v>48</v>
      </c>
    </row>
    <row r="13" spans="1:17" x14ac:dyDescent="0.3">
      <c r="A13" t="s">
        <v>67</v>
      </c>
      <c r="F13" t="s">
        <v>343</v>
      </c>
      <c r="G13" t="s">
        <v>60</v>
      </c>
      <c r="H13" t="s">
        <v>57</v>
      </c>
      <c r="L13" t="s">
        <v>148</v>
      </c>
      <c r="Q13" t="s">
        <v>73</v>
      </c>
    </row>
    <row r="14" spans="1:17" x14ac:dyDescent="0.3">
      <c r="A14" t="s">
        <v>74</v>
      </c>
      <c r="E14" t="s">
        <v>146</v>
      </c>
      <c r="G14" t="s">
        <v>76</v>
      </c>
      <c r="I14" t="s">
        <v>82</v>
      </c>
      <c r="L14" t="s">
        <v>148</v>
      </c>
      <c r="Q14" t="s">
        <v>73</v>
      </c>
    </row>
    <row r="15" spans="1:17" x14ac:dyDescent="0.3">
      <c r="A15" t="s">
        <v>80</v>
      </c>
      <c r="E15" t="s">
        <v>146</v>
      </c>
      <c r="I15" t="s">
        <v>82</v>
      </c>
      <c r="Q15" t="s">
        <v>73</v>
      </c>
    </row>
    <row r="16" spans="1:17" x14ac:dyDescent="0.3">
      <c r="A16" t="s">
        <v>84</v>
      </c>
      <c r="E16" t="s">
        <v>146</v>
      </c>
      <c r="I16" t="s">
        <v>362</v>
      </c>
    </row>
    <row r="17" spans="1:18" x14ac:dyDescent="0.3">
      <c r="A17" t="s">
        <v>90</v>
      </c>
      <c r="E17" t="s">
        <v>146</v>
      </c>
      <c r="I17" t="s">
        <v>363</v>
      </c>
    </row>
    <row r="18" spans="1:18" x14ac:dyDescent="0.3">
      <c r="A18" t="s">
        <v>94</v>
      </c>
      <c r="L18" t="s">
        <v>101</v>
      </c>
      <c r="Q18" t="s">
        <v>103</v>
      </c>
    </row>
    <row r="19" spans="1:18" x14ac:dyDescent="0.3">
      <c r="A19" t="s">
        <v>100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0.72219999999999995</v>
      </c>
      <c r="F24">
        <f t="shared" si="0"/>
        <v>0.27779999999999999</v>
      </c>
      <c r="G24">
        <f t="shared" si="0"/>
        <v>0.61109999999999998</v>
      </c>
      <c r="H24">
        <f t="shared" si="0"/>
        <v>0.27779999999999999</v>
      </c>
      <c r="I24">
        <f t="shared" si="0"/>
        <v>0.38890000000000002</v>
      </c>
      <c r="J24">
        <f t="shared" si="0"/>
        <v>0.1111</v>
      </c>
      <c r="K24">
        <f t="shared" si="0"/>
        <v>5.5599999999999997E-2</v>
      </c>
      <c r="L24">
        <f t="shared" si="0"/>
        <v>0.61109999999999998</v>
      </c>
      <c r="M24">
        <f t="shared" si="0"/>
        <v>5.5599999999999997E-2</v>
      </c>
      <c r="N24">
        <f t="shared" si="0"/>
        <v>0.22220000000000001</v>
      </c>
      <c r="O24">
        <f t="shared" si="0"/>
        <v>5.5599999999999997E-2</v>
      </c>
      <c r="P24">
        <f t="shared" si="0"/>
        <v>5.5599999999999997E-2</v>
      </c>
      <c r="Q24">
        <f t="shared" si="0"/>
        <v>0.61109999999999998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364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198</v>
      </c>
      <c r="G5" t="s">
        <v>165</v>
      </c>
      <c r="I5" t="s">
        <v>122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165</v>
      </c>
      <c r="J6" t="s">
        <v>33</v>
      </c>
      <c r="L6" t="s">
        <v>26</v>
      </c>
      <c r="Q6" t="s">
        <v>125</v>
      </c>
    </row>
    <row r="7" spans="1:17" x14ac:dyDescent="0.3">
      <c r="A7" t="s">
        <v>36</v>
      </c>
      <c r="B7" t="s">
        <v>126</v>
      </c>
      <c r="E7" t="s">
        <v>345</v>
      </c>
      <c r="G7" t="s">
        <v>29</v>
      </c>
      <c r="L7" t="s">
        <v>26</v>
      </c>
      <c r="N7" t="s">
        <v>131</v>
      </c>
      <c r="O7" t="s">
        <v>126</v>
      </c>
    </row>
    <row r="8" spans="1:17" x14ac:dyDescent="0.3">
      <c r="A8" t="s">
        <v>41</v>
      </c>
      <c r="B8" t="s">
        <v>126</v>
      </c>
      <c r="E8" t="s">
        <v>345</v>
      </c>
      <c r="O8" t="s">
        <v>126</v>
      </c>
      <c r="Q8" t="s">
        <v>48</v>
      </c>
    </row>
    <row r="9" spans="1:17" x14ac:dyDescent="0.3">
      <c r="A9" t="s">
        <v>49</v>
      </c>
      <c r="E9" t="s">
        <v>146</v>
      </c>
      <c r="J9" t="s">
        <v>365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K13" t="s">
        <v>147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L14" t="s">
        <v>366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E18" t="s">
        <v>146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146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0.55559999999999998</v>
      </c>
      <c r="H24">
        <f t="shared" si="0"/>
        <v>0.27779999999999999</v>
      </c>
      <c r="I24">
        <f t="shared" si="0"/>
        <v>0.16669999999999999</v>
      </c>
      <c r="J24">
        <f t="shared" si="0"/>
        <v>0.22220000000000001</v>
      </c>
      <c r="K24">
        <f t="shared" si="0"/>
        <v>0.16669999999999999</v>
      </c>
      <c r="L24">
        <f t="shared" si="0"/>
        <v>0.44440000000000002</v>
      </c>
      <c r="M24">
        <f t="shared" si="0"/>
        <v>0.1111</v>
      </c>
      <c r="N24">
        <f t="shared" si="0"/>
        <v>0.16669999999999999</v>
      </c>
      <c r="O24">
        <f t="shared" si="0"/>
        <v>0.16669999999999999</v>
      </c>
      <c r="P24">
        <f t="shared" si="0"/>
        <v>0.1111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I2" t="s">
        <v>18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346</v>
      </c>
      <c r="G5" t="s">
        <v>165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165</v>
      </c>
      <c r="J6" t="s">
        <v>33</v>
      </c>
      <c r="L6" t="s">
        <v>26</v>
      </c>
      <c r="N6" t="s">
        <v>185</v>
      </c>
    </row>
    <row r="7" spans="1:17" x14ac:dyDescent="0.3">
      <c r="A7" t="s">
        <v>36</v>
      </c>
      <c r="E7" t="s">
        <v>146</v>
      </c>
      <c r="G7" t="s">
        <v>29</v>
      </c>
      <c r="L7" t="s">
        <v>26</v>
      </c>
    </row>
    <row r="8" spans="1:17" x14ac:dyDescent="0.3">
      <c r="A8" t="s">
        <v>41</v>
      </c>
      <c r="E8" t="s">
        <v>146</v>
      </c>
      <c r="Q8" t="s">
        <v>48</v>
      </c>
    </row>
    <row r="9" spans="1:17" x14ac:dyDescent="0.3">
      <c r="A9" t="s">
        <v>49</v>
      </c>
      <c r="E9" t="s">
        <v>146</v>
      </c>
      <c r="O9" t="s">
        <v>178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B18" t="s">
        <v>192</v>
      </c>
      <c r="E18" t="s">
        <v>234</v>
      </c>
      <c r="G18" t="s">
        <v>50</v>
      </c>
      <c r="L18" t="s">
        <v>101</v>
      </c>
      <c r="O18" t="s">
        <v>192</v>
      </c>
      <c r="Q18" t="s">
        <v>103</v>
      </c>
    </row>
    <row r="19" spans="1:18" x14ac:dyDescent="0.3">
      <c r="A19" t="s">
        <v>100</v>
      </c>
      <c r="B19" t="s">
        <v>192</v>
      </c>
      <c r="E19" t="s">
        <v>234</v>
      </c>
      <c r="L19" t="s">
        <v>101</v>
      </c>
      <c r="O19" t="s">
        <v>192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0.55559999999999998</v>
      </c>
      <c r="H24">
        <f t="shared" si="0"/>
        <v>0.27779999999999999</v>
      </c>
      <c r="I24">
        <f t="shared" si="0"/>
        <v>0.1111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0.1111</v>
      </c>
      <c r="N24">
        <f t="shared" si="0"/>
        <v>0.16669999999999999</v>
      </c>
      <c r="O24">
        <f t="shared" si="0"/>
        <v>0.22220000000000001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323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300</v>
      </c>
      <c r="C5" t="s">
        <v>120</v>
      </c>
      <c r="D5" t="s">
        <v>120</v>
      </c>
      <c r="E5" t="s">
        <v>198</v>
      </c>
      <c r="G5" t="s">
        <v>165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B6" t="s">
        <v>302</v>
      </c>
      <c r="D6" t="s">
        <v>33</v>
      </c>
      <c r="E6" t="s">
        <v>146</v>
      </c>
      <c r="F6" t="s">
        <v>199</v>
      </c>
      <c r="G6" t="s">
        <v>165</v>
      </c>
      <c r="J6" t="s">
        <v>33</v>
      </c>
      <c r="L6" t="s">
        <v>26</v>
      </c>
    </row>
    <row r="7" spans="1:17" x14ac:dyDescent="0.3">
      <c r="A7" t="s">
        <v>36</v>
      </c>
      <c r="B7" t="s">
        <v>323</v>
      </c>
      <c r="E7" t="s">
        <v>146</v>
      </c>
      <c r="G7" t="s">
        <v>29</v>
      </c>
      <c r="L7" t="s">
        <v>26</v>
      </c>
    </row>
    <row r="8" spans="1:17" x14ac:dyDescent="0.3">
      <c r="A8" t="s">
        <v>41</v>
      </c>
      <c r="B8" t="s">
        <v>323</v>
      </c>
      <c r="E8" t="s">
        <v>146</v>
      </c>
      <c r="Q8" t="s">
        <v>48</v>
      </c>
    </row>
    <row r="9" spans="1:17" x14ac:dyDescent="0.3">
      <c r="A9" t="s">
        <v>49</v>
      </c>
      <c r="B9" t="s">
        <v>323</v>
      </c>
      <c r="E9" t="s">
        <v>146</v>
      </c>
      <c r="Q9" t="s">
        <v>48</v>
      </c>
    </row>
    <row r="10" spans="1:17" x14ac:dyDescent="0.3">
      <c r="A10" t="s">
        <v>53</v>
      </c>
      <c r="B10" t="s">
        <v>323</v>
      </c>
      <c r="H10" t="s">
        <v>57</v>
      </c>
      <c r="Q10" t="s">
        <v>48</v>
      </c>
    </row>
    <row r="11" spans="1:17" x14ac:dyDescent="0.3">
      <c r="A11" t="s">
        <v>58</v>
      </c>
      <c r="B11" t="s">
        <v>323</v>
      </c>
      <c r="H11" t="s">
        <v>57</v>
      </c>
      <c r="Q11" t="s">
        <v>48</v>
      </c>
    </row>
    <row r="12" spans="1:17" x14ac:dyDescent="0.3">
      <c r="A12" t="s">
        <v>62</v>
      </c>
      <c r="B12" t="s">
        <v>323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B13" t="s">
        <v>323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B14" t="s">
        <v>323</v>
      </c>
      <c r="G14" t="s">
        <v>222</v>
      </c>
      <c r="Q14" t="s">
        <v>73</v>
      </c>
    </row>
    <row r="15" spans="1:17" x14ac:dyDescent="0.3">
      <c r="A15" t="s">
        <v>80</v>
      </c>
      <c r="B15" t="s">
        <v>323</v>
      </c>
      <c r="G15" t="s">
        <v>222</v>
      </c>
      <c r="Q15" t="s">
        <v>73</v>
      </c>
    </row>
    <row r="16" spans="1:17" x14ac:dyDescent="0.3">
      <c r="A16" t="s">
        <v>84</v>
      </c>
      <c r="B16" t="s">
        <v>367</v>
      </c>
    </row>
    <row r="17" spans="1:18" x14ac:dyDescent="0.3">
      <c r="A17" t="s">
        <v>90</v>
      </c>
      <c r="B17" t="s">
        <v>323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0.83330000000000004</v>
      </c>
      <c r="C24">
        <f t="shared" si="0"/>
        <v>0.1111</v>
      </c>
      <c r="D24">
        <f t="shared" si="0"/>
        <v>0.16669999999999999</v>
      </c>
      <c r="E24">
        <f t="shared" si="0"/>
        <v>0.5</v>
      </c>
      <c r="F24">
        <f t="shared" si="0"/>
        <v>0.1111</v>
      </c>
      <c r="G24">
        <f t="shared" si="0"/>
        <v>0.55559999999999998</v>
      </c>
      <c r="H24">
        <f t="shared" si="0"/>
        <v>0.27779999999999999</v>
      </c>
      <c r="I24">
        <f t="shared" si="0"/>
        <v>5.5599999999999997E-2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0.1111</v>
      </c>
      <c r="N24">
        <f t="shared" si="0"/>
        <v>0.1111</v>
      </c>
      <c r="O24">
        <f t="shared" si="0"/>
        <v>5.5599999999999997E-2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E5" t="s">
        <v>146</v>
      </c>
      <c r="G5" t="s">
        <v>165</v>
      </c>
      <c r="L5" t="s">
        <v>26</v>
      </c>
    </row>
    <row r="6" spans="1:17" x14ac:dyDescent="0.3">
      <c r="A6" t="s">
        <v>32</v>
      </c>
      <c r="B6" t="s">
        <v>332</v>
      </c>
      <c r="D6" t="s">
        <v>33</v>
      </c>
      <c r="E6" t="s">
        <v>146</v>
      </c>
      <c r="G6" t="s">
        <v>165</v>
      </c>
      <c r="J6" t="s">
        <v>33</v>
      </c>
      <c r="L6" t="s">
        <v>26</v>
      </c>
    </row>
    <row r="7" spans="1:17" x14ac:dyDescent="0.3">
      <c r="A7" t="s">
        <v>36</v>
      </c>
      <c r="E7" t="s">
        <v>146</v>
      </c>
      <c r="G7" t="s">
        <v>29</v>
      </c>
      <c r="L7" t="s">
        <v>26</v>
      </c>
    </row>
    <row r="8" spans="1:17" x14ac:dyDescent="0.3">
      <c r="A8" t="s">
        <v>41</v>
      </c>
      <c r="Q8" t="s">
        <v>48</v>
      </c>
    </row>
    <row r="9" spans="1:17" x14ac:dyDescent="0.3">
      <c r="A9" t="s">
        <v>49</v>
      </c>
      <c r="Q9" t="s">
        <v>48</v>
      </c>
    </row>
    <row r="10" spans="1:17" x14ac:dyDescent="0.3">
      <c r="A10" t="s">
        <v>53</v>
      </c>
      <c r="G10" t="s">
        <v>336</v>
      </c>
      <c r="H10" t="s">
        <v>57</v>
      </c>
      <c r="Q10" t="s">
        <v>48</v>
      </c>
    </row>
    <row r="11" spans="1:17" x14ac:dyDescent="0.3">
      <c r="A11" t="s">
        <v>58</v>
      </c>
      <c r="H11" t="s">
        <v>57</v>
      </c>
      <c r="Q11" t="s">
        <v>48</v>
      </c>
    </row>
    <row r="12" spans="1:17" x14ac:dyDescent="0.3">
      <c r="A12" t="s">
        <v>62</v>
      </c>
      <c r="H12" t="s">
        <v>57</v>
      </c>
      <c r="Q12" t="s">
        <v>48</v>
      </c>
    </row>
    <row r="13" spans="1:17" x14ac:dyDescent="0.3">
      <c r="A13" t="s">
        <v>67</v>
      </c>
      <c r="H13" t="s">
        <v>57</v>
      </c>
      <c r="Q13" t="s">
        <v>73</v>
      </c>
    </row>
    <row r="14" spans="1:17" x14ac:dyDescent="0.3">
      <c r="A14" t="s">
        <v>74</v>
      </c>
      <c r="Q14" t="s">
        <v>73</v>
      </c>
    </row>
    <row r="15" spans="1:17" x14ac:dyDescent="0.3">
      <c r="A15" t="s">
        <v>80</v>
      </c>
      <c r="Q15" t="s">
        <v>73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0.1111</v>
      </c>
      <c r="C24">
        <f t="shared" si="0"/>
        <v>5.5599999999999997E-2</v>
      </c>
      <c r="D24">
        <f t="shared" si="0"/>
        <v>0.1111</v>
      </c>
      <c r="E24">
        <f t="shared" si="0"/>
        <v>0.38890000000000002</v>
      </c>
      <c r="F24">
        <f t="shared" si="0"/>
        <v>5.5599999999999997E-2</v>
      </c>
      <c r="G24">
        <f t="shared" si="0"/>
        <v>0.38890000000000002</v>
      </c>
      <c r="H24">
        <f t="shared" si="0"/>
        <v>0.27779999999999999</v>
      </c>
      <c r="I24">
        <f t="shared" si="0"/>
        <v>5.5599999999999997E-2</v>
      </c>
      <c r="J24">
        <f t="shared" si="0"/>
        <v>0.1111</v>
      </c>
      <c r="K24">
        <f t="shared" si="0"/>
        <v>5.5599999999999997E-2</v>
      </c>
      <c r="L24">
        <f t="shared" si="0"/>
        <v>0.38890000000000002</v>
      </c>
      <c r="M24">
        <f t="shared" si="0"/>
        <v>5.5599999999999997E-2</v>
      </c>
      <c r="N24">
        <f t="shared" si="0"/>
        <v>5.5599999999999997E-2</v>
      </c>
      <c r="O24">
        <f t="shared" si="0"/>
        <v>5.5599999999999997E-2</v>
      </c>
      <c r="P24">
        <f t="shared" si="0"/>
        <v>5.5599999999999997E-2</v>
      </c>
      <c r="Q24">
        <f t="shared" si="0"/>
        <v>0.61109999999999998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R68"/>
  <sheetViews>
    <sheetView workbookViewId="0"/>
  </sheetViews>
  <sheetFormatPr defaultRowHeight="14.4" x14ac:dyDescent="0.3"/>
  <cols>
    <col min="1" max="1" width="20" customWidth="1"/>
    <col min="2" max="12" width="50" customWidth="1"/>
    <col min="13" max="13" width="42" customWidth="1"/>
    <col min="14" max="14" width="37" customWidth="1"/>
    <col min="15" max="16" width="50" customWidth="1"/>
    <col min="17" max="17" width="42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21</v>
      </c>
      <c r="C3" t="s">
        <v>22</v>
      </c>
      <c r="D3" t="s">
        <v>22</v>
      </c>
      <c r="E3" t="s">
        <v>22</v>
      </c>
      <c r="F3" t="s">
        <v>22</v>
      </c>
      <c r="G3" t="s">
        <v>21</v>
      </c>
      <c r="H3" t="s">
        <v>22</v>
      </c>
      <c r="I3" t="s">
        <v>21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25</v>
      </c>
      <c r="E4" t="s">
        <v>146</v>
      </c>
      <c r="F4" t="s">
        <v>25</v>
      </c>
      <c r="L4" t="s">
        <v>26</v>
      </c>
      <c r="N4" t="s">
        <v>25</v>
      </c>
    </row>
    <row r="5" spans="1:17" x14ac:dyDescent="0.3">
      <c r="A5" t="s">
        <v>27</v>
      </c>
      <c r="B5" t="s">
        <v>25</v>
      </c>
      <c r="E5" t="s">
        <v>146</v>
      </c>
      <c r="F5" t="s">
        <v>25</v>
      </c>
      <c r="G5" t="s">
        <v>165</v>
      </c>
      <c r="L5" t="s">
        <v>26</v>
      </c>
      <c r="N5" t="s">
        <v>25</v>
      </c>
    </row>
    <row r="6" spans="1:17" x14ac:dyDescent="0.3">
      <c r="A6" t="s">
        <v>32</v>
      </c>
      <c r="B6" t="s">
        <v>25</v>
      </c>
      <c r="D6" t="s">
        <v>33</v>
      </c>
      <c r="E6" t="s">
        <v>146</v>
      </c>
      <c r="F6" t="s">
        <v>25</v>
      </c>
      <c r="G6" t="s">
        <v>165</v>
      </c>
      <c r="J6" t="s">
        <v>33</v>
      </c>
      <c r="L6" t="s">
        <v>26</v>
      </c>
      <c r="N6" t="s">
        <v>25</v>
      </c>
    </row>
    <row r="7" spans="1:17" x14ac:dyDescent="0.3">
      <c r="A7" t="s">
        <v>36</v>
      </c>
      <c r="E7" t="s">
        <v>146</v>
      </c>
      <c r="G7" t="s">
        <v>29</v>
      </c>
      <c r="L7" t="s">
        <v>26</v>
      </c>
    </row>
    <row r="8" spans="1:17" x14ac:dyDescent="0.3">
      <c r="A8" t="s">
        <v>41</v>
      </c>
      <c r="B8" t="s">
        <v>368</v>
      </c>
      <c r="D8" t="s">
        <v>368</v>
      </c>
      <c r="E8" t="s">
        <v>146</v>
      </c>
      <c r="F8" t="s">
        <v>368</v>
      </c>
      <c r="G8" t="s">
        <v>266</v>
      </c>
      <c r="J8" t="s">
        <v>368</v>
      </c>
      <c r="L8" t="s">
        <v>368</v>
      </c>
      <c r="Q8" t="s">
        <v>48</v>
      </c>
    </row>
    <row r="9" spans="1:17" x14ac:dyDescent="0.3">
      <c r="A9" t="s">
        <v>49</v>
      </c>
      <c r="B9" t="s">
        <v>368</v>
      </c>
      <c r="D9" t="s">
        <v>368</v>
      </c>
      <c r="E9" t="s">
        <v>146</v>
      </c>
      <c r="F9" t="s">
        <v>368</v>
      </c>
      <c r="G9" t="s">
        <v>266</v>
      </c>
      <c r="J9" t="s">
        <v>368</v>
      </c>
      <c r="L9" t="s">
        <v>368</v>
      </c>
      <c r="Q9" t="s">
        <v>48</v>
      </c>
    </row>
    <row r="10" spans="1:17" x14ac:dyDescent="0.3">
      <c r="A10" t="s">
        <v>53</v>
      </c>
      <c r="E10" t="s">
        <v>146</v>
      </c>
      <c r="G10" t="s">
        <v>56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G11" t="s">
        <v>60</v>
      </c>
      <c r="H11" t="s">
        <v>57</v>
      </c>
      <c r="Q11" t="s">
        <v>48</v>
      </c>
    </row>
    <row r="12" spans="1:17" x14ac:dyDescent="0.3">
      <c r="A12" t="s">
        <v>62</v>
      </c>
      <c r="G12" t="s">
        <v>60</v>
      </c>
      <c r="H12" t="s">
        <v>57</v>
      </c>
      <c r="Q12" t="s">
        <v>48</v>
      </c>
    </row>
    <row r="13" spans="1:17" x14ac:dyDescent="0.3">
      <c r="A13" t="s">
        <v>67</v>
      </c>
      <c r="D13" t="s">
        <v>71</v>
      </c>
      <c r="E13" t="s">
        <v>71</v>
      </c>
      <c r="F13" t="s">
        <v>71</v>
      </c>
      <c r="G13" t="s">
        <v>60</v>
      </c>
      <c r="H13" t="s">
        <v>57</v>
      </c>
      <c r="I13" t="s">
        <v>71</v>
      </c>
      <c r="J13" t="s">
        <v>71</v>
      </c>
      <c r="N13" t="s">
        <v>369</v>
      </c>
      <c r="O13" t="s">
        <v>71</v>
      </c>
      <c r="Q13" t="s">
        <v>73</v>
      </c>
    </row>
    <row r="14" spans="1:17" x14ac:dyDescent="0.3">
      <c r="A14" t="s">
        <v>74</v>
      </c>
      <c r="D14" t="s">
        <v>71</v>
      </c>
      <c r="E14" t="s">
        <v>370</v>
      </c>
      <c r="F14" t="s">
        <v>71</v>
      </c>
      <c r="I14" t="s">
        <v>71</v>
      </c>
      <c r="J14" t="s">
        <v>71</v>
      </c>
      <c r="O14" t="s">
        <v>71</v>
      </c>
      <c r="Q14" t="s">
        <v>73</v>
      </c>
    </row>
    <row r="15" spans="1:17" x14ac:dyDescent="0.3">
      <c r="A15" t="s">
        <v>80</v>
      </c>
      <c r="E15" t="s">
        <v>146</v>
      </c>
      <c r="I15" t="s">
        <v>269</v>
      </c>
      <c r="Q15" t="s">
        <v>73</v>
      </c>
    </row>
    <row r="16" spans="1:17" x14ac:dyDescent="0.3">
      <c r="A16" t="s">
        <v>84</v>
      </c>
      <c r="B16" t="s">
        <v>351</v>
      </c>
      <c r="E16" t="s">
        <v>352</v>
      </c>
      <c r="F16" t="s">
        <v>351</v>
      </c>
      <c r="H16" t="s">
        <v>351</v>
      </c>
      <c r="I16" t="s">
        <v>269</v>
      </c>
      <c r="L16" t="s">
        <v>351</v>
      </c>
      <c r="M16" t="s">
        <v>351</v>
      </c>
      <c r="O16" t="s">
        <v>351</v>
      </c>
      <c r="P16" t="s">
        <v>351</v>
      </c>
      <c r="Q16" t="s">
        <v>351</v>
      </c>
    </row>
    <row r="17" spans="1:18" x14ac:dyDescent="0.3">
      <c r="A17" t="s">
        <v>90</v>
      </c>
      <c r="B17" t="s">
        <v>351</v>
      </c>
      <c r="E17" t="s">
        <v>352</v>
      </c>
      <c r="F17" t="s">
        <v>351</v>
      </c>
      <c r="H17" t="s">
        <v>351</v>
      </c>
      <c r="I17" t="s">
        <v>273</v>
      </c>
      <c r="L17" t="s">
        <v>351</v>
      </c>
      <c r="M17" t="s">
        <v>351</v>
      </c>
      <c r="O17" t="s">
        <v>351</v>
      </c>
      <c r="P17" t="s">
        <v>351</v>
      </c>
      <c r="Q17" t="s">
        <v>351</v>
      </c>
    </row>
    <row r="18" spans="1:18" x14ac:dyDescent="0.3">
      <c r="A18" t="s">
        <v>94</v>
      </c>
      <c r="E18" t="s">
        <v>274</v>
      </c>
      <c r="L18" t="s">
        <v>101</v>
      </c>
      <c r="Q18" t="s">
        <v>103</v>
      </c>
    </row>
    <row r="19" spans="1:18" x14ac:dyDescent="0.3">
      <c r="A19" t="s">
        <v>100</v>
      </c>
      <c r="E19" t="s">
        <v>274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0.44440000000000002</v>
      </c>
      <c r="C24">
        <f t="shared" si="0"/>
        <v>5.5599999999999997E-2</v>
      </c>
      <c r="D24">
        <f t="shared" si="0"/>
        <v>0.33329999999999999</v>
      </c>
      <c r="E24">
        <f t="shared" si="0"/>
        <v>0.88890000000000002</v>
      </c>
      <c r="F24">
        <f t="shared" si="0"/>
        <v>0.55559999999999998</v>
      </c>
      <c r="G24">
        <f t="shared" si="0"/>
        <v>0.55559999999999998</v>
      </c>
      <c r="H24">
        <f t="shared" si="0"/>
        <v>0.38890000000000002</v>
      </c>
      <c r="I24">
        <f t="shared" si="0"/>
        <v>0.33329999999999999</v>
      </c>
      <c r="J24">
        <f t="shared" si="0"/>
        <v>0.33329999999999999</v>
      </c>
      <c r="K24">
        <f t="shared" si="0"/>
        <v>5.5599999999999997E-2</v>
      </c>
      <c r="L24">
        <f t="shared" si="0"/>
        <v>0.61109999999999998</v>
      </c>
      <c r="M24">
        <f t="shared" si="0"/>
        <v>0.16669999999999999</v>
      </c>
      <c r="N24">
        <f t="shared" si="0"/>
        <v>0.27779999999999999</v>
      </c>
      <c r="O24">
        <f t="shared" si="0"/>
        <v>0.27779999999999999</v>
      </c>
      <c r="P24">
        <f t="shared" si="0"/>
        <v>0.16669999999999999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  <c r="O4" t="s">
        <v>371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198</v>
      </c>
      <c r="G5" t="s">
        <v>165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165</v>
      </c>
      <c r="J6" t="s">
        <v>33</v>
      </c>
      <c r="L6" t="s">
        <v>26</v>
      </c>
    </row>
    <row r="7" spans="1:17" x14ac:dyDescent="0.3">
      <c r="A7" t="s">
        <v>36</v>
      </c>
      <c r="E7" t="s">
        <v>146</v>
      </c>
      <c r="G7" t="s">
        <v>29</v>
      </c>
      <c r="L7" t="s">
        <v>26</v>
      </c>
      <c r="N7" t="s">
        <v>131</v>
      </c>
    </row>
    <row r="8" spans="1:17" x14ac:dyDescent="0.3">
      <c r="A8" t="s">
        <v>41</v>
      </c>
      <c r="E8" t="s">
        <v>146</v>
      </c>
      <c r="Q8" t="s">
        <v>48</v>
      </c>
    </row>
    <row r="9" spans="1:17" x14ac:dyDescent="0.3">
      <c r="A9" t="s">
        <v>49</v>
      </c>
      <c r="E9" t="s">
        <v>146</v>
      </c>
      <c r="Q9" t="s">
        <v>48</v>
      </c>
    </row>
    <row r="10" spans="1:17" x14ac:dyDescent="0.3">
      <c r="A10" t="s">
        <v>53</v>
      </c>
      <c r="C10" t="s">
        <v>372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E18" t="s">
        <v>146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146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0.1111</v>
      </c>
      <c r="C24">
        <f t="shared" si="0"/>
        <v>0.16669999999999999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0.55559999999999998</v>
      </c>
      <c r="H24">
        <f t="shared" si="0"/>
        <v>0.27779999999999999</v>
      </c>
      <c r="I24">
        <f t="shared" si="0"/>
        <v>5.5599999999999997E-2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0.1111</v>
      </c>
      <c r="N24">
        <f t="shared" si="0"/>
        <v>0.16669999999999999</v>
      </c>
      <c r="O24">
        <f t="shared" si="0"/>
        <v>0.1111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346</v>
      </c>
      <c r="G5" t="s">
        <v>165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C6" t="s">
        <v>292</v>
      </c>
      <c r="D6" t="s">
        <v>33</v>
      </c>
      <c r="E6" t="s">
        <v>146</v>
      </c>
      <c r="G6" t="s">
        <v>291</v>
      </c>
      <c r="H6" t="s">
        <v>292</v>
      </c>
      <c r="I6" t="s">
        <v>292</v>
      </c>
      <c r="J6" t="s">
        <v>33</v>
      </c>
      <c r="L6" t="s">
        <v>26</v>
      </c>
      <c r="M6" t="s">
        <v>292</v>
      </c>
      <c r="N6" t="s">
        <v>185</v>
      </c>
      <c r="Q6" t="s">
        <v>292</v>
      </c>
    </row>
    <row r="7" spans="1:17" x14ac:dyDescent="0.3">
      <c r="A7" t="s">
        <v>36</v>
      </c>
      <c r="C7" t="s">
        <v>292</v>
      </c>
      <c r="E7" t="s">
        <v>146</v>
      </c>
      <c r="G7" t="s">
        <v>294</v>
      </c>
      <c r="H7" t="s">
        <v>292</v>
      </c>
      <c r="I7" t="s">
        <v>292</v>
      </c>
      <c r="L7" t="s">
        <v>26</v>
      </c>
      <c r="M7" t="s">
        <v>292</v>
      </c>
      <c r="Q7" t="s">
        <v>292</v>
      </c>
    </row>
    <row r="8" spans="1:17" x14ac:dyDescent="0.3">
      <c r="A8" t="s">
        <v>41</v>
      </c>
      <c r="E8" t="s">
        <v>146</v>
      </c>
      <c r="Q8" t="s">
        <v>48</v>
      </c>
    </row>
    <row r="9" spans="1:17" x14ac:dyDescent="0.3">
      <c r="A9" t="s">
        <v>49</v>
      </c>
      <c r="E9" t="s">
        <v>146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B18" t="s">
        <v>192</v>
      </c>
      <c r="E18" t="s">
        <v>234</v>
      </c>
      <c r="G18" t="s">
        <v>50</v>
      </c>
      <c r="L18" t="s">
        <v>101</v>
      </c>
      <c r="O18" t="s">
        <v>192</v>
      </c>
      <c r="Q18" t="s">
        <v>103</v>
      </c>
    </row>
    <row r="19" spans="1:18" x14ac:dyDescent="0.3">
      <c r="A19" t="s">
        <v>100</v>
      </c>
      <c r="B19" t="s">
        <v>192</v>
      </c>
      <c r="E19" t="s">
        <v>234</v>
      </c>
      <c r="L19" t="s">
        <v>101</v>
      </c>
      <c r="O19" t="s">
        <v>192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0.22220000000000001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0.55559999999999998</v>
      </c>
      <c r="H24">
        <f t="shared" si="0"/>
        <v>0.38890000000000002</v>
      </c>
      <c r="I24">
        <f t="shared" si="0"/>
        <v>0.16669999999999999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0.22220000000000001</v>
      </c>
      <c r="N24">
        <f t="shared" si="0"/>
        <v>0.16669999999999999</v>
      </c>
      <c r="O24">
        <f t="shared" si="0"/>
        <v>0.16669999999999999</v>
      </c>
      <c r="P24">
        <f t="shared" si="0"/>
        <v>0.1111</v>
      </c>
      <c r="Q24">
        <f t="shared" si="0"/>
        <v>0.77780000000000005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323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300</v>
      </c>
      <c r="C5" t="s">
        <v>120</v>
      </c>
      <c r="D5" t="s">
        <v>120</v>
      </c>
      <c r="E5" t="s">
        <v>198</v>
      </c>
      <c r="G5" t="s">
        <v>165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B6" t="s">
        <v>302</v>
      </c>
      <c r="D6" t="s">
        <v>33</v>
      </c>
      <c r="E6" t="s">
        <v>146</v>
      </c>
      <c r="F6" t="s">
        <v>199</v>
      </c>
      <c r="G6" t="s">
        <v>165</v>
      </c>
      <c r="J6" t="s">
        <v>303</v>
      </c>
      <c r="L6" t="s">
        <v>26</v>
      </c>
    </row>
    <row r="7" spans="1:17" x14ac:dyDescent="0.3">
      <c r="A7" t="s">
        <v>36</v>
      </c>
      <c r="B7" t="s">
        <v>323</v>
      </c>
      <c r="E7" t="s">
        <v>146</v>
      </c>
      <c r="G7" t="s">
        <v>29</v>
      </c>
      <c r="J7" t="s">
        <v>373</v>
      </c>
      <c r="L7" t="s">
        <v>26</v>
      </c>
    </row>
    <row r="8" spans="1:17" x14ac:dyDescent="0.3">
      <c r="A8" t="s">
        <v>41</v>
      </c>
      <c r="B8" t="s">
        <v>323</v>
      </c>
      <c r="E8" t="s">
        <v>146</v>
      </c>
      <c r="Q8" t="s">
        <v>48</v>
      </c>
    </row>
    <row r="9" spans="1:17" x14ac:dyDescent="0.3">
      <c r="A9" t="s">
        <v>49</v>
      </c>
      <c r="B9" t="s">
        <v>323</v>
      </c>
      <c r="E9" t="s">
        <v>146</v>
      </c>
      <c r="Q9" t="s">
        <v>48</v>
      </c>
    </row>
    <row r="10" spans="1:17" x14ac:dyDescent="0.3">
      <c r="A10" t="s">
        <v>53</v>
      </c>
      <c r="B10" t="s">
        <v>323</v>
      </c>
      <c r="H10" t="s">
        <v>57</v>
      </c>
      <c r="Q10" t="s">
        <v>48</v>
      </c>
    </row>
    <row r="11" spans="1:17" x14ac:dyDescent="0.3">
      <c r="A11" t="s">
        <v>58</v>
      </c>
      <c r="B11" t="s">
        <v>323</v>
      </c>
      <c r="H11" t="s">
        <v>57</v>
      </c>
      <c r="Q11" t="s">
        <v>48</v>
      </c>
    </row>
    <row r="12" spans="1:17" x14ac:dyDescent="0.3">
      <c r="A12" t="s">
        <v>62</v>
      </c>
      <c r="B12" t="s">
        <v>323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B13" t="s">
        <v>323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B14" t="s">
        <v>323</v>
      </c>
      <c r="G14" t="s">
        <v>222</v>
      </c>
      <c r="Q14" t="s">
        <v>73</v>
      </c>
    </row>
    <row r="15" spans="1:17" x14ac:dyDescent="0.3">
      <c r="A15" t="s">
        <v>80</v>
      </c>
      <c r="B15" t="s">
        <v>323</v>
      </c>
      <c r="G15" t="s">
        <v>222</v>
      </c>
      <c r="Q15" t="s">
        <v>73</v>
      </c>
    </row>
    <row r="16" spans="1:17" x14ac:dyDescent="0.3">
      <c r="A16" t="s">
        <v>84</v>
      </c>
      <c r="B16" t="s">
        <v>323</v>
      </c>
    </row>
    <row r="17" spans="1:18" x14ac:dyDescent="0.3">
      <c r="A17" t="s">
        <v>90</v>
      </c>
      <c r="B17" t="s">
        <v>323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0.83330000000000004</v>
      </c>
      <c r="C24">
        <f t="shared" si="0"/>
        <v>0.1111</v>
      </c>
      <c r="D24">
        <f t="shared" si="0"/>
        <v>0.16669999999999999</v>
      </c>
      <c r="E24">
        <f t="shared" si="0"/>
        <v>0.5</v>
      </c>
      <c r="F24">
        <f t="shared" si="0"/>
        <v>0.1111</v>
      </c>
      <c r="G24">
        <f t="shared" si="0"/>
        <v>0.55559999999999998</v>
      </c>
      <c r="H24">
        <f t="shared" si="0"/>
        <v>0.27779999999999999</v>
      </c>
      <c r="I24">
        <f t="shared" si="0"/>
        <v>5.5599999999999997E-2</v>
      </c>
      <c r="J24">
        <f t="shared" si="0"/>
        <v>0.22220000000000001</v>
      </c>
      <c r="K24">
        <f t="shared" si="0"/>
        <v>0.1111</v>
      </c>
      <c r="L24">
        <f t="shared" si="0"/>
        <v>0.38890000000000002</v>
      </c>
      <c r="M24">
        <f t="shared" si="0"/>
        <v>0.1111</v>
      </c>
      <c r="N24">
        <f t="shared" si="0"/>
        <v>0.1111</v>
      </c>
      <c r="O24">
        <f t="shared" si="0"/>
        <v>5.5599999999999997E-2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E5" t="s">
        <v>146</v>
      </c>
      <c r="G5" t="s">
        <v>29</v>
      </c>
      <c r="L5" t="s">
        <v>26</v>
      </c>
    </row>
    <row r="6" spans="1:17" x14ac:dyDescent="0.3">
      <c r="A6" t="s">
        <v>32</v>
      </c>
      <c r="B6" t="s">
        <v>332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E7" t="s">
        <v>146</v>
      </c>
      <c r="L7" t="s">
        <v>26</v>
      </c>
    </row>
    <row r="8" spans="1:17" x14ac:dyDescent="0.3">
      <c r="A8" t="s">
        <v>41</v>
      </c>
      <c r="Q8" t="s">
        <v>48</v>
      </c>
    </row>
    <row r="9" spans="1:17" x14ac:dyDescent="0.3">
      <c r="A9" t="s">
        <v>49</v>
      </c>
      <c r="D9" t="s">
        <v>374</v>
      </c>
      <c r="E9" t="s">
        <v>374</v>
      </c>
      <c r="I9" t="s">
        <v>374</v>
      </c>
      <c r="J9" t="s">
        <v>374</v>
      </c>
      <c r="Q9" t="s">
        <v>48</v>
      </c>
    </row>
    <row r="10" spans="1:17" x14ac:dyDescent="0.3">
      <c r="A10" t="s">
        <v>53</v>
      </c>
      <c r="B10" t="s">
        <v>375</v>
      </c>
      <c r="G10" t="s">
        <v>376</v>
      </c>
      <c r="H10" t="s">
        <v>57</v>
      </c>
      <c r="K10" t="s">
        <v>375</v>
      </c>
      <c r="N10" t="s">
        <v>375</v>
      </c>
      <c r="Q10" t="s">
        <v>48</v>
      </c>
    </row>
    <row r="11" spans="1:17" x14ac:dyDescent="0.3">
      <c r="A11" t="s">
        <v>58</v>
      </c>
      <c r="H11" t="s">
        <v>57</v>
      </c>
      <c r="Q11" t="s">
        <v>48</v>
      </c>
    </row>
    <row r="12" spans="1:17" x14ac:dyDescent="0.3">
      <c r="A12" t="s">
        <v>62</v>
      </c>
      <c r="H12" t="s">
        <v>57</v>
      </c>
      <c r="Q12" t="s">
        <v>48</v>
      </c>
    </row>
    <row r="13" spans="1:17" x14ac:dyDescent="0.3">
      <c r="A13" t="s">
        <v>67</v>
      </c>
      <c r="H13" t="s">
        <v>57</v>
      </c>
      <c r="Q13" t="s">
        <v>73</v>
      </c>
    </row>
    <row r="14" spans="1:17" x14ac:dyDescent="0.3">
      <c r="A14" t="s">
        <v>74</v>
      </c>
      <c r="B14" t="s">
        <v>63</v>
      </c>
      <c r="C14" t="s">
        <v>63</v>
      </c>
      <c r="D14" t="s">
        <v>63</v>
      </c>
      <c r="E14" t="s">
        <v>63</v>
      </c>
      <c r="F14" t="s">
        <v>63</v>
      </c>
      <c r="K14" t="s">
        <v>63</v>
      </c>
      <c r="L14" t="s">
        <v>63</v>
      </c>
      <c r="M14" t="s">
        <v>63</v>
      </c>
      <c r="N14" t="s">
        <v>63</v>
      </c>
      <c r="P14" t="s">
        <v>63</v>
      </c>
      <c r="Q14" t="s">
        <v>338</v>
      </c>
    </row>
    <row r="15" spans="1:17" x14ac:dyDescent="0.3">
      <c r="A15" t="s">
        <v>80</v>
      </c>
      <c r="B15" t="s">
        <v>63</v>
      </c>
      <c r="C15" t="s">
        <v>63</v>
      </c>
      <c r="D15" t="s">
        <v>63</v>
      </c>
      <c r="E15" t="s">
        <v>63</v>
      </c>
      <c r="F15" t="s">
        <v>63</v>
      </c>
      <c r="K15" t="s">
        <v>63</v>
      </c>
      <c r="L15" t="s">
        <v>63</v>
      </c>
      <c r="M15" t="s">
        <v>63</v>
      </c>
      <c r="N15" t="s">
        <v>63</v>
      </c>
      <c r="P15" t="s">
        <v>63</v>
      </c>
      <c r="Q15" t="s">
        <v>338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0.27779999999999999</v>
      </c>
      <c r="C24">
        <f t="shared" si="0"/>
        <v>0.16669999999999999</v>
      </c>
      <c r="D24">
        <f t="shared" si="0"/>
        <v>0.27779999999999999</v>
      </c>
      <c r="E24">
        <f t="shared" si="0"/>
        <v>0.55559999999999998</v>
      </c>
      <c r="F24">
        <f t="shared" si="0"/>
        <v>0.16669999999999999</v>
      </c>
      <c r="G24">
        <f t="shared" si="0"/>
        <v>0.33329999999999999</v>
      </c>
      <c r="H24">
        <f t="shared" si="0"/>
        <v>0.27779999999999999</v>
      </c>
      <c r="I24">
        <f t="shared" si="0"/>
        <v>0.1111</v>
      </c>
      <c r="J24">
        <f t="shared" si="0"/>
        <v>0.16669999999999999</v>
      </c>
      <c r="K24">
        <f t="shared" si="0"/>
        <v>0.22220000000000001</v>
      </c>
      <c r="L24">
        <f t="shared" si="0"/>
        <v>0.5</v>
      </c>
      <c r="M24">
        <f t="shared" si="0"/>
        <v>0.16669999999999999</v>
      </c>
      <c r="N24">
        <f t="shared" si="0"/>
        <v>0.22220000000000001</v>
      </c>
      <c r="O24">
        <f t="shared" si="0"/>
        <v>5.5599999999999997E-2</v>
      </c>
      <c r="P24">
        <f t="shared" si="0"/>
        <v>0.16669999999999999</v>
      </c>
      <c r="Q24">
        <f t="shared" si="0"/>
        <v>0.61109999999999998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  <c r="E4" t="s">
        <v>377</v>
      </c>
      <c r="O4" t="s">
        <v>299</v>
      </c>
    </row>
    <row r="5" spans="1:17" x14ac:dyDescent="0.3">
      <c r="A5" t="s">
        <v>27</v>
      </c>
      <c r="E5" t="s">
        <v>377</v>
      </c>
      <c r="O5" t="s">
        <v>299</v>
      </c>
    </row>
    <row r="6" spans="1:17" x14ac:dyDescent="0.3">
      <c r="A6" t="s">
        <v>32</v>
      </c>
      <c r="O6" t="s">
        <v>299</v>
      </c>
    </row>
    <row r="7" spans="1:17" x14ac:dyDescent="0.3">
      <c r="A7" t="s">
        <v>36</v>
      </c>
      <c r="O7" t="s">
        <v>299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0.1111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0.22220000000000001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3" width="35" customWidth="1"/>
    <col min="14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21</v>
      </c>
      <c r="C3" t="s">
        <v>22</v>
      </c>
      <c r="D3" t="s">
        <v>22</v>
      </c>
      <c r="E3" t="s">
        <v>22</v>
      </c>
      <c r="F3" t="s">
        <v>22</v>
      </c>
      <c r="G3" t="s">
        <v>21</v>
      </c>
      <c r="H3" t="s">
        <v>22</v>
      </c>
      <c r="I3" t="s">
        <v>21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25</v>
      </c>
      <c r="E4" t="s">
        <v>146</v>
      </c>
      <c r="F4" t="s">
        <v>25</v>
      </c>
      <c r="L4" t="s">
        <v>26</v>
      </c>
      <c r="N4" t="s">
        <v>340</v>
      </c>
    </row>
    <row r="5" spans="1:17" x14ac:dyDescent="0.3">
      <c r="A5" t="s">
        <v>27</v>
      </c>
      <c r="B5" t="s">
        <v>25</v>
      </c>
      <c r="E5" t="s">
        <v>146</v>
      </c>
      <c r="F5" t="s">
        <v>25</v>
      </c>
      <c r="G5" t="s">
        <v>29</v>
      </c>
      <c r="L5" t="s">
        <v>26</v>
      </c>
      <c r="N5" t="s">
        <v>340</v>
      </c>
    </row>
    <row r="6" spans="1:17" x14ac:dyDescent="0.3">
      <c r="A6" t="s">
        <v>32</v>
      </c>
      <c r="B6" t="s">
        <v>25</v>
      </c>
      <c r="D6" t="s">
        <v>33</v>
      </c>
      <c r="E6" t="s">
        <v>146</v>
      </c>
      <c r="F6" t="s">
        <v>25</v>
      </c>
      <c r="G6" t="s">
        <v>29</v>
      </c>
      <c r="J6" t="s">
        <v>33</v>
      </c>
      <c r="L6" t="s">
        <v>26</v>
      </c>
      <c r="N6" t="s">
        <v>25</v>
      </c>
    </row>
    <row r="7" spans="1:17" x14ac:dyDescent="0.3">
      <c r="A7" t="s">
        <v>36</v>
      </c>
      <c r="E7" t="s">
        <v>146</v>
      </c>
      <c r="L7" t="s">
        <v>26</v>
      </c>
    </row>
    <row r="8" spans="1:17" x14ac:dyDescent="0.3">
      <c r="A8" t="s">
        <v>41</v>
      </c>
      <c r="E8" t="s">
        <v>146</v>
      </c>
      <c r="G8" t="s">
        <v>266</v>
      </c>
      <c r="Q8" t="s">
        <v>48</v>
      </c>
    </row>
    <row r="9" spans="1:17" x14ac:dyDescent="0.3">
      <c r="A9" t="s">
        <v>49</v>
      </c>
      <c r="D9" t="s">
        <v>341</v>
      </c>
      <c r="E9" t="s">
        <v>146</v>
      </c>
      <c r="G9" t="s">
        <v>266</v>
      </c>
      <c r="I9" t="s">
        <v>52</v>
      </c>
      <c r="Q9" t="s">
        <v>48</v>
      </c>
    </row>
    <row r="10" spans="1:17" x14ac:dyDescent="0.3">
      <c r="A10" t="s">
        <v>53</v>
      </c>
      <c r="C10" t="s">
        <v>55</v>
      </c>
      <c r="E10" t="s">
        <v>146</v>
      </c>
      <c r="G10" t="s">
        <v>56</v>
      </c>
      <c r="H10" t="s">
        <v>57</v>
      </c>
      <c r="Q10" t="s">
        <v>48</v>
      </c>
    </row>
    <row r="11" spans="1:17" x14ac:dyDescent="0.3">
      <c r="A11" t="s">
        <v>58</v>
      </c>
      <c r="E11" t="s">
        <v>342</v>
      </c>
      <c r="G11" t="s">
        <v>60</v>
      </c>
      <c r="H11" t="s">
        <v>57</v>
      </c>
      <c r="Q11" t="s">
        <v>48</v>
      </c>
    </row>
    <row r="12" spans="1:17" x14ac:dyDescent="0.3">
      <c r="A12" t="s">
        <v>62</v>
      </c>
      <c r="G12" t="s">
        <v>60</v>
      </c>
      <c r="H12" t="s">
        <v>57</v>
      </c>
      <c r="Q12" t="s">
        <v>48</v>
      </c>
    </row>
    <row r="13" spans="1:17" x14ac:dyDescent="0.3">
      <c r="A13" t="s">
        <v>67</v>
      </c>
      <c r="F13" t="s">
        <v>343</v>
      </c>
      <c r="G13" t="s">
        <v>60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76</v>
      </c>
      <c r="Q14" t="s">
        <v>73</v>
      </c>
    </row>
    <row r="15" spans="1:17" x14ac:dyDescent="0.3">
      <c r="A15" t="s">
        <v>80</v>
      </c>
      <c r="E15" t="s">
        <v>146</v>
      </c>
      <c r="Q15" t="s">
        <v>73</v>
      </c>
    </row>
    <row r="16" spans="1:17" x14ac:dyDescent="0.3">
      <c r="A16" t="s">
        <v>84</v>
      </c>
      <c r="E16" t="s">
        <v>146</v>
      </c>
      <c r="I16" t="s">
        <v>363</v>
      </c>
    </row>
    <row r="17" spans="1:18" x14ac:dyDescent="0.3">
      <c r="A17" t="s">
        <v>90</v>
      </c>
      <c r="E17" t="s">
        <v>146</v>
      </c>
      <c r="I17" t="s">
        <v>363</v>
      </c>
    </row>
    <row r="18" spans="1:18" x14ac:dyDescent="0.3">
      <c r="A18" t="s">
        <v>94</v>
      </c>
      <c r="L18" t="s">
        <v>101</v>
      </c>
      <c r="Q18" t="s">
        <v>103</v>
      </c>
    </row>
    <row r="19" spans="1:18" x14ac:dyDescent="0.3">
      <c r="A19" t="s">
        <v>100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0.72219999999999995</v>
      </c>
      <c r="F24">
        <f t="shared" si="0"/>
        <v>0.27779999999999999</v>
      </c>
      <c r="G24">
        <f t="shared" si="0"/>
        <v>0.55559999999999998</v>
      </c>
      <c r="H24">
        <f t="shared" si="0"/>
        <v>0.27779999999999999</v>
      </c>
      <c r="I24">
        <f t="shared" si="0"/>
        <v>0.22220000000000001</v>
      </c>
      <c r="J24">
        <f t="shared" si="0"/>
        <v>0.1111</v>
      </c>
      <c r="K24">
        <f t="shared" si="0"/>
        <v>5.5599999999999997E-2</v>
      </c>
      <c r="L24">
        <f t="shared" si="0"/>
        <v>0.38890000000000002</v>
      </c>
      <c r="M24">
        <f t="shared" si="0"/>
        <v>5.5599999999999997E-2</v>
      </c>
      <c r="N24">
        <f t="shared" si="0"/>
        <v>0.22220000000000001</v>
      </c>
      <c r="O24">
        <f t="shared" si="0"/>
        <v>5.5599999999999997E-2</v>
      </c>
      <c r="P24">
        <f t="shared" si="0"/>
        <v>5.5599999999999997E-2</v>
      </c>
      <c r="Q24">
        <f t="shared" si="0"/>
        <v>0.61109999999999998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364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198</v>
      </c>
      <c r="G5" t="s">
        <v>29</v>
      </c>
      <c r="I5" t="s">
        <v>122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  <c r="Q6" t="s">
        <v>125</v>
      </c>
    </row>
    <row r="7" spans="1:17" x14ac:dyDescent="0.3">
      <c r="A7" t="s">
        <v>36</v>
      </c>
      <c r="B7" t="s">
        <v>126</v>
      </c>
      <c r="E7" t="s">
        <v>345</v>
      </c>
      <c r="L7" t="s">
        <v>26</v>
      </c>
      <c r="N7" t="s">
        <v>131</v>
      </c>
      <c r="O7" t="s">
        <v>126</v>
      </c>
    </row>
    <row r="8" spans="1:17" x14ac:dyDescent="0.3">
      <c r="A8" t="s">
        <v>41</v>
      </c>
      <c r="B8" t="s">
        <v>126</v>
      </c>
      <c r="E8" t="s">
        <v>345</v>
      </c>
      <c r="O8" t="s">
        <v>126</v>
      </c>
      <c r="Q8" t="s">
        <v>48</v>
      </c>
    </row>
    <row r="9" spans="1:17" x14ac:dyDescent="0.3">
      <c r="A9" t="s">
        <v>49</v>
      </c>
      <c r="E9" t="s">
        <v>146</v>
      </c>
      <c r="I9" t="s">
        <v>280</v>
      </c>
      <c r="J9" t="s">
        <v>365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I10" t="s">
        <v>280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K13" t="s">
        <v>147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L14" t="s">
        <v>366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E18" t="s">
        <v>146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146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</v>
      </c>
      <c r="H24">
        <f t="shared" si="0"/>
        <v>0.27779999999999999</v>
      </c>
      <c r="I24">
        <f t="shared" si="0"/>
        <v>0.22220000000000001</v>
      </c>
      <c r="J24">
        <f t="shared" si="0"/>
        <v>0.22220000000000001</v>
      </c>
      <c r="K24">
        <f t="shared" si="0"/>
        <v>0.16669999999999999</v>
      </c>
      <c r="L24">
        <f t="shared" si="0"/>
        <v>0.44440000000000002</v>
      </c>
      <c r="M24">
        <f t="shared" si="0"/>
        <v>0.1111</v>
      </c>
      <c r="N24">
        <f t="shared" si="0"/>
        <v>0.16669999999999999</v>
      </c>
      <c r="O24">
        <f t="shared" si="0"/>
        <v>0.16669999999999999</v>
      </c>
      <c r="P24">
        <f t="shared" si="0"/>
        <v>0.1111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346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  <c r="N6" t="s">
        <v>185</v>
      </c>
    </row>
    <row r="7" spans="1:17" x14ac:dyDescent="0.3">
      <c r="A7" t="s">
        <v>36</v>
      </c>
      <c r="E7" t="s">
        <v>146</v>
      </c>
      <c r="L7" t="s">
        <v>26</v>
      </c>
    </row>
    <row r="8" spans="1:17" x14ac:dyDescent="0.3">
      <c r="A8" t="s">
        <v>41</v>
      </c>
      <c r="E8" t="s">
        <v>146</v>
      </c>
      <c r="Q8" t="s">
        <v>48</v>
      </c>
    </row>
    <row r="9" spans="1:17" x14ac:dyDescent="0.3">
      <c r="A9" t="s">
        <v>49</v>
      </c>
      <c r="E9" t="s">
        <v>146</v>
      </c>
      <c r="O9" t="s">
        <v>178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B18" t="s">
        <v>192</v>
      </c>
      <c r="E18" t="s">
        <v>234</v>
      </c>
      <c r="G18" t="s">
        <v>50</v>
      </c>
      <c r="L18" t="s">
        <v>101</v>
      </c>
      <c r="O18" t="s">
        <v>192</v>
      </c>
      <c r="Q18" t="s">
        <v>103</v>
      </c>
    </row>
    <row r="19" spans="1:18" x14ac:dyDescent="0.3">
      <c r="A19" t="s">
        <v>100</v>
      </c>
      <c r="B19" t="s">
        <v>192</v>
      </c>
      <c r="E19" t="s">
        <v>234</v>
      </c>
      <c r="L19" t="s">
        <v>101</v>
      </c>
      <c r="O19" t="s">
        <v>192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</v>
      </c>
      <c r="H24">
        <f t="shared" si="0"/>
        <v>0.27779999999999999</v>
      </c>
      <c r="I24">
        <f t="shared" si="0"/>
        <v>5.5599999999999997E-2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0.1111</v>
      </c>
      <c r="N24">
        <f t="shared" si="0"/>
        <v>0.16669999999999999</v>
      </c>
      <c r="O24">
        <f t="shared" si="0"/>
        <v>0.22220000000000001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323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300</v>
      </c>
      <c r="C5" t="s">
        <v>120</v>
      </c>
      <c r="D5" t="s">
        <v>120</v>
      </c>
      <c r="E5" t="s">
        <v>198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B6" t="s">
        <v>302</v>
      </c>
      <c r="D6" t="s">
        <v>33</v>
      </c>
      <c r="E6" t="s">
        <v>146</v>
      </c>
      <c r="F6" t="s">
        <v>199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B7" t="s">
        <v>323</v>
      </c>
      <c r="E7" t="s">
        <v>146</v>
      </c>
      <c r="L7" t="s">
        <v>26</v>
      </c>
    </row>
    <row r="8" spans="1:17" x14ac:dyDescent="0.3">
      <c r="A8" t="s">
        <v>41</v>
      </c>
      <c r="B8" t="s">
        <v>323</v>
      </c>
      <c r="E8" t="s">
        <v>146</v>
      </c>
      <c r="Q8" t="s">
        <v>48</v>
      </c>
    </row>
    <row r="9" spans="1:17" x14ac:dyDescent="0.3">
      <c r="A9" t="s">
        <v>49</v>
      </c>
      <c r="B9" t="s">
        <v>323</v>
      </c>
      <c r="E9" t="s">
        <v>146</v>
      </c>
      <c r="Q9" t="s">
        <v>48</v>
      </c>
    </row>
    <row r="10" spans="1:17" x14ac:dyDescent="0.3">
      <c r="A10" t="s">
        <v>53</v>
      </c>
      <c r="B10" t="s">
        <v>323</v>
      </c>
      <c r="H10" t="s">
        <v>57</v>
      </c>
      <c r="Q10" t="s">
        <v>48</v>
      </c>
    </row>
    <row r="11" spans="1:17" x14ac:dyDescent="0.3">
      <c r="A11" t="s">
        <v>58</v>
      </c>
      <c r="B11" t="s">
        <v>323</v>
      </c>
      <c r="H11" t="s">
        <v>57</v>
      </c>
      <c r="Q11" t="s">
        <v>48</v>
      </c>
    </row>
    <row r="12" spans="1:17" x14ac:dyDescent="0.3">
      <c r="A12" t="s">
        <v>62</v>
      </c>
      <c r="B12" t="s">
        <v>323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B13" t="s">
        <v>323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B14" t="s">
        <v>323</v>
      </c>
      <c r="G14" t="s">
        <v>222</v>
      </c>
      <c r="Q14" t="s">
        <v>73</v>
      </c>
    </row>
    <row r="15" spans="1:17" x14ac:dyDescent="0.3">
      <c r="A15" t="s">
        <v>80</v>
      </c>
      <c r="B15" t="s">
        <v>323</v>
      </c>
      <c r="G15" t="s">
        <v>222</v>
      </c>
      <c r="Q15" t="s">
        <v>73</v>
      </c>
    </row>
    <row r="16" spans="1:17" x14ac:dyDescent="0.3">
      <c r="A16" t="s">
        <v>84</v>
      </c>
      <c r="B16" t="s">
        <v>323</v>
      </c>
    </row>
    <row r="17" spans="1:18" x14ac:dyDescent="0.3">
      <c r="A17" t="s">
        <v>90</v>
      </c>
      <c r="B17" t="s">
        <v>378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0.83330000000000004</v>
      </c>
      <c r="C24">
        <f t="shared" si="0"/>
        <v>0.1111</v>
      </c>
      <c r="D24">
        <f t="shared" si="0"/>
        <v>0.16669999999999999</v>
      </c>
      <c r="E24">
        <f t="shared" si="0"/>
        <v>0.5</v>
      </c>
      <c r="F24">
        <f t="shared" si="0"/>
        <v>0.1111</v>
      </c>
      <c r="G24">
        <f t="shared" si="0"/>
        <v>0.5</v>
      </c>
      <c r="H24">
        <f t="shared" si="0"/>
        <v>0.27779999999999999</v>
      </c>
      <c r="I24">
        <f t="shared" si="0"/>
        <v>5.5599999999999997E-2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0.1111</v>
      </c>
      <c r="N24">
        <f t="shared" si="0"/>
        <v>0.1111</v>
      </c>
      <c r="O24">
        <f t="shared" si="0"/>
        <v>5.5599999999999997E-2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238</v>
      </c>
      <c r="D5" t="s">
        <v>238</v>
      </c>
      <c r="E5" t="s">
        <v>360</v>
      </c>
      <c r="F5" t="s">
        <v>238</v>
      </c>
      <c r="G5" t="s">
        <v>29</v>
      </c>
      <c r="I5" t="s">
        <v>238</v>
      </c>
      <c r="J5" t="s">
        <v>238</v>
      </c>
      <c r="L5" t="s">
        <v>26</v>
      </c>
      <c r="O5" t="s">
        <v>238</v>
      </c>
    </row>
    <row r="6" spans="1:17" x14ac:dyDescent="0.3">
      <c r="A6" t="s">
        <v>32</v>
      </c>
      <c r="B6" t="s">
        <v>332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E7" t="s">
        <v>146</v>
      </c>
      <c r="L7" t="s">
        <v>26</v>
      </c>
    </row>
    <row r="8" spans="1:17" x14ac:dyDescent="0.3">
      <c r="A8" t="s">
        <v>41</v>
      </c>
      <c r="Q8" t="s">
        <v>48</v>
      </c>
    </row>
    <row r="9" spans="1:17" x14ac:dyDescent="0.3">
      <c r="A9" t="s">
        <v>49</v>
      </c>
      <c r="Q9" t="s">
        <v>48</v>
      </c>
    </row>
    <row r="10" spans="1:17" x14ac:dyDescent="0.3">
      <c r="A10" t="s">
        <v>53</v>
      </c>
      <c r="B10" t="s">
        <v>375</v>
      </c>
      <c r="G10" t="s">
        <v>376</v>
      </c>
      <c r="H10" t="s">
        <v>57</v>
      </c>
      <c r="K10" t="s">
        <v>375</v>
      </c>
      <c r="N10" t="s">
        <v>375</v>
      </c>
      <c r="Q10" t="s">
        <v>48</v>
      </c>
    </row>
    <row r="11" spans="1:17" x14ac:dyDescent="0.3">
      <c r="A11" t="s">
        <v>58</v>
      </c>
      <c r="H11" t="s">
        <v>57</v>
      </c>
      <c r="Q11" t="s">
        <v>48</v>
      </c>
    </row>
    <row r="12" spans="1:17" x14ac:dyDescent="0.3">
      <c r="A12" t="s">
        <v>62</v>
      </c>
      <c r="H12" t="s">
        <v>57</v>
      </c>
      <c r="Q12" t="s">
        <v>48</v>
      </c>
    </row>
    <row r="13" spans="1:17" x14ac:dyDescent="0.3">
      <c r="A13" t="s">
        <v>67</v>
      </c>
      <c r="H13" t="s">
        <v>57</v>
      </c>
      <c r="Q13" t="s">
        <v>73</v>
      </c>
    </row>
    <row r="14" spans="1:17" x14ac:dyDescent="0.3">
      <c r="A14" t="s">
        <v>74</v>
      </c>
      <c r="Q14" t="s">
        <v>73</v>
      </c>
    </row>
    <row r="15" spans="1:17" x14ac:dyDescent="0.3">
      <c r="A15" t="s">
        <v>80</v>
      </c>
      <c r="Q15" t="s">
        <v>73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5.5599999999999997E-2</v>
      </c>
      <c r="D24">
        <f t="shared" si="0"/>
        <v>0.16669999999999999</v>
      </c>
      <c r="E24">
        <f t="shared" si="0"/>
        <v>0.38890000000000002</v>
      </c>
      <c r="F24">
        <f t="shared" si="0"/>
        <v>0.1111</v>
      </c>
      <c r="G24">
        <f t="shared" si="0"/>
        <v>0.33329999999999999</v>
      </c>
      <c r="H24">
        <f t="shared" si="0"/>
        <v>0.27779999999999999</v>
      </c>
      <c r="I24">
        <f t="shared" si="0"/>
        <v>0.1111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5.5599999999999997E-2</v>
      </c>
      <c r="N24">
        <f t="shared" si="0"/>
        <v>0.1111</v>
      </c>
      <c r="O24">
        <f t="shared" si="0"/>
        <v>0.1111</v>
      </c>
      <c r="P24">
        <f t="shared" si="0"/>
        <v>5.5599999999999997E-2</v>
      </c>
      <c r="Q24">
        <f t="shared" si="0"/>
        <v>0.61109999999999998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R68"/>
  <sheetViews>
    <sheetView workbookViewId="0"/>
  </sheetViews>
  <sheetFormatPr defaultRowHeight="14.4" x14ac:dyDescent="0.3"/>
  <cols>
    <col min="1" max="1" width="20" customWidth="1"/>
    <col min="2" max="12" width="50" customWidth="1"/>
    <col min="13" max="13" width="42" customWidth="1"/>
    <col min="14" max="14" width="35" customWidth="1"/>
    <col min="15" max="16" width="50" customWidth="1"/>
    <col min="17" max="17" width="42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21</v>
      </c>
      <c r="C3" t="s">
        <v>22</v>
      </c>
      <c r="D3" t="s">
        <v>22</v>
      </c>
      <c r="E3" t="s">
        <v>22</v>
      </c>
      <c r="F3" t="s">
        <v>22</v>
      </c>
      <c r="G3" t="s">
        <v>21</v>
      </c>
      <c r="H3" t="s">
        <v>22</v>
      </c>
      <c r="I3" t="s">
        <v>21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25</v>
      </c>
      <c r="E4" t="s">
        <v>379</v>
      </c>
      <c r="F4" t="s">
        <v>25</v>
      </c>
      <c r="L4" t="s">
        <v>26</v>
      </c>
      <c r="N4" t="s">
        <v>25</v>
      </c>
    </row>
    <row r="5" spans="1:17" x14ac:dyDescent="0.3">
      <c r="A5" t="s">
        <v>27</v>
      </c>
      <c r="B5" t="s">
        <v>25</v>
      </c>
      <c r="E5" t="s">
        <v>146</v>
      </c>
      <c r="F5" t="s">
        <v>25</v>
      </c>
      <c r="G5" t="s">
        <v>29</v>
      </c>
      <c r="L5" t="s">
        <v>26</v>
      </c>
      <c r="N5" t="s">
        <v>25</v>
      </c>
    </row>
    <row r="6" spans="1:17" x14ac:dyDescent="0.3">
      <c r="A6" t="s">
        <v>32</v>
      </c>
      <c r="B6" t="s">
        <v>25</v>
      </c>
      <c r="D6" t="s">
        <v>33</v>
      </c>
      <c r="E6" t="s">
        <v>146</v>
      </c>
      <c r="F6" t="s">
        <v>25</v>
      </c>
      <c r="G6" t="s">
        <v>29</v>
      </c>
      <c r="J6" t="s">
        <v>33</v>
      </c>
      <c r="L6" t="s">
        <v>26</v>
      </c>
      <c r="N6" t="s">
        <v>25</v>
      </c>
    </row>
    <row r="7" spans="1:17" x14ac:dyDescent="0.3">
      <c r="A7" t="s">
        <v>36</v>
      </c>
      <c r="E7" t="s">
        <v>146</v>
      </c>
      <c r="L7" t="s">
        <v>26</v>
      </c>
    </row>
    <row r="8" spans="1:17" x14ac:dyDescent="0.3">
      <c r="A8" t="s">
        <v>41</v>
      </c>
      <c r="E8" t="s">
        <v>146</v>
      </c>
      <c r="G8" t="s">
        <v>266</v>
      </c>
      <c r="Q8" t="s">
        <v>48</v>
      </c>
    </row>
    <row r="9" spans="1:17" x14ac:dyDescent="0.3">
      <c r="A9" t="s">
        <v>49</v>
      </c>
      <c r="E9" t="s">
        <v>146</v>
      </c>
      <c r="G9" t="s">
        <v>266</v>
      </c>
      <c r="Q9" t="s">
        <v>48</v>
      </c>
    </row>
    <row r="10" spans="1:17" x14ac:dyDescent="0.3">
      <c r="A10" t="s">
        <v>53</v>
      </c>
      <c r="E10" t="s">
        <v>146</v>
      </c>
      <c r="G10" t="s">
        <v>56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G11" t="s">
        <v>60</v>
      </c>
      <c r="H11" t="s">
        <v>57</v>
      </c>
      <c r="Q11" t="s">
        <v>48</v>
      </c>
    </row>
    <row r="12" spans="1:17" x14ac:dyDescent="0.3">
      <c r="A12" t="s">
        <v>62</v>
      </c>
      <c r="G12" t="s">
        <v>60</v>
      </c>
      <c r="H12" t="s">
        <v>57</v>
      </c>
      <c r="Q12" t="s">
        <v>48</v>
      </c>
    </row>
    <row r="13" spans="1:17" x14ac:dyDescent="0.3">
      <c r="A13" t="s">
        <v>67</v>
      </c>
      <c r="G13" t="s">
        <v>60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Q14" t="s">
        <v>73</v>
      </c>
    </row>
    <row r="15" spans="1:17" x14ac:dyDescent="0.3">
      <c r="A15" t="s">
        <v>80</v>
      </c>
      <c r="E15" t="s">
        <v>146</v>
      </c>
      <c r="I15" t="s">
        <v>269</v>
      </c>
      <c r="Q15" t="s">
        <v>73</v>
      </c>
    </row>
    <row r="16" spans="1:17" x14ac:dyDescent="0.3">
      <c r="A16" t="s">
        <v>84</v>
      </c>
      <c r="B16" t="s">
        <v>351</v>
      </c>
      <c r="E16" t="s">
        <v>352</v>
      </c>
      <c r="F16" t="s">
        <v>351</v>
      </c>
      <c r="H16" t="s">
        <v>351</v>
      </c>
      <c r="I16" t="s">
        <v>269</v>
      </c>
      <c r="L16" t="s">
        <v>351</v>
      </c>
      <c r="M16" t="s">
        <v>351</v>
      </c>
      <c r="O16" t="s">
        <v>351</v>
      </c>
      <c r="P16" t="s">
        <v>351</v>
      </c>
      <c r="Q16" t="s">
        <v>351</v>
      </c>
    </row>
    <row r="17" spans="1:18" x14ac:dyDescent="0.3">
      <c r="A17" t="s">
        <v>90</v>
      </c>
      <c r="B17" t="s">
        <v>351</v>
      </c>
      <c r="E17" t="s">
        <v>352</v>
      </c>
      <c r="F17" t="s">
        <v>351</v>
      </c>
      <c r="H17" t="s">
        <v>351</v>
      </c>
      <c r="I17" t="s">
        <v>273</v>
      </c>
      <c r="L17" t="s">
        <v>351</v>
      </c>
      <c r="M17" t="s">
        <v>351</v>
      </c>
      <c r="O17" t="s">
        <v>351</v>
      </c>
      <c r="P17" t="s">
        <v>351</v>
      </c>
      <c r="Q17" t="s">
        <v>351</v>
      </c>
    </row>
    <row r="18" spans="1:18" x14ac:dyDescent="0.3">
      <c r="A18" t="s">
        <v>94</v>
      </c>
      <c r="L18" t="s">
        <v>101</v>
      </c>
      <c r="Q18" t="s">
        <v>103</v>
      </c>
    </row>
    <row r="19" spans="1:18" x14ac:dyDescent="0.3">
      <c r="A19" t="s">
        <v>100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0.33329999999999999</v>
      </c>
      <c r="C24">
        <f t="shared" si="0"/>
        <v>5.5599999999999997E-2</v>
      </c>
      <c r="D24">
        <f t="shared" si="0"/>
        <v>0.1111</v>
      </c>
      <c r="E24">
        <f t="shared" si="0"/>
        <v>0.72219999999999995</v>
      </c>
      <c r="F24">
        <f t="shared" si="0"/>
        <v>0.33329999999999999</v>
      </c>
      <c r="G24">
        <f t="shared" si="0"/>
        <v>0.5</v>
      </c>
      <c r="H24">
        <f t="shared" si="0"/>
        <v>0.38890000000000002</v>
      </c>
      <c r="I24">
        <f t="shared" si="0"/>
        <v>0.22220000000000001</v>
      </c>
      <c r="J24">
        <f t="shared" si="0"/>
        <v>0.1111</v>
      </c>
      <c r="K24">
        <f t="shared" si="0"/>
        <v>5.5599999999999997E-2</v>
      </c>
      <c r="L24">
        <f t="shared" si="0"/>
        <v>0.5</v>
      </c>
      <c r="M24">
        <f t="shared" si="0"/>
        <v>0.16669999999999999</v>
      </c>
      <c r="N24">
        <f t="shared" si="0"/>
        <v>0.22220000000000001</v>
      </c>
      <c r="O24">
        <f t="shared" si="0"/>
        <v>0.16669999999999999</v>
      </c>
      <c r="P24">
        <f t="shared" si="0"/>
        <v>0.16669999999999999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198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E7" t="s">
        <v>146</v>
      </c>
      <c r="L7" t="s">
        <v>26</v>
      </c>
      <c r="N7" t="s">
        <v>131</v>
      </c>
    </row>
    <row r="8" spans="1:17" x14ac:dyDescent="0.3">
      <c r="A8" t="s">
        <v>41</v>
      </c>
      <c r="E8" t="s">
        <v>146</v>
      </c>
      <c r="Q8" t="s">
        <v>48</v>
      </c>
    </row>
    <row r="9" spans="1:17" x14ac:dyDescent="0.3">
      <c r="A9" t="s">
        <v>49</v>
      </c>
      <c r="E9" t="s">
        <v>146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E18" t="s">
        <v>146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146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0.1111</v>
      </c>
      <c r="C24">
        <f t="shared" si="0"/>
        <v>0.1111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</v>
      </c>
      <c r="H24">
        <f t="shared" si="0"/>
        <v>0.27779999999999999</v>
      </c>
      <c r="I24">
        <f t="shared" si="0"/>
        <v>5.5599999999999997E-2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0.1111</v>
      </c>
      <c r="N24">
        <f t="shared" si="0"/>
        <v>0.16669999999999999</v>
      </c>
      <c r="O24">
        <f t="shared" si="0"/>
        <v>5.5599999999999997E-2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346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C6" t="s">
        <v>292</v>
      </c>
      <c r="D6" t="s">
        <v>33</v>
      </c>
      <c r="E6" t="s">
        <v>146</v>
      </c>
      <c r="G6" t="s">
        <v>294</v>
      </c>
      <c r="H6" t="s">
        <v>292</v>
      </c>
      <c r="I6" t="s">
        <v>292</v>
      </c>
      <c r="J6" t="s">
        <v>33</v>
      </c>
      <c r="L6" t="s">
        <v>26</v>
      </c>
      <c r="M6" t="s">
        <v>292</v>
      </c>
      <c r="N6" t="s">
        <v>185</v>
      </c>
      <c r="Q6" t="s">
        <v>292</v>
      </c>
    </row>
    <row r="7" spans="1:17" x14ac:dyDescent="0.3">
      <c r="A7" t="s">
        <v>36</v>
      </c>
      <c r="C7" t="s">
        <v>292</v>
      </c>
      <c r="E7" t="s">
        <v>146</v>
      </c>
      <c r="G7" t="s">
        <v>292</v>
      </c>
      <c r="H7" t="s">
        <v>292</v>
      </c>
      <c r="I7" t="s">
        <v>292</v>
      </c>
      <c r="L7" t="s">
        <v>26</v>
      </c>
      <c r="M7" t="s">
        <v>292</v>
      </c>
      <c r="Q7" t="s">
        <v>292</v>
      </c>
    </row>
    <row r="8" spans="1:17" x14ac:dyDescent="0.3">
      <c r="A8" t="s">
        <v>41</v>
      </c>
      <c r="E8" t="s">
        <v>146</v>
      </c>
      <c r="Q8" t="s">
        <v>48</v>
      </c>
    </row>
    <row r="9" spans="1:17" x14ac:dyDescent="0.3">
      <c r="A9" t="s">
        <v>49</v>
      </c>
      <c r="E9" t="s">
        <v>347</v>
      </c>
      <c r="K9" t="s">
        <v>348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B18" t="s">
        <v>192</v>
      </c>
      <c r="E18" t="s">
        <v>234</v>
      </c>
      <c r="G18" t="s">
        <v>50</v>
      </c>
      <c r="L18" t="s">
        <v>101</v>
      </c>
      <c r="O18" t="s">
        <v>192</v>
      </c>
      <c r="Q18" t="s">
        <v>103</v>
      </c>
    </row>
    <row r="19" spans="1:18" x14ac:dyDescent="0.3">
      <c r="A19" t="s">
        <v>100</v>
      </c>
      <c r="B19" t="s">
        <v>192</v>
      </c>
      <c r="E19" t="s">
        <v>234</v>
      </c>
      <c r="L19" t="s">
        <v>101</v>
      </c>
      <c r="O19" t="s">
        <v>192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0.22220000000000001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0.55559999999999998</v>
      </c>
      <c r="H24">
        <f t="shared" si="0"/>
        <v>0.38890000000000002</v>
      </c>
      <c r="I24">
        <f t="shared" si="0"/>
        <v>0.16669999999999999</v>
      </c>
      <c r="J24">
        <f t="shared" si="0"/>
        <v>0.16669999999999999</v>
      </c>
      <c r="K24">
        <f t="shared" si="0"/>
        <v>0.16669999999999999</v>
      </c>
      <c r="L24">
        <f t="shared" si="0"/>
        <v>0.38890000000000002</v>
      </c>
      <c r="M24">
        <f t="shared" si="0"/>
        <v>0.22220000000000001</v>
      </c>
      <c r="N24">
        <f t="shared" si="0"/>
        <v>0.16669999999999999</v>
      </c>
      <c r="O24">
        <f t="shared" si="0"/>
        <v>0.16669999999999999</v>
      </c>
      <c r="P24">
        <f t="shared" si="0"/>
        <v>0.1111</v>
      </c>
      <c r="Q24">
        <f t="shared" si="0"/>
        <v>0.77780000000000005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323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300</v>
      </c>
      <c r="C5" t="s">
        <v>120</v>
      </c>
      <c r="D5" t="s">
        <v>120</v>
      </c>
      <c r="E5" t="s">
        <v>198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B6" t="s">
        <v>302</v>
      </c>
      <c r="D6" t="s">
        <v>33</v>
      </c>
      <c r="E6" t="s">
        <v>146</v>
      </c>
      <c r="F6" t="s">
        <v>199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B7" t="s">
        <v>323</v>
      </c>
      <c r="E7" t="s">
        <v>146</v>
      </c>
      <c r="L7" t="s">
        <v>26</v>
      </c>
    </row>
    <row r="8" spans="1:17" x14ac:dyDescent="0.3">
      <c r="A8" t="s">
        <v>41</v>
      </c>
      <c r="B8" t="s">
        <v>323</v>
      </c>
      <c r="E8" t="s">
        <v>146</v>
      </c>
      <c r="Q8" t="s">
        <v>48</v>
      </c>
    </row>
    <row r="9" spans="1:17" x14ac:dyDescent="0.3">
      <c r="A9" t="s">
        <v>49</v>
      </c>
      <c r="B9" t="s">
        <v>323</v>
      </c>
      <c r="E9" t="s">
        <v>146</v>
      </c>
      <c r="Q9" t="s">
        <v>48</v>
      </c>
    </row>
    <row r="10" spans="1:17" x14ac:dyDescent="0.3">
      <c r="A10" t="s">
        <v>53</v>
      </c>
      <c r="B10" t="s">
        <v>323</v>
      </c>
      <c r="H10" t="s">
        <v>57</v>
      </c>
      <c r="Q10" t="s">
        <v>48</v>
      </c>
    </row>
    <row r="11" spans="1:17" x14ac:dyDescent="0.3">
      <c r="A11" t="s">
        <v>58</v>
      </c>
      <c r="B11" t="s">
        <v>323</v>
      </c>
      <c r="H11" t="s">
        <v>57</v>
      </c>
      <c r="Q11" t="s">
        <v>48</v>
      </c>
    </row>
    <row r="12" spans="1:17" x14ac:dyDescent="0.3">
      <c r="A12" t="s">
        <v>62</v>
      </c>
      <c r="B12" t="s">
        <v>323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B13" t="s">
        <v>323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B14" t="s">
        <v>323</v>
      </c>
      <c r="G14" t="s">
        <v>222</v>
      </c>
      <c r="Q14" t="s">
        <v>73</v>
      </c>
    </row>
    <row r="15" spans="1:17" x14ac:dyDescent="0.3">
      <c r="A15" t="s">
        <v>80</v>
      </c>
      <c r="B15" t="s">
        <v>323</v>
      </c>
      <c r="G15" t="s">
        <v>222</v>
      </c>
      <c r="Q15" t="s">
        <v>73</v>
      </c>
    </row>
    <row r="16" spans="1:17" x14ac:dyDescent="0.3">
      <c r="A16" t="s">
        <v>84</v>
      </c>
      <c r="B16" t="s">
        <v>323</v>
      </c>
    </row>
    <row r="17" spans="1:18" x14ac:dyDescent="0.3">
      <c r="A17" t="s">
        <v>90</v>
      </c>
      <c r="B17" t="s">
        <v>323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0.83330000000000004</v>
      </c>
      <c r="C24">
        <f t="shared" si="0"/>
        <v>0.1111</v>
      </c>
      <c r="D24">
        <f t="shared" si="0"/>
        <v>0.16669999999999999</v>
      </c>
      <c r="E24">
        <f t="shared" si="0"/>
        <v>0.5</v>
      </c>
      <c r="F24">
        <f t="shared" si="0"/>
        <v>0.1111</v>
      </c>
      <c r="G24">
        <f t="shared" si="0"/>
        <v>0.5</v>
      </c>
      <c r="H24">
        <f t="shared" si="0"/>
        <v>0.27779999999999999</v>
      </c>
      <c r="I24">
        <f t="shared" si="0"/>
        <v>5.5599999999999997E-2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0.1111</v>
      </c>
      <c r="N24">
        <f t="shared" si="0"/>
        <v>0.1111</v>
      </c>
      <c r="O24">
        <f t="shared" si="0"/>
        <v>5.5599999999999997E-2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E5" t="s">
        <v>146</v>
      </c>
      <c r="G5" t="s">
        <v>29</v>
      </c>
      <c r="L5" t="s">
        <v>26</v>
      </c>
    </row>
    <row r="6" spans="1:17" x14ac:dyDescent="0.3">
      <c r="A6" t="s">
        <v>32</v>
      </c>
      <c r="B6" t="s">
        <v>332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E7" t="s">
        <v>146</v>
      </c>
      <c r="L7" t="s">
        <v>26</v>
      </c>
    </row>
    <row r="8" spans="1:17" x14ac:dyDescent="0.3">
      <c r="A8" t="s">
        <v>41</v>
      </c>
      <c r="Q8" t="s">
        <v>48</v>
      </c>
    </row>
    <row r="9" spans="1:17" x14ac:dyDescent="0.3">
      <c r="A9" t="s">
        <v>49</v>
      </c>
      <c r="Q9" t="s">
        <v>48</v>
      </c>
    </row>
    <row r="10" spans="1:17" x14ac:dyDescent="0.3">
      <c r="A10" t="s">
        <v>53</v>
      </c>
      <c r="B10" t="s">
        <v>375</v>
      </c>
      <c r="G10" t="s">
        <v>376</v>
      </c>
      <c r="H10" t="s">
        <v>57</v>
      </c>
      <c r="K10" t="s">
        <v>375</v>
      </c>
      <c r="N10" t="s">
        <v>375</v>
      </c>
      <c r="Q10" t="s">
        <v>48</v>
      </c>
    </row>
    <row r="11" spans="1:17" x14ac:dyDescent="0.3">
      <c r="A11" t="s">
        <v>58</v>
      </c>
      <c r="H11" t="s">
        <v>57</v>
      </c>
      <c r="Q11" t="s">
        <v>48</v>
      </c>
    </row>
    <row r="12" spans="1:17" x14ac:dyDescent="0.3">
      <c r="A12" t="s">
        <v>62</v>
      </c>
      <c r="H12" t="s">
        <v>57</v>
      </c>
      <c r="Q12" t="s">
        <v>48</v>
      </c>
    </row>
    <row r="13" spans="1:17" x14ac:dyDescent="0.3">
      <c r="A13" t="s">
        <v>67</v>
      </c>
      <c r="H13" t="s">
        <v>57</v>
      </c>
      <c r="Q13" t="s">
        <v>73</v>
      </c>
    </row>
    <row r="14" spans="1:17" x14ac:dyDescent="0.3">
      <c r="A14" t="s">
        <v>74</v>
      </c>
      <c r="B14" t="s">
        <v>63</v>
      </c>
      <c r="C14" t="s">
        <v>63</v>
      </c>
      <c r="D14" t="s">
        <v>63</v>
      </c>
      <c r="E14" t="s">
        <v>63</v>
      </c>
      <c r="F14" t="s">
        <v>63</v>
      </c>
      <c r="K14" t="s">
        <v>63</v>
      </c>
      <c r="L14" t="s">
        <v>63</v>
      </c>
      <c r="M14" t="s">
        <v>63</v>
      </c>
      <c r="N14" t="s">
        <v>63</v>
      </c>
      <c r="P14" t="s">
        <v>63</v>
      </c>
      <c r="Q14" t="s">
        <v>338</v>
      </c>
    </row>
    <row r="15" spans="1:17" x14ac:dyDescent="0.3">
      <c r="A15" t="s">
        <v>80</v>
      </c>
      <c r="B15" t="s">
        <v>63</v>
      </c>
      <c r="C15" t="s">
        <v>63</v>
      </c>
      <c r="D15" t="s">
        <v>63</v>
      </c>
      <c r="E15" t="s">
        <v>63</v>
      </c>
      <c r="F15" t="s">
        <v>63</v>
      </c>
      <c r="K15" t="s">
        <v>63</v>
      </c>
      <c r="L15" t="s">
        <v>63</v>
      </c>
      <c r="M15" t="s">
        <v>63</v>
      </c>
      <c r="N15" t="s">
        <v>63</v>
      </c>
      <c r="P15" t="s">
        <v>63</v>
      </c>
      <c r="Q15" t="s">
        <v>338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0.27779999999999999</v>
      </c>
      <c r="C24">
        <f t="shared" si="0"/>
        <v>0.16669999999999999</v>
      </c>
      <c r="D24">
        <f t="shared" si="0"/>
        <v>0.22220000000000001</v>
      </c>
      <c r="E24">
        <f t="shared" si="0"/>
        <v>0.5</v>
      </c>
      <c r="F24">
        <f t="shared" si="0"/>
        <v>0.16669999999999999</v>
      </c>
      <c r="G24">
        <f t="shared" si="0"/>
        <v>0.33329999999999999</v>
      </c>
      <c r="H24">
        <f t="shared" si="0"/>
        <v>0.27779999999999999</v>
      </c>
      <c r="I24">
        <f t="shared" si="0"/>
        <v>5.5599999999999997E-2</v>
      </c>
      <c r="J24">
        <f t="shared" si="0"/>
        <v>0.1111</v>
      </c>
      <c r="K24">
        <f t="shared" si="0"/>
        <v>0.22220000000000001</v>
      </c>
      <c r="L24">
        <f t="shared" si="0"/>
        <v>0.5</v>
      </c>
      <c r="M24">
        <f t="shared" si="0"/>
        <v>0.16669999999999999</v>
      </c>
      <c r="N24">
        <f t="shared" si="0"/>
        <v>0.22220000000000001</v>
      </c>
      <c r="O24">
        <f t="shared" si="0"/>
        <v>5.5599999999999997E-2</v>
      </c>
      <c r="P24">
        <f t="shared" si="0"/>
        <v>0.16669999999999999</v>
      </c>
      <c r="Q24">
        <f t="shared" si="0"/>
        <v>0.61109999999999998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3" width="35" customWidth="1"/>
    <col min="14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21</v>
      </c>
      <c r="C3" t="s">
        <v>22</v>
      </c>
      <c r="D3" t="s">
        <v>22</v>
      </c>
      <c r="E3" t="s">
        <v>22</v>
      </c>
      <c r="F3" t="s">
        <v>22</v>
      </c>
      <c r="G3" t="s">
        <v>21</v>
      </c>
      <c r="H3" t="s">
        <v>22</v>
      </c>
      <c r="I3" t="s">
        <v>21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25</v>
      </c>
      <c r="E4" t="s">
        <v>146</v>
      </c>
      <c r="F4" t="s">
        <v>25</v>
      </c>
      <c r="L4" t="s">
        <v>26</v>
      </c>
      <c r="N4" t="s">
        <v>340</v>
      </c>
    </row>
    <row r="5" spans="1:17" x14ac:dyDescent="0.3">
      <c r="A5" t="s">
        <v>27</v>
      </c>
      <c r="B5" t="s">
        <v>25</v>
      </c>
      <c r="E5" t="s">
        <v>146</v>
      </c>
      <c r="F5" t="s">
        <v>25</v>
      </c>
      <c r="G5" t="s">
        <v>29</v>
      </c>
      <c r="L5" t="s">
        <v>26</v>
      </c>
      <c r="N5" t="s">
        <v>340</v>
      </c>
    </row>
    <row r="6" spans="1:17" x14ac:dyDescent="0.3">
      <c r="A6" t="s">
        <v>32</v>
      </c>
      <c r="B6" t="s">
        <v>25</v>
      </c>
      <c r="D6" t="s">
        <v>33</v>
      </c>
      <c r="E6" t="s">
        <v>146</v>
      </c>
      <c r="F6" t="s">
        <v>25</v>
      </c>
      <c r="G6" t="s">
        <v>29</v>
      </c>
      <c r="J6" t="s">
        <v>33</v>
      </c>
      <c r="L6" t="s">
        <v>26</v>
      </c>
      <c r="N6" t="s">
        <v>25</v>
      </c>
    </row>
    <row r="7" spans="1:17" x14ac:dyDescent="0.3">
      <c r="A7" t="s">
        <v>36</v>
      </c>
      <c r="E7" t="s">
        <v>146</v>
      </c>
      <c r="L7" t="s">
        <v>26</v>
      </c>
    </row>
    <row r="8" spans="1:17" x14ac:dyDescent="0.3">
      <c r="A8" t="s">
        <v>41</v>
      </c>
      <c r="E8" t="s">
        <v>146</v>
      </c>
      <c r="G8" t="s">
        <v>266</v>
      </c>
      <c r="Q8" t="s">
        <v>48</v>
      </c>
    </row>
    <row r="9" spans="1:17" x14ac:dyDescent="0.3">
      <c r="A9" t="s">
        <v>49</v>
      </c>
      <c r="D9" t="s">
        <v>341</v>
      </c>
      <c r="E9" t="s">
        <v>146</v>
      </c>
      <c r="G9" t="s">
        <v>266</v>
      </c>
      <c r="I9" t="s">
        <v>52</v>
      </c>
      <c r="Q9" t="s">
        <v>48</v>
      </c>
    </row>
    <row r="10" spans="1:17" x14ac:dyDescent="0.3">
      <c r="A10" t="s">
        <v>53</v>
      </c>
      <c r="C10" t="s">
        <v>55</v>
      </c>
      <c r="E10" t="s">
        <v>146</v>
      </c>
      <c r="G10" t="s">
        <v>56</v>
      </c>
      <c r="H10" t="s">
        <v>57</v>
      </c>
      <c r="Q10" t="s">
        <v>48</v>
      </c>
    </row>
    <row r="11" spans="1:17" x14ac:dyDescent="0.3">
      <c r="A11" t="s">
        <v>58</v>
      </c>
      <c r="E11" t="s">
        <v>342</v>
      </c>
      <c r="G11" t="s">
        <v>60</v>
      </c>
      <c r="H11" t="s">
        <v>57</v>
      </c>
      <c r="Q11" t="s">
        <v>48</v>
      </c>
    </row>
    <row r="12" spans="1:17" x14ac:dyDescent="0.3">
      <c r="A12" t="s">
        <v>62</v>
      </c>
      <c r="G12" t="s">
        <v>60</v>
      </c>
      <c r="H12" t="s">
        <v>57</v>
      </c>
      <c r="Q12" t="s">
        <v>48</v>
      </c>
    </row>
    <row r="13" spans="1:17" x14ac:dyDescent="0.3">
      <c r="A13" t="s">
        <v>67</v>
      </c>
      <c r="F13" t="s">
        <v>343</v>
      </c>
      <c r="G13" t="s">
        <v>60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76</v>
      </c>
      <c r="I14" t="s">
        <v>82</v>
      </c>
      <c r="Q14" t="s">
        <v>73</v>
      </c>
    </row>
    <row r="15" spans="1:17" x14ac:dyDescent="0.3">
      <c r="A15" t="s">
        <v>80</v>
      </c>
      <c r="E15" t="s">
        <v>146</v>
      </c>
      <c r="I15" t="s">
        <v>82</v>
      </c>
      <c r="Q15" t="s">
        <v>73</v>
      </c>
    </row>
    <row r="16" spans="1:17" x14ac:dyDescent="0.3">
      <c r="A16" t="s">
        <v>84</v>
      </c>
      <c r="E16" t="s">
        <v>146</v>
      </c>
      <c r="I16" t="s">
        <v>362</v>
      </c>
    </row>
    <row r="17" spans="1:18" x14ac:dyDescent="0.3">
      <c r="A17" t="s">
        <v>90</v>
      </c>
      <c r="E17" t="s">
        <v>146</v>
      </c>
      <c r="I17" t="s">
        <v>363</v>
      </c>
    </row>
    <row r="18" spans="1:18" x14ac:dyDescent="0.3">
      <c r="A18" t="s">
        <v>94</v>
      </c>
      <c r="L18" t="s">
        <v>101</v>
      </c>
      <c r="Q18" t="s">
        <v>103</v>
      </c>
    </row>
    <row r="19" spans="1:18" x14ac:dyDescent="0.3">
      <c r="A19" t="s">
        <v>100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0.72219999999999995</v>
      </c>
      <c r="F24">
        <f t="shared" si="0"/>
        <v>0.27779999999999999</v>
      </c>
      <c r="G24">
        <f t="shared" si="0"/>
        <v>0.55559999999999998</v>
      </c>
      <c r="H24">
        <f t="shared" si="0"/>
        <v>0.27779999999999999</v>
      </c>
      <c r="I24">
        <f t="shared" si="0"/>
        <v>0.33329999999999999</v>
      </c>
      <c r="J24">
        <f t="shared" si="0"/>
        <v>0.1111</v>
      </c>
      <c r="K24">
        <f t="shared" si="0"/>
        <v>5.5599999999999997E-2</v>
      </c>
      <c r="L24">
        <f t="shared" si="0"/>
        <v>0.38890000000000002</v>
      </c>
      <c r="M24">
        <f t="shared" si="0"/>
        <v>5.5599999999999997E-2</v>
      </c>
      <c r="N24">
        <f t="shared" si="0"/>
        <v>0.22220000000000001</v>
      </c>
      <c r="O24">
        <f t="shared" si="0"/>
        <v>5.5599999999999997E-2</v>
      </c>
      <c r="P24">
        <f t="shared" si="0"/>
        <v>5.5599999999999997E-2</v>
      </c>
      <c r="Q24">
        <f t="shared" si="0"/>
        <v>0.61109999999999998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364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198</v>
      </c>
      <c r="G5" t="s">
        <v>29</v>
      </c>
      <c r="I5" t="s">
        <v>122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  <c r="Q6" t="s">
        <v>125</v>
      </c>
    </row>
    <row r="7" spans="1:17" x14ac:dyDescent="0.3">
      <c r="A7" t="s">
        <v>36</v>
      </c>
      <c r="B7" t="s">
        <v>126</v>
      </c>
      <c r="E7" t="s">
        <v>345</v>
      </c>
      <c r="L7" t="s">
        <v>26</v>
      </c>
      <c r="N7" t="s">
        <v>131</v>
      </c>
      <c r="O7" t="s">
        <v>126</v>
      </c>
    </row>
    <row r="8" spans="1:17" x14ac:dyDescent="0.3">
      <c r="A8" t="s">
        <v>41</v>
      </c>
      <c r="B8" t="s">
        <v>126</v>
      </c>
      <c r="E8" t="s">
        <v>345</v>
      </c>
      <c r="O8" t="s">
        <v>126</v>
      </c>
      <c r="Q8" t="s">
        <v>48</v>
      </c>
    </row>
    <row r="9" spans="1:17" x14ac:dyDescent="0.3">
      <c r="A9" t="s">
        <v>49</v>
      </c>
      <c r="E9" t="s">
        <v>146</v>
      </c>
      <c r="J9" t="s">
        <v>365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K13" t="s">
        <v>147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L14" t="s">
        <v>366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E18" t="s">
        <v>146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146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</v>
      </c>
      <c r="H24">
        <f t="shared" si="0"/>
        <v>0.27779999999999999</v>
      </c>
      <c r="I24">
        <f t="shared" si="0"/>
        <v>0.1111</v>
      </c>
      <c r="J24">
        <f t="shared" si="0"/>
        <v>0.22220000000000001</v>
      </c>
      <c r="K24">
        <f t="shared" si="0"/>
        <v>0.16669999999999999</v>
      </c>
      <c r="L24">
        <f t="shared" si="0"/>
        <v>0.44440000000000002</v>
      </c>
      <c r="M24">
        <f t="shared" si="0"/>
        <v>0.1111</v>
      </c>
      <c r="N24">
        <f t="shared" si="0"/>
        <v>0.16669999999999999</v>
      </c>
      <c r="O24">
        <f t="shared" si="0"/>
        <v>0.16669999999999999</v>
      </c>
      <c r="P24">
        <f t="shared" si="0"/>
        <v>0.1111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346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  <c r="N6" t="s">
        <v>185</v>
      </c>
    </row>
    <row r="7" spans="1:17" x14ac:dyDescent="0.3">
      <c r="A7" t="s">
        <v>36</v>
      </c>
      <c r="E7" t="s">
        <v>146</v>
      </c>
      <c r="L7" t="s">
        <v>26</v>
      </c>
    </row>
    <row r="8" spans="1:17" x14ac:dyDescent="0.3">
      <c r="A8" t="s">
        <v>41</v>
      </c>
      <c r="E8" t="s">
        <v>146</v>
      </c>
      <c r="Q8" t="s">
        <v>48</v>
      </c>
    </row>
    <row r="9" spans="1:17" x14ac:dyDescent="0.3">
      <c r="A9" t="s">
        <v>49</v>
      </c>
      <c r="E9" t="s">
        <v>146</v>
      </c>
      <c r="O9" t="s">
        <v>178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  <c r="I16" t="s">
        <v>353</v>
      </c>
    </row>
    <row r="17" spans="1:18" x14ac:dyDescent="0.3">
      <c r="A17" t="s">
        <v>90</v>
      </c>
      <c r="E17" t="s">
        <v>146</v>
      </c>
      <c r="I17" t="s">
        <v>353</v>
      </c>
    </row>
    <row r="18" spans="1:18" x14ac:dyDescent="0.3">
      <c r="A18" t="s">
        <v>94</v>
      </c>
      <c r="B18" t="s">
        <v>192</v>
      </c>
      <c r="E18" t="s">
        <v>234</v>
      </c>
      <c r="G18" t="s">
        <v>50</v>
      </c>
      <c r="L18" t="s">
        <v>101</v>
      </c>
      <c r="O18" t="s">
        <v>192</v>
      </c>
      <c r="Q18" t="s">
        <v>103</v>
      </c>
    </row>
    <row r="19" spans="1:18" x14ac:dyDescent="0.3">
      <c r="A19" t="s">
        <v>100</v>
      </c>
      <c r="B19" t="s">
        <v>192</v>
      </c>
      <c r="E19" t="s">
        <v>234</v>
      </c>
      <c r="L19" t="s">
        <v>101</v>
      </c>
      <c r="O19" t="s">
        <v>192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</v>
      </c>
      <c r="H24">
        <f t="shared" si="0"/>
        <v>0.27779999999999999</v>
      </c>
      <c r="I24">
        <f t="shared" si="0"/>
        <v>0.16669999999999999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0.1111</v>
      </c>
      <c r="N24">
        <f t="shared" si="0"/>
        <v>0.16669999999999999</v>
      </c>
      <c r="O24">
        <f t="shared" si="0"/>
        <v>0.22220000000000001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323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300</v>
      </c>
      <c r="C5" t="s">
        <v>120</v>
      </c>
      <c r="D5" t="s">
        <v>120</v>
      </c>
      <c r="E5" t="s">
        <v>198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B6" t="s">
        <v>302</v>
      </c>
      <c r="D6" t="s">
        <v>33</v>
      </c>
      <c r="E6" t="s">
        <v>146</v>
      </c>
      <c r="F6" t="s">
        <v>199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B7" t="s">
        <v>323</v>
      </c>
      <c r="E7" t="s">
        <v>146</v>
      </c>
      <c r="L7" t="s">
        <v>26</v>
      </c>
    </row>
    <row r="8" spans="1:17" x14ac:dyDescent="0.3">
      <c r="A8" t="s">
        <v>41</v>
      </c>
      <c r="B8" t="s">
        <v>323</v>
      </c>
      <c r="E8" t="s">
        <v>146</v>
      </c>
      <c r="Q8" t="s">
        <v>48</v>
      </c>
    </row>
    <row r="9" spans="1:17" x14ac:dyDescent="0.3">
      <c r="A9" t="s">
        <v>49</v>
      </c>
      <c r="B9" t="s">
        <v>323</v>
      </c>
      <c r="E9" t="s">
        <v>146</v>
      </c>
      <c r="Q9" t="s">
        <v>48</v>
      </c>
    </row>
    <row r="10" spans="1:17" x14ac:dyDescent="0.3">
      <c r="A10" t="s">
        <v>53</v>
      </c>
      <c r="B10" t="s">
        <v>323</v>
      </c>
      <c r="H10" t="s">
        <v>57</v>
      </c>
      <c r="Q10" t="s">
        <v>48</v>
      </c>
    </row>
    <row r="11" spans="1:17" x14ac:dyDescent="0.3">
      <c r="A11" t="s">
        <v>58</v>
      </c>
      <c r="B11" t="s">
        <v>323</v>
      </c>
      <c r="H11" t="s">
        <v>57</v>
      </c>
      <c r="Q11" t="s">
        <v>48</v>
      </c>
    </row>
    <row r="12" spans="1:17" x14ac:dyDescent="0.3">
      <c r="A12" t="s">
        <v>62</v>
      </c>
      <c r="B12" t="s">
        <v>317</v>
      </c>
      <c r="C12" t="s">
        <v>318</v>
      </c>
      <c r="D12" t="s">
        <v>318</v>
      </c>
      <c r="E12" t="s">
        <v>318</v>
      </c>
      <c r="F12" t="s">
        <v>318</v>
      </c>
      <c r="G12" t="s">
        <v>222</v>
      </c>
      <c r="H12" t="s">
        <v>57</v>
      </c>
      <c r="K12" t="s">
        <v>318</v>
      </c>
      <c r="L12" t="s">
        <v>318</v>
      </c>
      <c r="M12" t="s">
        <v>318</v>
      </c>
      <c r="N12" t="s">
        <v>318</v>
      </c>
      <c r="Q12" t="s">
        <v>355</v>
      </c>
    </row>
    <row r="13" spans="1:17" x14ac:dyDescent="0.3">
      <c r="A13" t="s">
        <v>67</v>
      </c>
      <c r="B13" t="s">
        <v>317</v>
      </c>
      <c r="C13" t="s">
        <v>318</v>
      </c>
      <c r="D13" t="s">
        <v>318</v>
      </c>
      <c r="E13" t="s">
        <v>318</v>
      </c>
      <c r="F13" t="s">
        <v>318</v>
      </c>
      <c r="G13" t="s">
        <v>222</v>
      </c>
      <c r="H13" t="s">
        <v>57</v>
      </c>
      <c r="K13" t="s">
        <v>318</v>
      </c>
      <c r="L13" t="s">
        <v>318</v>
      </c>
      <c r="M13" t="s">
        <v>318</v>
      </c>
      <c r="N13" t="s">
        <v>318</v>
      </c>
      <c r="Q13" t="s">
        <v>357</v>
      </c>
    </row>
    <row r="14" spans="1:17" x14ac:dyDescent="0.3">
      <c r="A14" t="s">
        <v>74</v>
      </c>
      <c r="B14" t="s">
        <v>317</v>
      </c>
      <c r="C14" t="s">
        <v>318</v>
      </c>
      <c r="D14" t="s">
        <v>318</v>
      </c>
      <c r="E14" t="s">
        <v>318</v>
      </c>
      <c r="F14" t="s">
        <v>318</v>
      </c>
      <c r="G14" t="s">
        <v>222</v>
      </c>
      <c r="K14" t="s">
        <v>318</v>
      </c>
      <c r="L14" t="s">
        <v>318</v>
      </c>
      <c r="M14" t="s">
        <v>318</v>
      </c>
      <c r="N14" t="s">
        <v>318</v>
      </c>
      <c r="Q14" t="s">
        <v>357</v>
      </c>
    </row>
    <row r="15" spans="1:17" x14ac:dyDescent="0.3">
      <c r="A15" t="s">
        <v>80</v>
      </c>
      <c r="B15" t="s">
        <v>317</v>
      </c>
      <c r="C15" t="s">
        <v>318</v>
      </c>
      <c r="D15" t="s">
        <v>318</v>
      </c>
      <c r="E15" t="s">
        <v>318</v>
      </c>
      <c r="F15" t="s">
        <v>318</v>
      </c>
      <c r="G15" t="s">
        <v>222</v>
      </c>
      <c r="K15" t="s">
        <v>318</v>
      </c>
      <c r="L15" t="s">
        <v>318</v>
      </c>
      <c r="M15" t="s">
        <v>318</v>
      </c>
      <c r="N15" t="s">
        <v>318</v>
      </c>
      <c r="Q15" t="s">
        <v>357</v>
      </c>
    </row>
    <row r="16" spans="1:17" x14ac:dyDescent="0.3">
      <c r="A16" t="s">
        <v>84</v>
      </c>
      <c r="B16" t="s">
        <v>323</v>
      </c>
    </row>
    <row r="17" spans="1:18" x14ac:dyDescent="0.3">
      <c r="A17" t="s">
        <v>90</v>
      </c>
      <c r="B17" t="s">
        <v>323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0.83330000000000004</v>
      </c>
      <c r="C24">
        <f t="shared" si="0"/>
        <v>0.33329999999999999</v>
      </c>
      <c r="D24">
        <f t="shared" si="0"/>
        <v>0.38890000000000002</v>
      </c>
      <c r="E24">
        <f t="shared" si="0"/>
        <v>0.72219999999999995</v>
      </c>
      <c r="F24">
        <f t="shared" si="0"/>
        <v>0.33329999999999999</v>
      </c>
      <c r="G24">
        <f t="shared" si="0"/>
        <v>0.5</v>
      </c>
      <c r="H24">
        <f t="shared" si="0"/>
        <v>0.27779999999999999</v>
      </c>
      <c r="I24">
        <f t="shared" si="0"/>
        <v>5.5599999999999997E-2</v>
      </c>
      <c r="J24">
        <f t="shared" si="0"/>
        <v>0.16669999999999999</v>
      </c>
      <c r="K24">
        <f t="shared" si="0"/>
        <v>0.33329999999999999</v>
      </c>
      <c r="L24">
        <f t="shared" si="0"/>
        <v>0.61109999999999998</v>
      </c>
      <c r="M24">
        <f t="shared" si="0"/>
        <v>0.33329999999999999</v>
      </c>
      <c r="N24">
        <f t="shared" si="0"/>
        <v>0.33329999999999999</v>
      </c>
      <c r="O24">
        <f t="shared" si="0"/>
        <v>5.5599999999999997E-2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358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358</v>
      </c>
      <c r="E5" t="s">
        <v>146</v>
      </c>
      <c r="G5" t="s">
        <v>29</v>
      </c>
      <c r="L5" t="s">
        <v>26</v>
      </c>
    </row>
    <row r="6" spans="1:17" x14ac:dyDescent="0.3">
      <c r="A6" t="s">
        <v>32</v>
      </c>
      <c r="B6" t="s">
        <v>361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B7" t="s">
        <v>358</v>
      </c>
      <c r="E7" t="s">
        <v>146</v>
      </c>
      <c r="L7" t="s">
        <v>26</v>
      </c>
    </row>
    <row r="8" spans="1:17" x14ac:dyDescent="0.3">
      <c r="A8" t="s">
        <v>41</v>
      </c>
      <c r="B8" t="s">
        <v>358</v>
      </c>
      <c r="Q8" t="s">
        <v>48</v>
      </c>
    </row>
    <row r="9" spans="1:17" x14ac:dyDescent="0.3">
      <c r="A9" t="s">
        <v>49</v>
      </c>
      <c r="B9" t="s">
        <v>358</v>
      </c>
      <c r="Q9" t="s">
        <v>48</v>
      </c>
    </row>
    <row r="10" spans="1:17" x14ac:dyDescent="0.3">
      <c r="A10" t="s">
        <v>53</v>
      </c>
      <c r="B10" t="s">
        <v>380</v>
      </c>
      <c r="G10" t="s">
        <v>376</v>
      </c>
      <c r="H10" t="s">
        <v>57</v>
      </c>
      <c r="K10" t="s">
        <v>375</v>
      </c>
      <c r="N10" t="s">
        <v>375</v>
      </c>
      <c r="Q10" t="s">
        <v>48</v>
      </c>
    </row>
    <row r="11" spans="1:17" x14ac:dyDescent="0.3">
      <c r="A11" t="s">
        <v>58</v>
      </c>
      <c r="B11" t="s">
        <v>358</v>
      </c>
      <c r="H11" t="s">
        <v>57</v>
      </c>
      <c r="Q11" t="s">
        <v>48</v>
      </c>
    </row>
    <row r="12" spans="1:17" x14ac:dyDescent="0.3">
      <c r="A12" t="s">
        <v>62</v>
      </c>
      <c r="H12" t="s">
        <v>57</v>
      </c>
      <c r="Q12" t="s">
        <v>48</v>
      </c>
    </row>
    <row r="13" spans="1:17" x14ac:dyDescent="0.3">
      <c r="A13" t="s">
        <v>67</v>
      </c>
      <c r="H13" t="s">
        <v>57</v>
      </c>
      <c r="Q13" t="s">
        <v>73</v>
      </c>
    </row>
    <row r="14" spans="1:17" x14ac:dyDescent="0.3">
      <c r="A14" t="s">
        <v>74</v>
      </c>
      <c r="Q14" t="s">
        <v>73</v>
      </c>
    </row>
    <row r="15" spans="1:17" x14ac:dyDescent="0.3">
      <c r="A15" t="s">
        <v>80</v>
      </c>
      <c r="Q15" t="s">
        <v>73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0.5</v>
      </c>
      <c r="C24">
        <f t="shared" si="0"/>
        <v>5.5599999999999997E-2</v>
      </c>
      <c r="D24">
        <f t="shared" si="0"/>
        <v>0.1111</v>
      </c>
      <c r="E24">
        <f t="shared" si="0"/>
        <v>0.38890000000000002</v>
      </c>
      <c r="F24">
        <f t="shared" si="0"/>
        <v>5.5599999999999997E-2</v>
      </c>
      <c r="G24">
        <f t="shared" si="0"/>
        <v>0.33329999999999999</v>
      </c>
      <c r="H24">
        <f t="shared" si="0"/>
        <v>0.27779999999999999</v>
      </c>
      <c r="I24">
        <f t="shared" si="0"/>
        <v>5.5599999999999997E-2</v>
      </c>
      <c r="J24">
        <f t="shared" si="0"/>
        <v>0.1111</v>
      </c>
      <c r="K24">
        <f t="shared" si="0"/>
        <v>0.1111</v>
      </c>
      <c r="L24">
        <f t="shared" si="0"/>
        <v>0.38890000000000002</v>
      </c>
      <c r="M24">
        <f t="shared" si="0"/>
        <v>5.5599999999999997E-2</v>
      </c>
      <c r="N24">
        <f t="shared" si="0"/>
        <v>0.1111</v>
      </c>
      <c r="O24">
        <f t="shared" si="0"/>
        <v>5.5599999999999997E-2</v>
      </c>
      <c r="P24">
        <f t="shared" si="0"/>
        <v>5.5599999999999997E-2</v>
      </c>
      <c r="Q24">
        <f t="shared" si="0"/>
        <v>0.61109999999999998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R68"/>
  <sheetViews>
    <sheetView workbookViewId="0"/>
  </sheetViews>
  <sheetFormatPr defaultRowHeight="14.4" x14ac:dyDescent="0.3"/>
  <cols>
    <col min="1" max="1" width="20" customWidth="1"/>
    <col min="2" max="12" width="50" customWidth="1"/>
    <col min="13" max="13" width="42" customWidth="1"/>
    <col min="14" max="14" width="37" customWidth="1"/>
    <col min="15" max="16" width="50" customWidth="1"/>
    <col min="17" max="17" width="42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21</v>
      </c>
      <c r="C3" t="s">
        <v>22</v>
      </c>
      <c r="D3" t="s">
        <v>22</v>
      </c>
      <c r="E3" t="s">
        <v>22</v>
      </c>
      <c r="F3" t="s">
        <v>22</v>
      </c>
      <c r="G3" t="s">
        <v>21</v>
      </c>
      <c r="H3" t="s">
        <v>22</v>
      </c>
      <c r="I3" t="s">
        <v>21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25</v>
      </c>
      <c r="E4" t="s">
        <v>146</v>
      </c>
      <c r="F4" t="s">
        <v>25</v>
      </c>
      <c r="L4" t="s">
        <v>26</v>
      </c>
      <c r="N4" t="s">
        <v>25</v>
      </c>
    </row>
    <row r="5" spans="1:17" x14ac:dyDescent="0.3">
      <c r="A5" t="s">
        <v>27</v>
      </c>
      <c r="B5" t="s">
        <v>25</v>
      </c>
      <c r="E5" t="s">
        <v>146</v>
      </c>
      <c r="F5" t="s">
        <v>25</v>
      </c>
      <c r="G5" t="s">
        <v>29</v>
      </c>
      <c r="L5" t="s">
        <v>26</v>
      </c>
      <c r="N5" t="s">
        <v>25</v>
      </c>
    </row>
    <row r="6" spans="1:17" x14ac:dyDescent="0.3">
      <c r="A6" t="s">
        <v>32</v>
      </c>
      <c r="B6" t="s">
        <v>25</v>
      </c>
      <c r="D6" t="s">
        <v>33</v>
      </c>
      <c r="E6" t="s">
        <v>146</v>
      </c>
      <c r="F6" t="s">
        <v>25</v>
      </c>
      <c r="G6" t="s">
        <v>29</v>
      </c>
      <c r="J6" t="s">
        <v>33</v>
      </c>
      <c r="L6" t="s">
        <v>26</v>
      </c>
      <c r="N6" t="s">
        <v>25</v>
      </c>
    </row>
    <row r="7" spans="1:17" x14ac:dyDescent="0.3">
      <c r="A7" t="s">
        <v>36</v>
      </c>
      <c r="E7" t="s">
        <v>146</v>
      </c>
      <c r="L7" t="s">
        <v>26</v>
      </c>
    </row>
    <row r="8" spans="1:17" x14ac:dyDescent="0.3">
      <c r="A8" t="s">
        <v>41</v>
      </c>
      <c r="B8" t="s">
        <v>368</v>
      </c>
      <c r="D8" t="s">
        <v>368</v>
      </c>
      <c r="E8" t="s">
        <v>146</v>
      </c>
      <c r="F8" t="s">
        <v>368</v>
      </c>
      <c r="G8" t="s">
        <v>266</v>
      </c>
      <c r="J8" t="s">
        <v>368</v>
      </c>
      <c r="L8" t="s">
        <v>368</v>
      </c>
      <c r="Q8" t="s">
        <v>48</v>
      </c>
    </row>
    <row r="9" spans="1:17" x14ac:dyDescent="0.3">
      <c r="A9" t="s">
        <v>49</v>
      </c>
      <c r="B9" t="s">
        <v>368</v>
      </c>
      <c r="D9" t="s">
        <v>368</v>
      </c>
      <c r="E9" t="s">
        <v>146</v>
      </c>
      <c r="F9" t="s">
        <v>368</v>
      </c>
      <c r="G9" t="s">
        <v>266</v>
      </c>
      <c r="J9" t="s">
        <v>368</v>
      </c>
      <c r="L9" t="s">
        <v>368</v>
      </c>
      <c r="Q9" t="s">
        <v>48</v>
      </c>
    </row>
    <row r="10" spans="1:17" x14ac:dyDescent="0.3">
      <c r="A10" t="s">
        <v>53</v>
      </c>
      <c r="E10" t="s">
        <v>146</v>
      </c>
      <c r="G10" t="s">
        <v>56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G11" t="s">
        <v>60</v>
      </c>
      <c r="H11" t="s">
        <v>57</v>
      </c>
      <c r="Q11" t="s">
        <v>48</v>
      </c>
    </row>
    <row r="12" spans="1:17" x14ac:dyDescent="0.3">
      <c r="A12" t="s">
        <v>62</v>
      </c>
      <c r="G12" t="s">
        <v>60</v>
      </c>
      <c r="H12" t="s">
        <v>57</v>
      </c>
      <c r="Q12" t="s">
        <v>48</v>
      </c>
    </row>
    <row r="13" spans="1:17" x14ac:dyDescent="0.3">
      <c r="A13" t="s">
        <v>67</v>
      </c>
      <c r="D13" t="s">
        <v>71</v>
      </c>
      <c r="E13" t="s">
        <v>71</v>
      </c>
      <c r="F13" t="s">
        <v>71</v>
      </c>
      <c r="G13" t="s">
        <v>60</v>
      </c>
      <c r="H13" t="s">
        <v>57</v>
      </c>
      <c r="I13" t="s">
        <v>71</v>
      </c>
      <c r="J13" t="s">
        <v>71</v>
      </c>
      <c r="N13" t="s">
        <v>369</v>
      </c>
      <c r="O13" t="s">
        <v>71</v>
      </c>
      <c r="Q13" t="s">
        <v>73</v>
      </c>
    </row>
    <row r="14" spans="1:17" x14ac:dyDescent="0.3">
      <c r="A14" t="s">
        <v>74</v>
      </c>
      <c r="D14" t="s">
        <v>71</v>
      </c>
      <c r="E14" t="s">
        <v>370</v>
      </c>
      <c r="F14" t="s">
        <v>71</v>
      </c>
      <c r="I14" t="s">
        <v>71</v>
      </c>
      <c r="J14" t="s">
        <v>71</v>
      </c>
      <c r="O14" t="s">
        <v>71</v>
      </c>
      <c r="Q14" t="s">
        <v>73</v>
      </c>
    </row>
    <row r="15" spans="1:17" x14ac:dyDescent="0.3">
      <c r="A15" t="s">
        <v>80</v>
      </c>
      <c r="E15" t="s">
        <v>146</v>
      </c>
      <c r="I15" t="s">
        <v>269</v>
      </c>
      <c r="Q15" t="s">
        <v>73</v>
      </c>
    </row>
    <row r="16" spans="1:17" x14ac:dyDescent="0.3">
      <c r="A16" t="s">
        <v>84</v>
      </c>
      <c r="B16" t="s">
        <v>351</v>
      </c>
      <c r="E16" t="s">
        <v>352</v>
      </c>
      <c r="F16" t="s">
        <v>351</v>
      </c>
      <c r="H16" t="s">
        <v>351</v>
      </c>
      <c r="I16" t="s">
        <v>269</v>
      </c>
      <c r="L16" t="s">
        <v>351</v>
      </c>
      <c r="M16" t="s">
        <v>351</v>
      </c>
      <c r="O16" t="s">
        <v>351</v>
      </c>
      <c r="P16" t="s">
        <v>351</v>
      </c>
      <c r="Q16" t="s">
        <v>351</v>
      </c>
    </row>
    <row r="17" spans="1:18" x14ac:dyDescent="0.3">
      <c r="A17" t="s">
        <v>90</v>
      </c>
      <c r="B17" t="s">
        <v>351</v>
      </c>
      <c r="E17" t="s">
        <v>352</v>
      </c>
      <c r="F17" t="s">
        <v>351</v>
      </c>
      <c r="H17" t="s">
        <v>351</v>
      </c>
      <c r="I17" t="s">
        <v>273</v>
      </c>
      <c r="L17" t="s">
        <v>351</v>
      </c>
      <c r="M17" t="s">
        <v>351</v>
      </c>
      <c r="O17" t="s">
        <v>351</v>
      </c>
      <c r="P17" t="s">
        <v>351</v>
      </c>
      <c r="Q17" t="s">
        <v>351</v>
      </c>
    </row>
    <row r="18" spans="1:18" x14ac:dyDescent="0.3">
      <c r="A18" t="s">
        <v>94</v>
      </c>
      <c r="E18" t="s">
        <v>274</v>
      </c>
      <c r="L18" t="s">
        <v>101</v>
      </c>
      <c r="Q18" t="s">
        <v>103</v>
      </c>
    </row>
    <row r="19" spans="1:18" x14ac:dyDescent="0.3">
      <c r="A19" t="s">
        <v>100</v>
      </c>
      <c r="E19" t="s">
        <v>274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0.44440000000000002</v>
      </c>
      <c r="C24">
        <f t="shared" si="0"/>
        <v>5.5599999999999997E-2</v>
      </c>
      <c r="D24">
        <f t="shared" si="0"/>
        <v>0.33329999999999999</v>
      </c>
      <c r="E24">
        <f t="shared" si="0"/>
        <v>0.88890000000000002</v>
      </c>
      <c r="F24">
        <f t="shared" si="0"/>
        <v>0.55559999999999998</v>
      </c>
      <c r="G24">
        <f t="shared" si="0"/>
        <v>0.5</v>
      </c>
      <c r="H24">
        <f t="shared" si="0"/>
        <v>0.38890000000000002</v>
      </c>
      <c r="I24">
        <f t="shared" si="0"/>
        <v>0.33329999999999999</v>
      </c>
      <c r="J24">
        <f t="shared" si="0"/>
        <v>0.33329999999999999</v>
      </c>
      <c r="K24">
        <f t="shared" si="0"/>
        <v>5.5599999999999997E-2</v>
      </c>
      <c r="L24">
        <f t="shared" si="0"/>
        <v>0.61109999999999998</v>
      </c>
      <c r="M24">
        <f t="shared" si="0"/>
        <v>0.16669999999999999</v>
      </c>
      <c r="N24">
        <f t="shared" si="0"/>
        <v>0.27779999999999999</v>
      </c>
      <c r="O24">
        <f t="shared" si="0"/>
        <v>0.27779999999999999</v>
      </c>
      <c r="P24">
        <f t="shared" si="0"/>
        <v>0.16669999999999999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  <c r="O4" t="s">
        <v>371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198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E7" t="s">
        <v>146</v>
      </c>
      <c r="L7" t="s">
        <v>26</v>
      </c>
      <c r="N7" t="s">
        <v>131</v>
      </c>
    </row>
    <row r="8" spans="1:17" x14ac:dyDescent="0.3">
      <c r="A8" t="s">
        <v>41</v>
      </c>
      <c r="E8" t="s">
        <v>146</v>
      </c>
      <c r="Q8" t="s">
        <v>48</v>
      </c>
    </row>
    <row r="9" spans="1:17" x14ac:dyDescent="0.3">
      <c r="A9" t="s">
        <v>49</v>
      </c>
      <c r="E9" t="s">
        <v>146</v>
      </c>
      <c r="Q9" t="s">
        <v>48</v>
      </c>
    </row>
    <row r="10" spans="1:17" x14ac:dyDescent="0.3">
      <c r="A10" t="s">
        <v>53</v>
      </c>
      <c r="C10" t="s">
        <v>372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E18" t="s">
        <v>146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146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0.1111</v>
      </c>
      <c r="C24">
        <f t="shared" si="0"/>
        <v>0.16669999999999999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</v>
      </c>
      <c r="H24">
        <f t="shared" si="0"/>
        <v>0.27779999999999999</v>
      </c>
      <c r="I24">
        <f t="shared" si="0"/>
        <v>5.5599999999999997E-2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0.1111</v>
      </c>
      <c r="N24">
        <f t="shared" si="0"/>
        <v>0.16669999999999999</v>
      </c>
      <c r="O24">
        <f t="shared" si="0"/>
        <v>0.1111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346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C6" t="s">
        <v>292</v>
      </c>
      <c r="D6" t="s">
        <v>33</v>
      </c>
      <c r="E6" t="s">
        <v>146</v>
      </c>
      <c r="G6" t="s">
        <v>294</v>
      </c>
      <c r="H6" t="s">
        <v>292</v>
      </c>
      <c r="I6" t="s">
        <v>292</v>
      </c>
      <c r="J6" t="s">
        <v>33</v>
      </c>
      <c r="L6" t="s">
        <v>26</v>
      </c>
      <c r="M6" t="s">
        <v>292</v>
      </c>
      <c r="N6" t="s">
        <v>185</v>
      </c>
      <c r="Q6" t="s">
        <v>292</v>
      </c>
    </row>
    <row r="7" spans="1:17" x14ac:dyDescent="0.3">
      <c r="A7" t="s">
        <v>36</v>
      </c>
      <c r="C7" t="s">
        <v>292</v>
      </c>
      <c r="E7" t="s">
        <v>146</v>
      </c>
      <c r="G7" t="s">
        <v>292</v>
      </c>
      <c r="H7" t="s">
        <v>292</v>
      </c>
      <c r="I7" t="s">
        <v>292</v>
      </c>
      <c r="L7" t="s">
        <v>26</v>
      </c>
      <c r="M7" t="s">
        <v>292</v>
      </c>
      <c r="Q7" t="s">
        <v>292</v>
      </c>
    </row>
    <row r="8" spans="1:17" x14ac:dyDescent="0.3">
      <c r="A8" t="s">
        <v>41</v>
      </c>
      <c r="E8" t="s">
        <v>146</v>
      </c>
      <c r="Q8" t="s">
        <v>48</v>
      </c>
    </row>
    <row r="9" spans="1:17" x14ac:dyDescent="0.3">
      <c r="A9" t="s">
        <v>49</v>
      </c>
      <c r="E9" t="s">
        <v>146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B18" t="s">
        <v>192</v>
      </c>
      <c r="E18" t="s">
        <v>234</v>
      </c>
      <c r="G18" t="s">
        <v>50</v>
      </c>
      <c r="L18" t="s">
        <v>101</v>
      </c>
      <c r="O18" t="s">
        <v>192</v>
      </c>
      <c r="Q18" t="s">
        <v>103</v>
      </c>
    </row>
    <row r="19" spans="1:18" x14ac:dyDescent="0.3">
      <c r="A19" t="s">
        <v>100</v>
      </c>
      <c r="B19" t="s">
        <v>192</v>
      </c>
      <c r="E19" t="s">
        <v>234</v>
      </c>
      <c r="L19" t="s">
        <v>101</v>
      </c>
      <c r="O19" t="s">
        <v>192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0.22220000000000001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0.55559999999999998</v>
      </c>
      <c r="H24">
        <f t="shared" si="0"/>
        <v>0.38890000000000002</v>
      </c>
      <c r="I24">
        <f t="shared" si="0"/>
        <v>0.16669999999999999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0.22220000000000001</v>
      </c>
      <c r="N24">
        <f t="shared" si="0"/>
        <v>0.16669999999999999</v>
      </c>
      <c r="O24">
        <f t="shared" si="0"/>
        <v>0.16669999999999999</v>
      </c>
      <c r="P24">
        <f t="shared" si="0"/>
        <v>0.1111</v>
      </c>
      <c r="Q24">
        <f t="shared" si="0"/>
        <v>0.77780000000000005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323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300</v>
      </c>
      <c r="C5" t="s">
        <v>120</v>
      </c>
      <c r="D5" t="s">
        <v>120</v>
      </c>
      <c r="E5" t="s">
        <v>198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B6" t="s">
        <v>302</v>
      </c>
      <c r="D6" t="s">
        <v>33</v>
      </c>
      <c r="E6" t="s">
        <v>146</v>
      </c>
      <c r="F6" t="s">
        <v>199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B7" t="s">
        <v>323</v>
      </c>
      <c r="E7" t="s">
        <v>146</v>
      </c>
      <c r="L7" t="s">
        <v>26</v>
      </c>
    </row>
    <row r="8" spans="1:17" x14ac:dyDescent="0.3">
      <c r="A8" t="s">
        <v>41</v>
      </c>
      <c r="B8" t="s">
        <v>323</v>
      </c>
      <c r="E8" t="s">
        <v>146</v>
      </c>
      <c r="Q8" t="s">
        <v>48</v>
      </c>
    </row>
    <row r="9" spans="1:17" x14ac:dyDescent="0.3">
      <c r="A9" t="s">
        <v>49</v>
      </c>
      <c r="B9" t="s">
        <v>323</v>
      </c>
      <c r="E9" t="s">
        <v>146</v>
      </c>
      <c r="Q9" t="s">
        <v>48</v>
      </c>
    </row>
    <row r="10" spans="1:17" x14ac:dyDescent="0.3">
      <c r="A10" t="s">
        <v>53</v>
      </c>
      <c r="B10" t="s">
        <v>323</v>
      </c>
      <c r="H10" t="s">
        <v>57</v>
      </c>
      <c r="Q10" t="s">
        <v>48</v>
      </c>
    </row>
    <row r="11" spans="1:17" x14ac:dyDescent="0.3">
      <c r="A11" t="s">
        <v>58</v>
      </c>
      <c r="B11" t="s">
        <v>323</v>
      </c>
      <c r="H11" t="s">
        <v>57</v>
      </c>
      <c r="Q11" t="s">
        <v>48</v>
      </c>
    </row>
    <row r="12" spans="1:17" x14ac:dyDescent="0.3">
      <c r="A12" t="s">
        <v>62</v>
      </c>
      <c r="B12" t="s">
        <v>323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B13" t="s">
        <v>323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B14" t="s">
        <v>323</v>
      </c>
      <c r="G14" t="s">
        <v>222</v>
      </c>
      <c r="Q14" t="s">
        <v>73</v>
      </c>
    </row>
    <row r="15" spans="1:17" x14ac:dyDescent="0.3">
      <c r="A15" t="s">
        <v>80</v>
      </c>
      <c r="B15" t="s">
        <v>323</v>
      </c>
      <c r="G15" t="s">
        <v>222</v>
      </c>
      <c r="Q15" t="s">
        <v>73</v>
      </c>
    </row>
    <row r="16" spans="1:17" x14ac:dyDescent="0.3">
      <c r="A16" t="s">
        <v>84</v>
      </c>
      <c r="B16" t="s">
        <v>367</v>
      </c>
    </row>
    <row r="17" spans="1:18" x14ac:dyDescent="0.3">
      <c r="A17" t="s">
        <v>90</v>
      </c>
      <c r="B17" t="s">
        <v>323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0.83330000000000004</v>
      </c>
      <c r="C24">
        <f t="shared" si="0"/>
        <v>0.1111</v>
      </c>
      <c r="D24">
        <f t="shared" si="0"/>
        <v>0.16669999999999999</v>
      </c>
      <c r="E24">
        <f t="shared" si="0"/>
        <v>0.5</v>
      </c>
      <c r="F24">
        <f t="shared" si="0"/>
        <v>0.1111</v>
      </c>
      <c r="G24">
        <f t="shared" si="0"/>
        <v>0.5</v>
      </c>
      <c r="H24">
        <f t="shared" si="0"/>
        <v>0.27779999999999999</v>
      </c>
      <c r="I24">
        <f t="shared" si="0"/>
        <v>5.5599999999999997E-2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0.1111</v>
      </c>
      <c r="N24">
        <f t="shared" si="0"/>
        <v>0.1111</v>
      </c>
      <c r="O24">
        <f t="shared" si="0"/>
        <v>5.5599999999999997E-2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238</v>
      </c>
      <c r="D5" t="s">
        <v>238</v>
      </c>
      <c r="E5" t="s">
        <v>360</v>
      </c>
      <c r="F5" t="s">
        <v>238</v>
      </c>
      <c r="G5" t="s">
        <v>29</v>
      </c>
      <c r="I5" t="s">
        <v>238</v>
      </c>
      <c r="J5" t="s">
        <v>238</v>
      </c>
      <c r="L5" t="s">
        <v>26</v>
      </c>
      <c r="O5" t="s">
        <v>238</v>
      </c>
    </row>
    <row r="6" spans="1:17" x14ac:dyDescent="0.3">
      <c r="A6" t="s">
        <v>32</v>
      </c>
      <c r="B6" t="s">
        <v>332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E7" t="s">
        <v>146</v>
      </c>
      <c r="L7" t="s">
        <v>26</v>
      </c>
    </row>
    <row r="8" spans="1:17" x14ac:dyDescent="0.3">
      <c r="A8" t="s">
        <v>41</v>
      </c>
      <c r="Q8" t="s">
        <v>48</v>
      </c>
    </row>
    <row r="9" spans="1:17" x14ac:dyDescent="0.3">
      <c r="A9" t="s">
        <v>49</v>
      </c>
      <c r="Q9" t="s">
        <v>48</v>
      </c>
    </row>
    <row r="10" spans="1:17" x14ac:dyDescent="0.3">
      <c r="A10" t="s">
        <v>53</v>
      </c>
      <c r="B10" t="s">
        <v>375</v>
      </c>
      <c r="G10" t="s">
        <v>376</v>
      </c>
      <c r="H10" t="s">
        <v>57</v>
      </c>
      <c r="K10" t="s">
        <v>375</v>
      </c>
      <c r="N10" t="s">
        <v>375</v>
      </c>
      <c r="Q10" t="s">
        <v>48</v>
      </c>
    </row>
    <row r="11" spans="1:17" x14ac:dyDescent="0.3">
      <c r="A11" t="s">
        <v>58</v>
      </c>
      <c r="H11" t="s">
        <v>57</v>
      </c>
      <c r="Q11" t="s">
        <v>48</v>
      </c>
    </row>
    <row r="12" spans="1:17" x14ac:dyDescent="0.3">
      <c r="A12" t="s">
        <v>62</v>
      </c>
      <c r="H12" t="s">
        <v>57</v>
      </c>
      <c r="Q12" t="s">
        <v>48</v>
      </c>
    </row>
    <row r="13" spans="1:17" x14ac:dyDescent="0.3">
      <c r="A13" t="s">
        <v>67</v>
      </c>
      <c r="H13" t="s">
        <v>57</v>
      </c>
      <c r="Q13" t="s">
        <v>73</v>
      </c>
    </row>
    <row r="14" spans="1:17" x14ac:dyDescent="0.3">
      <c r="A14" t="s">
        <v>74</v>
      </c>
      <c r="B14" t="s">
        <v>63</v>
      </c>
      <c r="C14" t="s">
        <v>63</v>
      </c>
      <c r="D14" t="s">
        <v>63</v>
      </c>
      <c r="E14" t="s">
        <v>63</v>
      </c>
      <c r="F14" t="s">
        <v>63</v>
      </c>
      <c r="K14" t="s">
        <v>63</v>
      </c>
      <c r="L14" t="s">
        <v>63</v>
      </c>
      <c r="M14" t="s">
        <v>63</v>
      </c>
      <c r="N14" t="s">
        <v>63</v>
      </c>
      <c r="P14" t="s">
        <v>63</v>
      </c>
      <c r="Q14" t="s">
        <v>338</v>
      </c>
    </row>
    <row r="15" spans="1:17" x14ac:dyDescent="0.3">
      <c r="A15" t="s">
        <v>80</v>
      </c>
      <c r="B15" t="s">
        <v>63</v>
      </c>
      <c r="C15" t="s">
        <v>63</v>
      </c>
      <c r="D15" t="s">
        <v>63</v>
      </c>
      <c r="E15" t="s">
        <v>63</v>
      </c>
      <c r="F15" t="s">
        <v>63</v>
      </c>
      <c r="K15" t="s">
        <v>63</v>
      </c>
      <c r="L15" t="s">
        <v>63</v>
      </c>
      <c r="M15" t="s">
        <v>63</v>
      </c>
      <c r="N15" t="s">
        <v>63</v>
      </c>
      <c r="P15" t="s">
        <v>63</v>
      </c>
      <c r="Q15" t="s">
        <v>338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0.33329999999999999</v>
      </c>
      <c r="C24">
        <f t="shared" si="0"/>
        <v>0.16669999999999999</v>
      </c>
      <c r="D24">
        <f t="shared" si="0"/>
        <v>0.27779999999999999</v>
      </c>
      <c r="E24">
        <f t="shared" si="0"/>
        <v>0.5</v>
      </c>
      <c r="F24">
        <f t="shared" si="0"/>
        <v>0.22220000000000001</v>
      </c>
      <c r="G24">
        <f t="shared" si="0"/>
        <v>0.33329999999999999</v>
      </c>
      <c r="H24">
        <f t="shared" si="0"/>
        <v>0.27779999999999999</v>
      </c>
      <c r="I24">
        <f t="shared" si="0"/>
        <v>0.1111</v>
      </c>
      <c r="J24">
        <f t="shared" si="0"/>
        <v>0.16669999999999999</v>
      </c>
      <c r="K24">
        <f t="shared" si="0"/>
        <v>0.22220000000000001</v>
      </c>
      <c r="L24">
        <f t="shared" si="0"/>
        <v>0.5</v>
      </c>
      <c r="M24">
        <f t="shared" si="0"/>
        <v>0.16669999999999999</v>
      </c>
      <c r="N24">
        <f t="shared" si="0"/>
        <v>0.22220000000000001</v>
      </c>
      <c r="O24">
        <f t="shared" si="0"/>
        <v>0.1111</v>
      </c>
      <c r="P24">
        <f t="shared" si="0"/>
        <v>0.16669999999999999</v>
      </c>
      <c r="Q24">
        <f t="shared" si="0"/>
        <v>0.61109999999999998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3" width="35" customWidth="1"/>
    <col min="14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21</v>
      </c>
      <c r="C3" t="s">
        <v>22</v>
      </c>
      <c r="D3" t="s">
        <v>22</v>
      </c>
      <c r="E3" t="s">
        <v>22</v>
      </c>
      <c r="F3" t="s">
        <v>22</v>
      </c>
      <c r="G3" t="s">
        <v>21</v>
      </c>
      <c r="H3" t="s">
        <v>22</v>
      </c>
      <c r="I3" t="s">
        <v>21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25</v>
      </c>
      <c r="E4" t="s">
        <v>146</v>
      </c>
      <c r="F4" t="s">
        <v>25</v>
      </c>
      <c r="L4" t="s">
        <v>26</v>
      </c>
      <c r="N4" t="s">
        <v>340</v>
      </c>
    </row>
    <row r="5" spans="1:17" x14ac:dyDescent="0.3">
      <c r="A5" t="s">
        <v>27</v>
      </c>
      <c r="B5" t="s">
        <v>25</v>
      </c>
      <c r="E5" t="s">
        <v>146</v>
      </c>
      <c r="F5" t="s">
        <v>25</v>
      </c>
      <c r="G5" t="s">
        <v>29</v>
      </c>
      <c r="L5" t="s">
        <v>26</v>
      </c>
      <c r="N5" t="s">
        <v>340</v>
      </c>
    </row>
    <row r="6" spans="1:17" x14ac:dyDescent="0.3">
      <c r="A6" t="s">
        <v>32</v>
      </c>
      <c r="B6" t="s">
        <v>25</v>
      </c>
      <c r="D6" t="s">
        <v>33</v>
      </c>
      <c r="E6" t="s">
        <v>146</v>
      </c>
      <c r="F6" t="s">
        <v>25</v>
      </c>
      <c r="G6" t="s">
        <v>29</v>
      </c>
      <c r="J6" t="s">
        <v>33</v>
      </c>
      <c r="L6" t="s">
        <v>26</v>
      </c>
      <c r="N6" t="s">
        <v>25</v>
      </c>
    </row>
    <row r="7" spans="1:17" x14ac:dyDescent="0.3">
      <c r="A7" t="s">
        <v>36</v>
      </c>
      <c r="E7" t="s">
        <v>146</v>
      </c>
      <c r="L7" t="s">
        <v>26</v>
      </c>
    </row>
    <row r="8" spans="1:17" x14ac:dyDescent="0.3">
      <c r="A8" t="s">
        <v>41</v>
      </c>
      <c r="E8" t="s">
        <v>146</v>
      </c>
      <c r="G8" t="s">
        <v>266</v>
      </c>
      <c r="Q8" t="s">
        <v>48</v>
      </c>
    </row>
    <row r="9" spans="1:17" x14ac:dyDescent="0.3">
      <c r="A9" t="s">
        <v>49</v>
      </c>
      <c r="D9" t="s">
        <v>341</v>
      </c>
      <c r="E9" t="s">
        <v>146</v>
      </c>
      <c r="G9" t="s">
        <v>266</v>
      </c>
      <c r="I9" t="s">
        <v>52</v>
      </c>
      <c r="Q9" t="s">
        <v>48</v>
      </c>
    </row>
    <row r="10" spans="1:17" x14ac:dyDescent="0.3">
      <c r="A10" t="s">
        <v>53</v>
      </c>
      <c r="C10" t="s">
        <v>55</v>
      </c>
      <c r="E10" t="s">
        <v>146</v>
      </c>
      <c r="G10" t="s">
        <v>56</v>
      </c>
      <c r="H10" t="s">
        <v>57</v>
      </c>
      <c r="Q10" t="s">
        <v>48</v>
      </c>
    </row>
    <row r="11" spans="1:17" x14ac:dyDescent="0.3">
      <c r="A11" t="s">
        <v>58</v>
      </c>
      <c r="E11" t="s">
        <v>342</v>
      </c>
      <c r="G11" t="s">
        <v>60</v>
      </c>
      <c r="H11" t="s">
        <v>57</v>
      </c>
      <c r="Q11" t="s">
        <v>48</v>
      </c>
    </row>
    <row r="12" spans="1:17" x14ac:dyDescent="0.3">
      <c r="A12" t="s">
        <v>62</v>
      </c>
      <c r="G12" t="s">
        <v>60</v>
      </c>
      <c r="H12" t="s">
        <v>57</v>
      </c>
      <c r="Q12" t="s">
        <v>48</v>
      </c>
    </row>
    <row r="13" spans="1:17" x14ac:dyDescent="0.3">
      <c r="A13" t="s">
        <v>67</v>
      </c>
      <c r="F13" t="s">
        <v>343</v>
      </c>
      <c r="G13" t="s">
        <v>60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76</v>
      </c>
      <c r="Q14" t="s">
        <v>73</v>
      </c>
    </row>
    <row r="15" spans="1:17" x14ac:dyDescent="0.3">
      <c r="A15" t="s">
        <v>80</v>
      </c>
      <c r="E15" t="s">
        <v>146</v>
      </c>
      <c r="Q15" t="s">
        <v>73</v>
      </c>
    </row>
    <row r="16" spans="1:17" x14ac:dyDescent="0.3">
      <c r="A16" t="s">
        <v>84</v>
      </c>
      <c r="E16" t="s">
        <v>146</v>
      </c>
      <c r="I16" t="s">
        <v>363</v>
      </c>
    </row>
    <row r="17" spans="1:18" x14ac:dyDescent="0.3">
      <c r="A17" t="s">
        <v>90</v>
      </c>
      <c r="E17" t="s">
        <v>146</v>
      </c>
      <c r="I17" t="s">
        <v>363</v>
      </c>
    </row>
    <row r="18" spans="1:18" x14ac:dyDescent="0.3">
      <c r="A18" t="s">
        <v>94</v>
      </c>
      <c r="L18" t="s">
        <v>101</v>
      </c>
      <c r="Q18" t="s">
        <v>103</v>
      </c>
    </row>
    <row r="19" spans="1:18" x14ac:dyDescent="0.3">
      <c r="A19" t="s">
        <v>100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0.72219999999999995</v>
      </c>
      <c r="F24">
        <f t="shared" si="0"/>
        <v>0.27779999999999999</v>
      </c>
      <c r="G24">
        <f t="shared" si="0"/>
        <v>0.55559999999999998</v>
      </c>
      <c r="H24">
        <f t="shared" si="0"/>
        <v>0.27779999999999999</v>
      </c>
      <c r="I24">
        <f t="shared" si="0"/>
        <v>0.22220000000000001</v>
      </c>
      <c r="J24">
        <f t="shared" si="0"/>
        <v>0.1111</v>
      </c>
      <c r="K24">
        <f t="shared" si="0"/>
        <v>5.5599999999999997E-2</v>
      </c>
      <c r="L24">
        <f t="shared" si="0"/>
        <v>0.38890000000000002</v>
      </c>
      <c r="M24">
        <f t="shared" si="0"/>
        <v>5.5599999999999997E-2</v>
      </c>
      <c r="N24">
        <f t="shared" si="0"/>
        <v>0.22220000000000001</v>
      </c>
      <c r="O24">
        <f t="shared" si="0"/>
        <v>5.5599999999999997E-2</v>
      </c>
      <c r="P24">
        <f t="shared" si="0"/>
        <v>5.5599999999999997E-2</v>
      </c>
      <c r="Q24">
        <f t="shared" si="0"/>
        <v>0.61109999999999998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364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198</v>
      </c>
      <c r="G5" t="s">
        <v>29</v>
      </c>
      <c r="I5" t="s">
        <v>122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  <c r="Q6" t="s">
        <v>125</v>
      </c>
    </row>
    <row r="7" spans="1:17" x14ac:dyDescent="0.3">
      <c r="A7" t="s">
        <v>36</v>
      </c>
      <c r="B7" t="s">
        <v>126</v>
      </c>
      <c r="E7" t="s">
        <v>345</v>
      </c>
      <c r="L7" t="s">
        <v>26</v>
      </c>
      <c r="N7" t="s">
        <v>131</v>
      </c>
      <c r="O7" t="s">
        <v>126</v>
      </c>
    </row>
    <row r="8" spans="1:17" x14ac:dyDescent="0.3">
      <c r="A8" t="s">
        <v>41</v>
      </c>
      <c r="B8" t="s">
        <v>126</v>
      </c>
      <c r="E8" t="s">
        <v>345</v>
      </c>
      <c r="O8" t="s">
        <v>126</v>
      </c>
      <c r="Q8" t="s">
        <v>48</v>
      </c>
    </row>
    <row r="9" spans="1:17" x14ac:dyDescent="0.3">
      <c r="A9" t="s">
        <v>49</v>
      </c>
      <c r="E9" t="s">
        <v>146</v>
      </c>
      <c r="I9" t="s">
        <v>280</v>
      </c>
      <c r="J9" t="s">
        <v>365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I10" t="s">
        <v>280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K13" t="s">
        <v>147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L14" t="s">
        <v>366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E18" t="s">
        <v>146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146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</v>
      </c>
      <c r="H24">
        <f t="shared" si="0"/>
        <v>0.27779999999999999</v>
      </c>
      <c r="I24">
        <f t="shared" si="0"/>
        <v>0.22220000000000001</v>
      </c>
      <c r="J24">
        <f t="shared" si="0"/>
        <v>0.22220000000000001</v>
      </c>
      <c r="K24">
        <f t="shared" si="0"/>
        <v>0.16669999999999999</v>
      </c>
      <c r="L24">
        <f t="shared" si="0"/>
        <v>0.44440000000000002</v>
      </c>
      <c r="M24">
        <f t="shared" si="0"/>
        <v>0.1111</v>
      </c>
      <c r="N24">
        <f t="shared" si="0"/>
        <v>0.16669999999999999</v>
      </c>
      <c r="O24">
        <f t="shared" si="0"/>
        <v>0.16669999999999999</v>
      </c>
      <c r="P24">
        <f t="shared" si="0"/>
        <v>0.1111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381</v>
      </c>
      <c r="G4" t="s">
        <v>50</v>
      </c>
      <c r="L4" t="s">
        <v>26</v>
      </c>
      <c r="O4" t="s">
        <v>299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382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O5" t="s">
        <v>299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  <c r="N6" t="s">
        <v>185</v>
      </c>
      <c r="O6" t="s">
        <v>299</v>
      </c>
    </row>
    <row r="7" spans="1:17" x14ac:dyDescent="0.3">
      <c r="A7" t="s">
        <v>36</v>
      </c>
      <c r="E7" t="s">
        <v>146</v>
      </c>
      <c r="L7" t="s">
        <v>26</v>
      </c>
      <c r="O7" t="s">
        <v>299</v>
      </c>
    </row>
    <row r="8" spans="1:17" x14ac:dyDescent="0.3">
      <c r="A8" t="s">
        <v>41</v>
      </c>
      <c r="E8" t="s">
        <v>146</v>
      </c>
      <c r="Q8" t="s">
        <v>48</v>
      </c>
    </row>
    <row r="9" spans="1:17" x14ac:dyDescent="0.3">
      <c r="A9" t="s">
        <v>49</v>
      </c>
      <c r="E9" t="s">
        <v>146</v>
      </c>
      <c r="O9" t="s">
        <v>178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B18" t="s">
        <v>192</v>
      </c>
      <c r="E18" t="s">
        <v>234</v>
      </c>
      <c r="G18" t="s">
        <v>50</v>
      </c>
      <c r="L18" t="s">
        <v>101</v>
      </c>
      <c r="O18" t="s">
        <v>192</v>
      </c>
      <c r="Q18" t="s">
        <v>103</v>
      </c>
    </row>
    <row r="19" spans="1:18" x14ac:dyDescent="0.3">
      <c r="A19" t="s">
        <v>100</v>
      </c>
      <c r="B19" t="s">
        <v>192</v>
      </c>
      <c r="E19" t="s">
        <v>234</v>
      </c>
      <c r="L19" t="s">
        <v>101</v>
      </c>
      <c r="O19" t="s">
        <v>192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</v>
      </c>
      <c r="H24">
        <f t="shared" si="0"/>
        <v>0.27779999999999999</v>
      </c>
      <c r="I24">
        <f t="shared" si="0"/>
        <v>5.5599999999999997E-2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0.1111</v>
      </c>
      <c r="N24">
        <f t="shared" si="0"/>
        <v>0.16669999999999999</v>
      </c>
      <c r="O24">
        <f t="shared" si="0"/>
        <v>0.44440000000000002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323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300</v>
      </c>
      <c r="C5" t="s">
        <v>120</v>
      </c>
      <c r="D5" t="s">
        <v>120</v>
      </c>
      <c r="E5" t="s">
        <v>198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B6" t="s">
        <v>302</v>
      </c>
      <c r="D6" t="s">
        <v>33</v>
      </c>
      <c r="E6" t="s">
        <v>146</v>
      </c>
      <c r="F6" t="s">
        <v>199</v>
      </c>
      <c r="G6" t="s">
        <v>29</v>
      </c>
      <c r="J6" t="s">
        <v>303</v>
      </c>
      <c r="L6" t="s">
        <v>26</v>
      </c>
    </row>
    <row r="7" spans="1:17" x14ac:dyDescent="0.3">
      <c r="A7" t="s">
        <v>36</v>
      </c>
      <c r="B7" t="s">
        <v>323</v>
      </c>
      <c r="E7" t="s">
        <v>146</v>
      </c>
      <c r="J7" t="s">
        <v>373</v>
      </c>
      <c r="L7" t="s">
        <v>26</v>
      </c>
    </row>
    <row r="8" spans="1:17" x14ac:dyDescent="0.3">
      <c r="A8" t="s">
        <v>41</v>
      </c>
      <c r="B8" t="s">
        <v>323</v>
      </c>
      <c r="E8" t="s">
        <v>146</v>
      </c>
      <c r="Q8" t="s">
        <v>48</v>
      </c>
    </row>
    <row r="9" spans="1:17" x14ac:dyDescent="0.3">
      <c r="A9" t="s">
        <v>49</v>
      </c>
      <c r="B9" t="s">
        <v>323</v>
      </c>
      <c r="E9" t="s">
        <v>146</v>
      </c>
      <c r="Q9" t="s">
        <v>48</v>
      </c>
    </row>
    <row r="10" spans="1:17" x14ac:dyDescent="0.3">
      <c r="A10" t="s">
        <v>53</v>
      </c>
      <c r="B10" t="s">
        <v>323</v>
      </c>
      <c r="H10" t="s">
        <v>57</v>
      </c>
      <c r="Q10" t="s">
        <v>48</v>
      </c>
    </row>
    <row r="11" spans="1:17" x14ac:dyDescent="0.3">
      <c r="A11" t="s">
        <v>58</v>
      </c>
      <c r="B11" t="s">
        <v>323</v>
      </c>
      <c r="H11" t="s">
        <v>57</v>
      </c>
      <c r="Q11" t="s">
        <v>48</v>
      </c>
    </row>
    <row r="12" spans="1:17" x14ac:dyDescent="0.3">
      <c r="A12" t="s">
        <v>62</v>
      </c>
      <c r="B12" t="s">
        <v>323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B13" t="s">
        <v>323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B14" t="s">
        <v>323</v>
      </c>
      <c r="G14" t="s">
        <v>222</v>
      </c>
      <c r="Q14" t="s">
        <v>73</v>
      </c>
    </row>
    <row r="15" spans="1:17" x14ac:dyDescent="0.3">
      <c r="A15" t="s">
        <v>80</v>
      </c>
      <c r="B15" t="s">
        <v>323</v>
      </c>
      <c r="G15" t="s">
        <v>222</v>
      </c>
      <c r="Q15" t="s">
        <v>73</v>
      </c>
    </row>
    <row r="16" spans="1:17" x14ac:dyDescent="0.3">
      <c r="A16" t="s">
        <v>84</v>
      </c>
      <c r="B16" t="s">
        <v>323</v>
      </c>
    </row>
    <row r="17" spans="1:18" x14ac:dyDescent="0.3">
      <c r="A17" t="s">
        <v>90</v>
      </c>
      <c r="B17" t="s">
        <v>323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0.83330000000000004</v>
      </c>
      <c r="C24">
        <f t="shared" si="0"/>
        <v>0.1111</v>
      </c>
      <c r="D24">
        <f t="shared" si="0"/>
        <v>0.16669999999999999</v>
      </c>
      <c r="E24">
        <f t="shared" si="0"/>
        <v>0.5</v>
      </c>
      <c r="F24">
        <f t="shared" si="0"/>
        <v>0.1111</v>
      </c>
      <c r="G24">
        <f t="shared" si="0"/>
        <v>0.5</v>
      </c>
      <c r="H24">
        <f t="shared" si="0"/>
        <v>0.27779999999999999</v>
      </c>
      <c r="I24">
        <f t="shared" si="0"/>
        <v>5.5599999999999997E-2</v>
      </c>
      <c r="J24">
        <f t="shared" si="0"/>
        <v>0.22220000000000001</v>
      </c>
      <c r="K24">
        <f t="shared" si="0"/>
        <v>0.1111</v>
      </c>
      <c r="L24">
        <f t="shared" si="0"/>
        <v>0.38890000000000002</v>
      </c>
      <c r="M24">
        <f t="shared" si="0"/>
        <v>0.1111</v>
      </c>
      <c r="N24">
        <f t="shared" si="0"/>
        <v>0.1111</v>
      </c>
      <c r="O24">
        <f t="shared" si="0"/>
        <v>5.5599999999999997E-2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E5" t="s">
        <v>146</v>
      </c>
      <c r="G5" t="s">
        <v>29</v>
      </c>
      <c r="L5" t="s">
        <v>26</v>
      </c>
    </row>
    <row r="6" spans="1:17" x14ac:dyDescent="0.3">
      <c r="A6" t="s">
        <v>32</v>
      </c>
      <c r="B6" t="s">
        <v>332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E7" t="s">
        <v>146</v>
      </c>
      <c r="L7" t="s">
        <v>26</v>
      </c>
    </row>
    <row r="8" spans="1:17" x14ac:dyDescent="0.3">
      <c r="A8" t="s">
        <v>41</v>
      </c>
      <c r="Q8" t="s">
        <v>48</v>
      </c>
    </row>
    <row r="9" spans="1:17" x14ac:dyDescent="0.3">
      <c r="A9" t="s">
        <v>49</v>
      </c>
      <c r="D9" t="s">
        <v>374</v>
      </c>
      <c r="E9" t="s">
        <v>374</v>
      </c>
      <c r="I9" t="s">
        <v>374</v>
      </c>
      <c r="J9" t="s">
        <v>374</v>
      </c>
      <c r="Q9" t="s">
        <v>48</v>
      </c>
    </row>
    <row r="10" spans="1:17" x14ac:dyDescent="0.3">
      <c r="A10" t="s">
        <v>53</v>
      </c>
      <c r="B10" t="s">
        <v>375</v>
      </c>
      <c r="G10" t="s">
        <v>376</v>
      </c>
      <c r="H10" t="s">
        <v>57</v>
      </c>
      <c r="K10" t="s">
        <v>375</v>
      </c>
      <c r="N10" t="s">
        <v>375</v>
      </c>
      <c r="Q10" t="s">
        <v>48</v>
      </c>
    </row>
    <row r="11" spans="1:17" x14ac:dyDescent="0.3">
      <c r="A11" t="s">
        <v>58</v>
      </c>
      <c r="H11" t="s">
        <v>57</v>
      </c>
      <c r="Q11" t="s">
        <v>48</v>
      </c>
    </row>
    <row r="12" spans="1:17" x14ac:dyDescent="0.3">
      <c r="A12" t="s">
        <v>62</v>
      </c>
      <c r="H12" t="s">
        <v>57</v>
      </c>
      <c r="Q12" t="s">
        <v>48</v>
      </c>
    </row>
    <row r="13" spans="1:17" x14ac:dyDescent="0.3">
      <c r="A13" t="s">
        <v>67</v>
      </c>
      <c r="H13" t="s">
        <v>57</v>
      </c>
      <c r="Q13" t="s">
        <v>73</v>
      </c>
    </row>
    <row r="14" spans="1:17" x14ac:dyDescent="0.3">
      <c r="A14" t="s">
        <v>74</v>
      </c>
      <c r="Q14" t="s">
        <v>73</v>
      </c>
    </row>
    <row r="15" spans="1:17" x14ac:dyDescent="0.3">
      <c r="A15" t="s">
        <v>80</v>
      </c>
      <c r="Q15" t="s">
        <v>73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0.16669999999999999</v>
      </c>
      <c r="C24">
        <f t="shared" si="0"/>
        <v>5.5599999999999997E-2</v>
      </c>
      <c r="D24">
        <f t="shared" si="0"/>
        <v>0.16669999999999999</v>
      </c>
      <c r="E24">
        <f t="shared" si="0"/>
        <v>0.44440000000000002</v>
      </c>
      <c r="F24">
        <f t="shared" si="0"/>
        <v>5.5599999999999997E-2</v>
      </c>
      <c r="G24">
        <f t="shared" si="0"/>
        <v>0.33329999999999999</v>
      </c>
      <c r="H24">
        <f t="shared" si="0"/>
        <v>0.27779999999999999</v>
      </c>
      <c r="I24">
        <f t="shared" si="0"/>
        <v>0.1111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5.5599999999999997E-2</v>
      </c>
      <c r="N24">
        <f t="shared" si="0"/>
        <v>0.1111</v>
      </c>
      <c r="O24">
        <f t="shared" si="0"/>
        <v>5.5599999999999997E-2</v>
      </c>
      <c r="P24">
        <f t="shared" si="0"/>
        <v>5.5599999999999997E-2</v>
      </c>
      <c r="Q24">
        <f t="shared" si="0"/>
        <v>0.61109999999999998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R68"/>
  <sheetViews>
    <sheetView workbookViewId="0"/>
  </sheetViews>
  <sheetFormatPr defaultRowHeight="14.4" x14ac:dyDescent="0.3"/>
  <cols>
    <col min="1" max="1" width="20" customWidth="1"/>
    <col min="2" max="12" width="50" customWidth="1"/>
    <col min="13" max="13" width="42" customWidth="1"/>
    <col min="14" max="14" width="35" customWidth="1"/>
    <col min="15" max="16" width="50" customWidth="1"/>
    <col min="17" max="17" width="42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21</v>
      </c>
      <c r="C3" t="s">
        <v>22</v>
      </c>
      <c r="D3" t="s">
        <v>22</v>
      </c>
      <c r="E3" t="s">
        <v>22</v>
      </c>
      <c r="F3" t="s">
        <v>22</v>
      </c>
      <c r="G3" t="s">
        <v>21</v>
      </c>
      <c r="H3" t="s">
        <v>22</v>
      </c>
      <c r="I3" t="s">
        <v>21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25</v>
      </c>
      <c r="E4" t="s">
        <v>146</v>
      </c>
      <c r="F4" t="s">
        <v>25</v>
      </c>
      <c r="L4" t="s">
        <v>26</v>
      </c>
      <c r="N4" t="s">
        <v>25</v>
      </c>
    </row>
    <row r="5" spans="1:17" x14ac:dyDescent="0.3">
      <c r="A5" t="s">
        <v>27</v>
      </c>
      <c r="B5" t="s">
        <v>25</v>
      </c>
      <c r="E5" t="s">
        <v>146</v>
      </c>
      <c r="F5" t="s">
        <v>25</v>
      </c>
      <c r="G5" t="s">
        <v>29</v>
      </c>
      <c r="L5" t="s">
        <v>26</v>
      </c>
      <c r="N5" t="s">
        <v>25</v>
      </c>
    </row>
    <row r="6" spans="1:17" x14ac:dyDescent="0.3">
      <c r="A6" t="s">
        <v>32</v>
      </c>
      <c r="B6" t="s">
        <v>25</v>
      </c>
      <c r="D6" t="s">
        <v>33</v>
      </c>
      <c r="E6" t="s">
        <v>146</v>
      </c>
      <c r="F6" t="s">
        <v>25</v>
      </c>
      <c r="G6" t="s">
        <v>29</v>
      </c>
      <c r="J6" t="s">
        <v>33</v>
      </c>
      <c r="L6" t="s">
        <v>26</v>
      </c>
      <c r="N6" t="s">
        <v>25</v>
      </c>
    </row>
    <row r="7" spans="1:17" x14ac:dyDescent="0.3">
      <c r="A7" t="s">
        <v>36</v>
      </c>
      <c r="E7" t="s">
        <v>146</v>
      </c>
      <c r="L7" t="s">
        <v>26</v>
      </c>
    </row>
    <row r="8" spans="1:17" x14ac:dyDescent="0.3">
      <c r="A8" t="s">
        <v>41</v>
      </c>
      <c r="E8" t="s">
        <v>146</v>
      </c>
      <c r="G8" t="s">
        <v>266</v>
      </c>
      <c r="Q8" t="s">
        <v>48</v>
      </c>
    </row>
    <row r="9" spans="1:17" x14ac:dyDescent="0.3">
      <c r="A9" t="s">
        <v>49</v>
      </c>
      <c r="E9" t="s">
        <v>146</v>
      </c>
      <c r="G9" t="s">
        <v>266</v>
      </c>
      <c r="Q9" t="s">
        <v>48</v>
      </c>
    </row>
    <row r="10" spans="1:17" x14ac:dyDescent="0.3">
      <c r="A10" t="s">
        <v>53</v>
      </c>
      <c r="E10" t="s">
        <v>146</v>
      </c>
      <c r="G10" t="s">
        <v>56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G11" t="s">
        <v>60</v>
      </c>
      <c r="H11" t="s">
        <v>57</v>
      </c>
      <c r="Q11" t="s">
        <v>48</v>
      </c>
    </row>
    <row r="12" spans="1:17" x14ac:dyDescent="0.3">
      <c r="A12" t="s">
        <v>62</v>
      </c>
      <c r="G12" t="s">
        <v>60</v>
      </c>
      <c r="H12" t="s">
        <v>57</v>
      </c>
      <c r="Q12" t="s">
        <v>48</v>
      </c>
    </row>
    <row r="13" spans="1:17" x14ac:dyDescent="0.3">
      <c r="A13" t="s">
        <v>67</v>
      </c>
      <c r="G13" t="s">
        <v>60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Q14" t="s">
        <v>73</v>
      </c>
    </row>
    <row r="15" spans="1:17" x14ac:dyDescent="0.3">
      <c r="A15" t="s">
        <v>80</v>
      </c>
      <c r="E15" t="s">
        <v>146</v>
      </c>
      <c r="I15" t="s">
        <v>269</v>
      </c>
      <c r="Q15" t="s">
        <v>73</v>
      </c>
    </row>
    <row r="16" spans="1:17" x14ac:dyDescent="0.3">
      <c r="A16" t="s">
        <v>84</v>
      </c>
      <c r="B16" t="s">
        <v>351</v>
      </c>
      <c r="E16" t="s">
        <v>352</v>
      </c>
      <c r="F16" t="s">
        <v>351</v>
      </c>
      <c r="H16" t="s">
        <v>351</v>
      </c>
      <c r="I16" t="s">
        <v>269</v>
      </c>
      <c r="L16" t="s">
        <v>351</v>
      </c>
      <c r="M16" t="s">
        <v>351</v>
      </c>
      <c r="O16" t="s">
        <v>351</v>
      </c>
      <c r="P16" t="s">
        <v>351</v>
      </c>
      <c r="Q16" t="s">
        <v>351</v>
      </c>
    </row>
    <row r="17" spans="1:18" x14ac:dyDescent="0.3">
      <c r="A17" t="s">
        <v>90</v>
      </c>
      <c r="B17" t="s">
        <v>351</v>
      </c>
      <c r="E17" t="s">
        <v>352</v>
      </c>
      <c r="F17" t="s">
        <v>351</v>
      </c>
      <c r="H17" t="s">
        <v>351</v>
      </c>
      <c r="I17" t="s">
        <v>273</v>
      </c>
      <c r="L17" t="s">
        <v>351</v>
      </c>
      <c r="M17" t="s">
        <v>351</v>
      </c>
      <c r="O17" t="s">
        <v>351</v>
      </c>
      <c r="P17" t="s">
        <v>351</v>
      </c>
      <c r="Q17" t="s">
        <v>351</v>
      </c>
    </row>
    <row r="18" spans="1:18" x14ac:dyDescent="0.3">
      <c r="A18" t="s">
        <v>94</v>
      </c>
      <c r="L18" t="s">
        <v>101</v>
      </c>
      <c r="Q18" t="s">
        <v>103</v>
      </c>
    </row>
    <row r="19" spans="1:18" x14ac:dyDescent="0.3">
      <c r="A19" t="s">
        <v>100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0.33329999999999999</v>
      </c>
      <c r="C24">
        <f t="shared" si="0"/>
        <v>5.5599999999999997E-2</v>
      </c>
      <c r="D24">
        <f t="shared" si="0"/>
        <v>0.1111</v>
      </c>
      <c r="E24">
        <f t="shared" si="0"/>
        <v>0.72219999999999995</v>
      </c>
      <c r="F24">
        <f t="shared" si="0"/>
        <v>0.33329999999999999</v>
      </c>
      <c r="G24">
        <f t="shared" si="0"/>
        <v>0.5</v>
      </c>
      <c r="H24">
        <f t="shared" si="0"/>
        <v>0.38890000000000002</v>
      </c>
      <c r="I24">
        <f t="shared" si="0"/>
        <v>0.22220000000000001</v>
      </c>
      <c r="J24">
        <f t="shared" si="0"/>
        <v>0.1111</v>
      </c>
      <c r="K24">
        <f t="shared" si="0"/>
        <v>5.5599999999999997E-2</v>
      </c>
      <c r="L24">
        <f t="shared" si="0"/>
        <v>0.5</v>
      </c>
      <c r="M24">
        <f t="shared" si="0"/>
        <v>0.16669999999999999</v>
      </c>
      <c r="N24">
        <f t="shared" si="0"/>
        <v>0.22220000000000001</v>
      </c>
      <c r="O24">
        <f t="shared" si="0"/>
        <v>0.16669999999999999</v>
      </c>
      <c r="P24">
        <f t="shared" si="0"/>
        <v>0.16669999999999999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198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E7" t="s">
        <v>146</v>
      </c>
      <c r="L7" t="s">
        <v>26</v>
      </c>
      <c r="N7" t="s">
        <v>131</v>
      </c>
    </row>
    <row r="8" spans="1:17" x14ac:dyDescent="0.3">
      <c r="A8" t="s">
        <v>41</v>
      </c>
      <c r="E8" t="s">
        <v>146</v>
      </c>
      <c r="Q8" t="s">
        <v>48</v>
      </c>
    </row>
    <row r="9" spans="1:17" x14ac:dyDescent="0.3">
      <c r="A9" t="s">
        <v>49</v>
      </c>
      <c r="E9" t="s">
        <v>146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E18" t="s">
        <v>146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146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0.1111</v>
      </c>
      <c r="C24">
        <f t="shared" si="0"/>
        <v>0.1111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</v>
      </c>
      <c r="H24">
        <f t="shared" si="0"/>
        <v>0.27779999999999999</v>
      </c>
      <c r="I24">
        <f t="shared" si="0"/>
        <v>5.5599999999999997E-2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0.1111</v>
      </c>
      <c r="N24">
        <f t="shared" si="0"/>
        <v>0.16669999999999999</v>
      </c>
      <c r="O24">
        <f t="shared" si="0"/>
        <v>5.5599999999999997E-2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346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C6" t="s">
        <v>292</v>
      </c>
      <c r="D6" t="s">
        <v>33</v>
      </c>
      <c r="E6" t="s">
        <v>146</v>
      </c>
      <c r="G6" t="s">
        <v>294</v>
      </c>
      <c r="H6" t="s">
        <v>292</v>
      </c>
      <c r="I6" t="s">
        <v>292</v>
      </c>
      <c r="J6" t="s">
        <v>33</v>
      </c>
      <c r="L6" t="s">
        <v>26</v>
      </c>
      <c r="M6" t="s">
        <v>292</v>
      </c>
      <c r="N6" t="s">
        <v>185</v>
      </c>
      <c r="Q6" t="s">
        <v>292</v>
      </c>
    </row>
    <row r="7" spans="1:17" x14ac:dyDescent="0.3">
      <c r="A7" t="s">
        <v>36</v>
      </c>
      <c r="C7" t="s">
        <v>292</v>
      </c>
      <c r="E7" t="s">
        <v>146</v>
      </c>
      <c r="G7" t="s">
        <v>292</v>
      </c>
      <c r="H7" t="s">
        <v>292</v>
      </c>
      <c r="I7" t="s">
        <v>292</v>
      </c>
      <c r="L7" t="s">
        <v>26</v>
      </c>
      <c r="M7" t="s">
        <v>292</v>
      </c>
      <c r="Q7" t="s">
        <v>292</v>
      </c>
    </row>
    <row r="8" spans="1:17" x14ac:dyDescent="0.3">
      <c r="A8" t="s">
        <v>41</v>
      </c>
      <c r="E8" t="s">
        <v>146</v>
      </c>
      <c r="Q8" t="s">
        <v>48</v>
      </c>
    </row>
    <row r="9" spans="1:17" x14ac:dyDescent="0.3">
      <c r="A9" t="s">
        <v>49</v>
      </c>
      <c r="E9" t="s">
        <v>347</v>
      </c>
      <c r="K9" t="s">
        <v>348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B18" t="s">
        <v>192</v>
      </c>
      <c r="E18" t="s">
        <v>234</v>
      </c>
      <c r="G18" t="s">
        <v>50</v>
      </c>
      <c r="L18" t="s">
        <v>101</v>
      </c>
      <c r="O18" t="s">
        <v>192</v>
      </c>
      <c r="Q18" t="s">
        <v>103</v>
      </c>
    </row>
    <row r="19" spans="1:18" x14ac:dyDescent="0.3">
      <c r="A19" t="s">
        <v>100</v>
      </c>
      <c r="B19" t="s">
        <v>192</v>
      </c>
      <c r="E19" t="s">
        <v>234</v>
      </c>
      <c r="L19" t="s">
        <v>101</v>
      </c>
      <c r="O19" t="s">
        <v>192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0.22220000000000001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0.55559999999999998</v>
      </c>
      <c r="H24">
        <f t="shared" si="0"/>
        <v>0.38890000000000002</v>
      </c>
      <c r="I24">
        <f t="shared" si="0"/>
        <v>0.16669999999999999</v>
      </c>
      <c r="J24">
        <f t="shared" si="0"/>
        <v>0.16669999999999999</v>
      </c>
      <c r="K24">
        <f t="shared" si="0"/>
        <v>0.16669999999999999</v>
      </c>
      <c r="L24">
        <f t="shared" si="0"/>
        <v>0.38890000000000002</v>
      </c>
      <c r="M24">
        <f t="shared" si="0"/>
        <v>0.22220000000000001</v>
      </c>
      <c r="N24">
        <f t="shared" si="0"/>
        <v>0.16669999999999999</v>
      </c>
      <c r="O24">
        <f t="shared" si="0"/>
        <v>0.16669999999999999</v>
      </c>
      <c r="P24">
        <f t="shared" si="0"/>
        <v>0.1111</v>
      </c>
      <c r="Q24">
        <f t="shared" si="0"/>
        <v>0.77780000000000005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323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300</v>
      </c>
      <c r="C5" t="s">
        <v>120</v>
      </c>
      <c r="D5" t="s">
        <v>120</v>
      </c>
      <c r="E5" t="s">
        <v>198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B6" t="s">
        <v>302</v>
      </c>
      <c r="D6" t="s">
        <v>33</v>
      </c>
      <c r="E6" t="s">
        <v>146</v>
      </c>
      <c r="F6" t="s">
        <v>199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B7" t="s">
        <v>323</v>
      </c>
      <c r="E7" t="s">
        <v>146</v>
      </c>
      <c r="L7" t="s">
        <v>26</v>
      </c>
    </row>
    <row r="8" spans="1:17" x14ac:dyDescent="0.3">
      <c r="A8" t="s">
        <v>41</v>
      </c>
      <c r="B8" t="s">
        <v>323</v>
      </c>
      <c r="E8" t="s">
        <v>146</v>
      </c>
      <c r="Q8" t="s">
        <v>48</v>
      </c>
    </row>
    <row r="9" spans="1:17" x14ac:dyDescent="0.3">
      <c r="A9" t="s">
        <v>49</v>
      </c>
      <c r="B9" t="s">
        <v>323</v>
      </c>
      <c r="E9" t="s">
        <v>146</v>
      </c>
      <c r="Q9" t="s">
        <v>48</v>
      </c>
    </row>
    <row r="10" spans="1:17" x14ac:dyDescent="0.3">
      <c r="A10" t="s">
        <v>53</v>
      </c>
      <c r="B10" t="s">
        <v>323</v>
      </c>
      <c r="H10" t="s">
        <v>57</v>
      </c>
      <c r="Q10" t="s">
        <v>48</v>
      </c>
    </row>
    <row r="11" spans="1:17" x14ac:dyDescent="0.3">
      <c r="A11" t="s">
        <v>58</v>
      </c>
      <c r="B11" t="s">
        <v>323</v>
      </c>
      <c r="H11" t="s">
        <v>57</v>
      </c>
      <c r="Q11" t="s">
        <v>48</v>
      </c>
    </row>
    <row r="12" spans="1:17" x14ac:dyDescent="0.3">
      <c r="A12" t="s">
        <v>62</v>
      </c>
      <c r="B12" t="s">
        <v>323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B13" t="s">
        <v>323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B14" t="s">
        <v>323</v>
      </c>
      <c r="G14" t="s">
        <v>222</v>
      </c>
      <c r="Q14" t="s">
        <v>73</v>
      </c>
    </row>
    <row r="15" spans="1:17" x14ac:dyDescent="0.3">
      <c r="A15" t="s">
        <v>80</v>
      </c>
      <c r="B15" t="s">
        <v>323</v>
      </c>
      <c r="G15" t="s">
        <v>222</v>
      </c>
      <c r="Q15" t="s">
        <v>73</v>
      </c>
    </row>
    <row r="16" spans="1:17" x14ac:dyDescent="0.3">
      <c r="A16" t="s">
        <v>84</v>
      </c>
      <c r="B16" t="s">
        <v>323</v>
      </c>
    </row>
    <row r="17" spans="1:18" x14ac:dyDescent="0.3">
      <c r="A17" t="s">
        <v>90</v>
      </c>
      <c r="B17" t="s">
        <v>323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0.83330000000000004</v>
      </c>
      <c r="C24">
        <f t="shared" si="0"/>
        <v>0.1111</v>
      </c>
      <c r="D24">
        <f t="shared" si="0"/>
        <v>0.16669999999999999</v>
      </c>
      <c r="E24">
        <f t="shared" si="0"/>
        <v>0.5</v>
      </c>
      <c r="F24">
        <f t="shared" si="0"/>
        <v>0.1111</v>
      </c>
      <c r="G24">
        <f t="shared" si="0"/>
        <v>0.5</v>
      </c>
      <c r="H24">
        <f t="shared" si="0"/>
        <v>0.27779999999999999</v>
      </c>
      <c r="I24">
        <f t="shared" si="0"/>
        <v>5.5599999999999997E-2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0.1111</v>
      </c>
      <c r="N24">
        <f t="shared" si="0"/>
        <v>0.1111</v>
      </c>
      <c r="O24">
        <f t="shared" si="0"/>
        <v>5.5599999999999997E-2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E5" t="s">
        <v>146</v>
      </c>
      <c r="G5" t="s">
        <v>29</v>
      </c>
      <c r="L5" t="s">
        <v>26</v>
      </c>
    </row>
    <row r="6" spans="1:17" x14ac:dyDescent="0.3">
      <c r="A6" t="s">
        <v>32</v>
      </c>
      <c r="B6" t="s">
        <v>332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E7" t="s">
        <v>146</v>
      </c>
      <c r="L7" t="s">
        <v>26</v>
      </c>
    </row>
    <row r="8" spans="1:17" x14ac:dyDescent="0.3">
      <c r="A8" t="s">
        <v>41</v>
      </c>
      <c r="Q8" t="s">
        <v>48</v>
      </c>
    </row>
    <row r="9" spans="1:17" x14ac:dyDescent="0.3">
      <c r="A9" t="s">
        <v>49</v>
      </c>
      <c r="Q9" t="s">
        <v>48</v>
      </c>
    </row>
    <row r="10" spans="1:17" x14ac:dyDescent="0.3">
      <c r="A10" t="s">
        <v>53</v>
      </c>
      <c r="B10" t="s">
        <v>375</v>
      </c>
      <c r="G10" t="s">
        <v>376</v>
      </c>
      <c r="H10" t="s">
        <v>57</v>
      </c>
      <c r="K10" t="s">
        <v>375</v>
      </c>
      <c r="N10" t="s">
        <v>375</v>
      </c>
      <c r="Q10" t="s">
        <v>48</v>
      </c>
    </row>
    <row r="11" spans="1:17" x14ac:dyDescent="0.3">
      <c r="A11" t="s">
        <v>58</v>
      </c>
      <c r="H11" t="s">
        <v>57</v>
      </c>
      <c r="Q11" t="s">
        <v>48</v>
      </c>
    </row>
    <row r="12" spans="1:17" x14ac:dyDescent="0.3">
      <c r="A12" t="s">
        <v>62</v>
      </c>
      <c r="H12" t="s">
        <v>57</v>
      </c>
      <c r="Q12" t="s">
        <v>48</v>
      </c>
    </row>
    <row r="13" spans="1:17" x14ac:dyDescent="0.3">
      <c r="A13" t="s">
        <v>67</v>
      </c>
      <c r="H13" t="s">
        <v>57</v>
      </c>
      <c r="Q13" t="s">
        <v>73</v>
      </c>
    </row>
    <row r="14" spans="1:17" x14ac:dyDescent="0.3">
      <c r="A14" t="s">
        <v>74</v>
      </c>
      <c r="B14" t="s">
        <v>63</v>
      </c>
      <c r="C14" t="s">
        <v>63</v>
      </c>
      <c r="D14" t="s">
        <v>63</v>
      </c>
      <c r="E14" t="s">
        <v>63</v>
      </c>
      <c r="F14" t="s">
        <v>63</v>
      </c>
      <c r="K14" t="s">
        <v>63</v>
      </c>
      <c r="L14" t="s">
        <v>63</v>
      </c>
      <c r="M14" t="s">
        <v>63</v>
      </c>
      <c r="N14" t="s">
        <v>63</v>
      </c>
      <c r="P14" t="s">
        <v>63</v>
      </c>
      <c r="Q14" t="s">
        <v>338</v>
      </c>
    </row>
    <row r="15" spans="1:17" x14ac:dyDescent="0.3">
      <c r="A15" t="s">
        <v>80</v>
      </c>
      <c r="B15" t="s">
        <v>63</v>
      </c>
      <c r="C15" t="s">
        <v>63</v>
      </c>
      <c r="D15" t="s">
        <v>63</v>
      </c>
      <c r="E15" t="s">
        <v>63</v>
      </c>
      <c r="F15" t="s">
        <v>63</v>
      </c>
      <c r="K15" t="s">
        <v>63</v>
      </c>
      <c r="L15" t="s">
        <v>63</v>
      </c>
      <c r="M15" t="s">
        <v>63</v>
      </c>
      <c r="N15" t="s">
        <v>63</v>
      </c>
      <c r="P15" t="s">
        <v>63</v>
      </c>
      <c r="Q15" t="s">
        <v>338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0.27779999999999999</v>
      </c>
      <c r="C24">
        <f t="shared" si="0"/>
        <v>0.16669999999999999</v>
      </c>
      <c r="D24">
        <f t="shared" si="0"/>
        <v>0.22220000000000001</v>
      </c>
      <c r="E24">
        <f t="shared" si="0"/>
        <v>0.5</v>
      </c>
      <c r="F24">
        <f t="shared" si="0"/>
        <v>0.16669999999999999</v>
      </c>
      <c r="G24">
        <f t="shared" si="0"/>
        <v>0.33329999999999999</v>
      </c>
      <c r="H24">
        <f t="shared" si="0"/>
        <v>0.27779999999999999</v>
      </c>
      <c r="I24">
        <f t="shared" si="0"/>
        <v>5.5599999999999997E-2</v>
      </c>
      <c r="J24">
        <f t="shared" si="0"/>
        <v>0.1111</v>
      </c>
      <c r="K24">
        <f t="shared" si="0"/>
        <v>0.22220000000000001</v>
      </c>
      <c r="L24">
        <f t="shared" si="0"/>
        <v>0.5</v>
      </c>
      <c r="M24">
        <f t="shared" si="0"/>
        <v>0.16669999999999999</v>
      </c>
      <c r="N24">
        <f t="shared" si="0"/>
        <v>0.22220000000000001</v>
      </c>
      <c r="O24">
        <f t="shared" si="0"/>
        <v>5.5599999999999997E-2</v>
      </c>
      <c r="P24">
        <f t="shared" si="0"/>
        <v>0.16669999999999999</v>
      </c>
      <c r="Q24">
        <f t="shared" si="0"/>
        <v>0.61109999999999998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3" width="35" customWidth="1"/>
    <col min="14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21</v>
      </c>
      <c r="C3" t="s">
        <v>22</v>
      </c>
      <c r="D3" t="s">
        <v>22</v>
      </c>
      <c r="E3" t="s">
        <v>22</v>
      </c>
      <c r="F3" t="s">
        <v>22</v>
      </c>
      <c r="G3" t="s">
        <v>21</v>
      </c>
      <c r="H3" t="s">
        <v>22</v>
      </c>
      <c r="I3" t="s">
        <v>21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25</v>
      </c>
      <c r="E4" t="s">
        <v>146</v>
      </c>
      <c r="F4" t="s">
        <v>25</v>
      </c>
      <c r="L4" t="s">
        <v>26</v>
      </c>
      <c r="N4" t="s">
        <v>340</v>
      </c>
    </row>
    <row r="5" spans="1:17" x14ac:dyDescent="0.3">
      <c r="A5" t="s">
        <v>27</v>
      </c>
      <c r="B5" t="s">
        <v>25</v>
      </c>
      <c r="E5" t="s">
        <v>146</v>
      </c>
      <c r="F5" t="s">
        <v>25</v>
      </c>
      <c r="G5" t="s">
        <v>29</v>
      </c>
      <c r="L5" t="s">
        <v>26</v>
      </c>
      <c r="N5" t="s">
        <v>340</v>
      </c>
    </row>
    <row r="6" spans="1:17" x14ac:dyDescent="0.3">
      <c r="A6" t="s">
        <v>32</v>
      </c>
      <c r="B6" t="s">
        <v>25</v>
      </c>
      <c r="D6" t="s">
        <v>33</v>
      </c>
      <c r="E6" t="s">
        <v>146</v>
      </c>
      <c r="F6" t="s">
        <v>25</v>
      </c>
      <c r="G6" t="s">
        <v>29</v>
      </c>
      <c r="J6" t="s">
        <v>33</v>
      </c>
      <c r="L6" t="s">
        <v>26</v>
      </c>
      <c r="N6" t="s">
        <v>25</v>
      </c>
    </row>
    <row r="7" spans="1:17" x14ac:dyDescent="0.3">
      <c r="A7" t="s">
        <v>36</v>
      </c>
      <c r="E7" t="s">
        <v>146</v>
      </c>
      <c r="L7" t="s">
        <v>26</v>
      </c>
    </row>
    <row r="8" spans="1:17" x14ac:dyDescent="0.3">
      <c r="A8" t="s">
        <v>41</v>
      </c>
      <c r="E8" t="s">
        <v>146</v>
      </c>
      <c r="G8" t="s">
        <v>266</v>
      </c>
      <c r="Q8" t="s">
        <v>48</v>
      </c>
    </row>
    <row r="9" spans="1:17" x14ac:dyDescent="0.3">
      <c r="A9" t="s">
        <v>49</v>
      </c>
      <c r="D9" t="s">
        <v>341</v>
      </c>
      <c r="E9" t="s">
        <v>146</v>
      </c>
      <c r="G9" t="s">
        <v>266</v>
      </c>
      <c r="I9" t="s">
        <v>52</v>
      </c>
      <c r="Q9" t="s">
        <v>48</v>
      </c>
    </row>
    <row r="10" spans="1:17" x14ac:dyDescent="0.3">
      <c r="A10" t="s">
        <v>53</v>
      </c>
      <c r="C10" t="s">
        <v>55</v>
      </c>
      <c r="E10" t="s">
        <v>146</v>
      </c>
      <c r="G10" t="s">
        <v>56</v>
      </c>
      <c r="H10" t="s">
        <v>57</v>
      </c>
      <c r="Q10" t="s">
        <v>48</v>
      </c>
    </row>
    <row r="11" spans="1:17" x14ac:dyDescent="0.3">
      <c r="A11" t="s">
        <v>58</v>
      </c>
      <c r="E11" t="s">
        <v>342</v>
      </c>
      <c r="G11" t="s">
        <v>60</v>
      </c>
      <c r="H11" t="s">
        <v>57</v>
      </c>
      <c r="Q11" t="s">
        <v>48</v>
      </c>
    </row>
    <row r="12" spans="1:17" x14ac:dyDescent="0.3">
      <c r="A12" t="s">
        <v>62</v>
      </c>
      <c r="G12" t="s">
        <v>60</v>
      </c>
      <c r="H12" t="s">
        <v>57</v>
      </c>
      <c r="Q12" t="s">
        <v>48</v>
      </c>
    </row>
    <row r="13" spans="1:17" x14ac:dyDescent="0.3">
      <c r="A13" t="s">
        <v>67</v>
      </c>
      <c r="F13" t="s">
        <v>343</v>
      </c>
      <c r="G13" t="s">
        <v>60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76</v>
      </c>
      <c r="I14" t="s">
        <v>82</v>
      </c>
      <c r="Q14" t="s">
        <v>73</v>
      </c>
    </row>
    <row r="15" spans="1:17" x14ac:dyDescent="0.3">
      <c r="A15" t="s">
        <v>80</v>
      </c>
      <c r="E15" t="s">
        <v>146</v>
      </c>
      <c r="I15" t="s">
        <v>82</v>
      </c>
      <c r="Q15" t="s">
        <v>73</v>
      </c>
    </row>
    <row r="16" spans="1:17" x14ac:dyDescent="0.3">
      <c r="A16" t="s">
        <v>84</v>
      </c>
      <c r="E16" t="s">
        <v>146</v>
      </c>
      <c r="I16" t="s">
        <v>362</v>
      </c>
    </row>
    <row r="17" spans="1:18" x14ac:dyDescent="0.3">
      <c r="A17" t="s">
        <v>90</v>
      </c>
      <c r="E17" t="s">
        <v>146</v>
      </c>
      <c r="I17" t="s">
        <v>363</v>
      </c>
    </row>
    <row r="18" spans="1:18" x14ac:dyDescent="0.3">
      <c r="A18" t="s">
        <v>94</v>
      </c>
      <c r="L18" t="s">
        <v>101</v>
      </c>
      <c r="Q18" t="s">
        <v>103</v>
      </c>
    </row>
    <row r="19" spans="1:18" x14ac:dyDescent="0.3">
      <c r="A19" t="s">
        <v>100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0.72219999999999995</v>
      </c>
      <c r="F24">
        <f t="shared" si="0"/>
        <v>0.27779999999999999</v>
      </c>
      <c r="G24">
        <f t="shared" si="0"/>
        <v>0.55559999999999998</v>
      </c>
      <c r="H24">
        <f t="shared" si="0"/>
        <v>0.27779999999999999</v>
      </c>
      <c r="I24">
        <f t="shared" si="0"/>
        <v>0.33329999999999999</v>
      </c>
      <c r="J24">
        <f t="shared" si="0"/>
        <v>0.1111</v>
      </c>
      <c r="K24">
        <f t="shared" si="0"/>
        <v>5.5599999999999997E-2</v>
      </c>
      <c r="L24">
        <f t="shared" si="0"/>
        <v>0.38890000000000002</v>
      </c>
      <c r="M24">
        <f t="shared" si="0"/>
        <v>5.5599999999999997E-2</v>
      </c>
      <c r="N24">
        <f t="shared" si="0"/>
        <v>0.22220000000000001</v>
      </c>
      <c r="O24">
        <f t="shared" si="0"/>
        <v>5.5599999999999997E-2</v>
      </c>
      <c r="P24">
        <f t="shared" si="0"/>
        <v>5.5599999999999997E-2</v>
      </c>
      <c r="Q24">
        <f t="shared" si="0"/>
        <v>0.61109999999999998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364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198</v>
      </c>
      <c r="G5" t="s">
        <v>29</v>
      </c>
      <c r="I5" t="s">
        <v>122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  <c r="Q6" t="s">
        <v>125</v>
      </c>
    </row>
    <row r="7" spans="1:17" x14ac:dyDescent="0.3">
      <c r="A7" t="s">
        <v>36</v>
      </c>
      <c r="B7" t="s">
        <v>126</v>
      </c>
      <c r="E7" t="s">
        <v>345</v>
      </c>
      <c r="L7" t="s">
        <v>26</v>
      </c>
      <c r="N7" t="s">
        <v>131</v>
      </c>
      <c r="O7" t="s">
        <v>126</v>
      </c>
    </row>
    <row r="8" spans="1:17" x14ac:dyDescent="0.3">
      <c r="A8" t="s">
        <v>41</v>
      </c>
      <c r="B8" t="s">
        <v>126</v>
      </c>
      <c r="E8" t="s">
        <v>345</v>
      </c>
      <c r="O8" t="s">
        <v>126</v>
      </c>
      <c r="Q8" t="s">
        <v>48</v>
      </c>
    </row>
    <row r="9" spans="1:17" x14ac:dyDescent="0.3">
      <c r="A9" t="s">
        <v>49</v>
      </c>
      <c r="E9" t="s">
        <v>146</v>
      </c>
      <c r="J9" t="s">
        <v>365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K13" t="s">
        <v>147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L14" t="s">
        <v>366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</row>
    <row r="17" spans="1:18" x14ac:dyDescent="0.3">
      <c r="A17" t="s">
        <v>90</v>
      </c>
      <c r="E17" t="s">
        <v>146</v>
      </c>
    </row>
    <row r="18" spans="1:18" x14ac:dyDescent="0.3">
      <c r="A18" t="s">
        <v>94</v>
      </c>
      <c r="E18" t="s">
        <v>146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146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</v>
      </c>
      <c r="H24">
        <f t="shared" si="0"/>
        <v>0.27779999999999999</v>
      </c>
      <c r="I24">
        <f t="shared" si="0"/>
        <v>0.1111</v>
      </c>
      <c r="J24">
        <f t="shared" si="0"/>
        <v>0.22220000000000001</v>
      </c>
      <c r="K24">
        <f t="shared" si="0"/>
        <v>0.16669999999999999</v>
      </c>
      <c r="L24">
        <f t="shared" si="0"/>
        <v>0.44440000000000002</v>
      </c>
      <c r="M24">
        <f t="shared" si="0"/>
        <v>0.1111</v>
      </c>
      <c r="N24">
        <f t="shared" si="0"/>
        <v>0.16669999999999999</v>
      </c>
      <c r="O24">
        <f t="shared" si="0"/>
        <v>0.16669999999999999</v>
      </c>
      <c r="P24">
        <f t="shared" si="0"/>
        <v>0.1111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120</v>
      </c>
      <c r="C5" t="s">
        <v>120</v>
      </c>
      <c r="D5" t="s">
        <v>120</v>
      </c>
      <c r="E5" t="s">
        <v>346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  <c r="N6" t="s">
        <v>185</v>
      </c>
    </row>
    <row r="7" spans="1:17" x14ac:dyDescent="0.3">
      <c r="A7" t="s">
        <v>36</v>
      </c>
      <c r="E7" t="s">
        <v>146</v>
      </c>
      <c r="L7" t="s">
        <v>26</v>
      </c>
    </row>
    <row r="8" spans="1:17" x14ac:dyDescent="0.3">
      <c r="A8" t="s">
        <v>41</v>
      </c>
      <c r="E8" t="s">
        <v>146</v>
      </c>
      <c r="Q8" t="s">
        <v>48</v>
      </c>
    </row>
    <row r="9" spans="1:17" x14ac:dyDescent="0.3">
      <c r="A9" t="s">
        <v>49</v>
      </c>
      <c r="E9" t="s">
        <v>146</v>
      </c>
      <c r="O9" t="s">
        <v>178</v>
      </c>
      <c r="Q9" t="s">
        <v>48</v>
      </c>
    </row>
    <row r="10" spans="1:17" x14ac:dyDescent="0.3">
      <c r="A10" t="s">
        <v>53</v>
      </c>
      <c r="E10" t="s">
        <v>146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H11" t="s">
        <v>57</v>
      </c>
      <c r="Q11" t="s">
        <v>48</v>
      </c>
    </row>
    <row r="12" spans="1:17" x14ac:dyDescent="0.3">
      <c r="A12" t="s">
        <v>62</v>
      </c>
      <c r="G12" t="s">
        <v>222</v>
      </c>
      <c r="H12" t="s">
        <v>57</v>
      </c>
      <c r="Q12" t="s">
        <v>48</v>
      </c>
    </row>
    <row r="13" spans="1:17" x14ac:dyDescent="0.3">
      <c r="A13" t="s">
        <v>67</v>
      </c>
      <c r="G13" t="s">
        <v>222</v>
      </c>
      <c r="H13" t="s">
        <v>57</v>
      </c>
      <c r="Q13" t="s">
        <v>73</v>
      </c>
    </row>
    <row r="14" spans="1:17" x14ac:dyDescent="0.3">
      <c r="A14" t="s">
        <v>74</v>
      </c>
      <c r="E14" t="s">
        <v>146</v>
      </c>
      <c r="G14" t="s">
        <v>222</v>
      </c>
      <c r="Q14" t="s">
        <v>73</v>
      </c>
    </row>
    <row r="15" spans="1:17" x14ac:dyDescent="0.3">
      <c r="A15" t="s">
        <v>80</v>
      </c>
      <c r="E15" t="s">
        <v>146</v>
      </c>
      <c r="G15" t="s">
        <v>222</v>
      </c>
      <c r="Q15" t="s">
        <v>73</v>
      </c>
    </row>
    <row r="16" spans="1:17" x14ac:dyDescent="0.3">
      <c r="A16" t="s">
        <v>84</v>
      </c>
      <c r="E16" t="s">
        <v>146</v>
      </c>
      <c r="I16" t="s">
        <v>353</v>
      </c>
    </row>
    <row r="17" spans="1:18" x14ac:dyDescent="0.3">
      <c r="A17" t="s">
        <v>90</v>
      </c>
      <c r="E17" t="s">
        <v>146</v>
      </c>
      <c r="I17" t="s">
        <v>353</v>
      </c>
    </row>
    <row r="18" spans="1:18" x14ac:dyDescent="0.3">
      <c r="A18" t="s">
        <v>94</v>
      </c>
      <c r="B18" t="s">
        <v>192</v>
      </c>
      <c r="E18" t="s">
        <v>234</v>
      </c>
      <c r="G18" t="s">
        <v>50</v>
      </c>
      <c r="L18" t="s">
        <v>101</v>
      </c>
      <c r="O18" t="s">
        <v>192</v>
      </c>
      <c r="Q18" t="s">
        <v>103</v>
      </c>
    </row>
    <row r="19" spans="1:18" x14ac:dyDescent="0.3">
      <c r="A19" t="s">
        <v>100</v>
      </c>
      <c r="B19" t="s">
        <v>192</v>
      </c>
      <c r="E19" t="s">
        <v>234</v>
      </c>
      <c r="L19" t="s">
        <v>101</v>
      </c>
      <c r="O19" t="s">
        <v>192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0.22220000000000001</v>
      </c>
      <c r="C24">
        <f t="shared" si="0"/>
        <v>0.1111</v>
      </c>
      <c r="D24">
        <f t="shared" si="0"/>
        <v>0.16669999999999999</v>
      </c>
      <c r="E24">
        <f t="shared" si="0"/>
        <v>0.83330000000000004</v>
      </c>
      <c r="F24">
        <f t="shared" si="0"/>
        <v>5.5599999999999997E-2</v>
      </c>
      <c r="G24">
        <f t="shared" si="0"/>
        <v>0.5</v>
      </c>
      <c r="H24">
        <f t="shared" si="0"/>
        <v>0.27779999999999999</v>
      </c>
      <c r="I24">
        <f t="shared" si="0"/>
        <v>0.16669999999999999</v>
      </c>
      <c r="J24">
        <f t="shared" si="0"/>
        <v>0.16669999999999999</v>
      </c>
      <c r="K24">
        <f t="shared" si="0"/>
        <v>0.1111</v>
      </c>
      <c r="L24">
        <f t="shared" si="0"/>
        <v>0.38890000000000002</v>
      </c>
      <c r="M24">
        <f t="shared" si="0"/>
        <v>0.1111</v>
      </c>
      <c r="N24">
        <f t="shared" si="0"/>
        <v>0.16669999999999999</v>
      </c>
      <c r="O24">
        <f t="shared" si="0"/>
        <v>0.22220000000000001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R68"/>
  <sheetViews>
    <sheetView workbookViewId="0"/>
  </sheetViews>
  <sheetFormatPr defaultRowHeight="14.4" x14ac:dyDescent="0.3"/>
  <cols>
    <col min="1" max="1" width="20" customWidth="1"/>
    <col min="2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113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323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300</v>
      </c>
      <c r="C5" t="s">
        <v>120</v>
      </c>
      <c r="D5" t="s">
        <v>120</v>
      </c>
      <c r="E5" t="s">
        <v>198</v>
      </c>
      <c r="G5" t="s">
        <v>29</v>
      </c>
      <c r="J5" t="s">
        <v>120</v>
      </c>
      <c r="K5" t="s">
        <v>120</v>
      </c>
      <c r="L5" t="s">
        <v>123</v>
      </c>
      <c r="M5" t="s">
        <v>120</v>
      </c>
      <c r="N5" t="s">
        <v>120</v>
      </c>
      <c r="P5" t="s">
        <v>120</v>
      </c>
      <c r="Q5" t="s">
        <v>120</v>
      </c>
    </row>
    <row r="6" spans="1:17" x14ac:dyDescent="0.3">
      <c r="A6" t="s">
        <v>32</v>
      </c>
      <c r="B6" t="s">
        <v>302</v>
      </c>
      <c r="D6" t="s">
        <v>33</v>
      </c>
      <c r="E6" t="s">
        <v>146</v>
      </c>
      <c r="F6" t="s">
        <v>199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B7" t="s">
        <v>323</v>
      </c>
      <c r="E7" t="s">
        <v>146</v>
      </c>
      <c r="L7" t="s">
        <v>26</v>
      </c>
    </row>
    <row r="8" spans="1:17" x14ac:dyDescent="0.3">
      <c r="A8" t="s">
        <v>41</v>
      </c>
      <c r="B8" t="s">
        <v>323</v>
      </c>
      <c r="E8" t="s">
        <v>146</v>
      </c>
      <c r="Q8" t="s">
        <v>48</v>
      </c>
    </row>
    <row r="9" spans="1:17" x14ac:dyDescent="0.3">
      <c r="A9" t="s">
        <v>49</v>
      </c>
      <c r="B9" t="s">
        <v>323</v>
      </c>
      <c r="E9" t="s">
        <v>146</v>
      </c>
      <c r="Q9" t="s">
        <v>48</v>
      </c>
    </row>
    <row r="10" spans="1:17" x14ac:dyDescent="0.3">
      <c r="A10" t="s">
        <v>53</v>
      </c>
      <c r="B10" t="s">
        <v>323</v>
      </c>
      <c r="H10" t="s">
        <v>57</v>
      </c>
      <c r="Q10" t="s">
        <v>48</v>
      </c>
    </row>
    <row r="11" spans="1:17" x14ac:dyDescent="0.3">
      <c r="A11" t="s">
        <v>58</v>
      </c>
      <c r="B11" t="s">
        <v>323</v>
      </c>
      <c r="H11" t="s">
        <v>57</v>
      </c>
      <c r="Q11" t="s">
        <v>48</v>
      </c>
    </row>
    <row r="12" spans="1:17" x14ac:dyDescent="0.3">
      <c r="A12" t="s">
        <v>62</v>
      </c>
      <c r="B12" t="s">
        <v>317</v>
      </c>
      <c r="C12" t="s">
        <v>318</v>
      </c>
      <c r="D12" t="s">
        <v>318</v>
      </c>
      <c r="E12" t="s">
        <v>318</v>
      </c>
      <c r="F12" t="s">
        <v>318</v>
      </c>
      <c r="G12" t="s">
        <v>222</v>
      </c>
      <c r="H12" t="s">
        <v>57</v>
      </c>
      <c r="K12" t="s">
        <v>318</v>
      </c>
      <c r="L12" t="s">
        <v>318</v>
      </c>
      <c r="M12" t="s">
        <v>318</v>
      </c>
      <c r="N12" t="s">
        <v>318</v>
      </c>
      <c r="Q12" t="s">
        <v>355</v>
      </c>
    </row>
    <row r="13" spans="1:17" x14ac:dyDescent="0.3">
      <c r="A13" t="s">
        <v>67</v>
      </c>
      <c r="B13" t="s">
        <v>317</v>
      </c>
      <c r="C13" t="s">
        <v>318</v>
      </c>
      <c r="D13" t="s">
        <v>318</v>
      </c>
      <c r="E13" t="s">
        <v>318</v>
      </c>
      <c r="F13" t="s">
        <v>318</v>
      </c>
      <c r="G13" t="s">
        <v>222</v>
      </c>
      <c r="H13" t="s">
        <v>57</v>
      </c>
      <c r="K13" t="s">
        <v>318</v>
      </c>
      <c r="L13" t="s">
        <v>318</v>
      </c>
      <c r="M13" t="s">
        <v>318</v>
      </c>
      <c r="N13" t="s">
        <v>318</v>
      </c>
      <c r="Q13" t="s">
        <v>357</v>
      </c>
    </row>
    <row r="14" spans="1:17" x14ac:dyDescent="0.3">
      <c r="A14" t="s">
        <v>74</v>
      </c>
      <c r="B14" t="s">
        <v>317</v>
      </c>
      <c r="C14" t="s">
        <v>318</v>
      </c>
      <c r="D14" t="s">
        <v>318</v>
      </c>
      <c r="E14" t="s">
        <v>318</v>
      </c>
      <c r="F14" t="s">
        <v>318</v>
      </c>
      <c r="G14" t="s">
        <v>222</v>
      </c>
      <c r="K14" t="s">
        <v>318</v>
      </c>
      <c r="L14" t="s">
        <v>318</v>
      </c>
      <c r="M14" t="s">
        <v>318</v>
      </c>
      <c r="N14" t="s">
        <v>318</v>
      </c>
      <c r="Q14" t="s">
        <v>357</v>
      </c>
    </row>
    <row r="15" spans="1:17" x14ac:dyDescent="0.3">
      <c r="A15" t="s">
        <v>80</v>
      </c>
      <c r="B15" t="s">
        <v>317</v>
      </c>
      <c r="C15" t="s">
        <v>318</v>
      </c>
      <c r="D15" t="s">
        <v>318</v>
      </c>
      <c r="E15" t="s">
        <v>318</v>
      </c>
      <c r="F15" t="s">
        <v>318</v>
      </c>
      <c r="G15" t="s">
        <v>222</v>
      </c>
      <c r="K15" t="s">
        <v>318</v>
      </c>
      <c r="L15" t="s">
        <v>318</v>
      </c>
      <c r="M15" t="s">
        <v>318</v>
      </c>
      <c r="N15" t="s">
        <v>318</v>
      </c>
      <c r="Q15" t="s">
        <v>357</v>
      </c>
    </row>
    <row r="16" spans="1:17" x14ac:dyDescent="0.3">
      <c r="A16" t="s">
        <v>84</v>
      </c>
      <c r="B16" t="s">
        <v>323</v>
      </c>
    </row>
    <row r="17" spans="1:18" x14ac:dyDescent="0.3">
      <c r="A17" t="s">
        <v>90</v>
      </c>
      <c r="B17" t="s">
        <v>323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0.83330000000000004</v>
      </c>
      <c r="C24">
        <f t="shared" si="0"/>
        <v>0.33329999999999999</v>
      </c>
      <c r="D24">
        <f t="shared" si="0"/>
        <v>0.38890000000000002</v>
      </c>
      <c r="E24">
        <f t="shared" si="0"/>
        <v>0.72219999999999995</v>
      </c>
      <c r="F24">
        <f t="shared" si="0"/>
        <v>0.33329999999999999</v>
      </c>
      <c r="G24">
        <f t="shared" si="0"/>
        <v>0.5</v>
      </c>
      <c r="H24">
        <f t="shared" si="0"/>
        <v>0.27779999999999999</v>
      </c>
      <c r="I24">
        <f t="shared" si="0"/>
        <v>5.5599999999999997E-2</v>
      </c>
      <c r="J24">
        <f t="shared" si="0"/>
        <v>0.16669999999999999</v>
      </c>
      <c r="K24">
        <f t="shared" si="0"/>
        <v>0.33329999999999999</v>
      </c>
      <c r="L24">
        <f t="shared" si="0"/>
        <v>0.61109999999999998</v>
      </c>
      <c r="M24">
        <f t="shared" si="0"/>
        <v>0.33329999999999999</v>
      </c>
      <c r="N24">
        <f t="shared" si="0"/>
        <v>0.33329999999999999</v>
      </c>
      <c r="O24">
        <f t="shared" si="0"/>
        <v>5.5599999999999997E-2</v>
      </c>
      <c r="P24">
        <f t="shared" si="0"/>
        <v>0.1111</v>
      </c>
      <c r="Q24">
        <f t="shared" si="0"/>
        <v>0.66669999999999996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358</v>
      </c>
      <c r="E4" t="s">
        <v>146</v>
      </c>
      <c r="G4" t="s">
        <v>50</v>
      </c>
      <c r="L4" t="s">
        <v>26</v>
      </c>
    </row>
    <row r="5" spans="1:17" x14ac:dyDescent="0.3">
      <c r="A5" t="s">
        <v>27</v>
      </c>
      <c r="B5" t="s">
        <v>358</v>
      </c>
      <c r="E5" t="s">
        <v>146</v>
      </c>
      <c r="G5" t="s">
        <v>29</v>
      </c>
      <c r="L5" t="s">
        <v>26</v>
      </c>
    </row>
    <row r="6" spans="1:17" x14ac:dyDescent="0.3">
      <c r="A6" t="s">
        <v>32</v>
      </c>
      <c r="B6" t="s">
        <v>361</v>
      </c>
      <c r="D6" t="s">
        <v>33</v>
      </c>
      <c r="E6" t="s">
        <v>146</v>
      </c>
      <c r="G6" t="s">
        <v>29</v>
      </c>
      <c r="J6" t="s">
        <v>33</v>
      </c>
      <c r="L6" t="s">
        <v>26</v>
      </c>
    </row>
    <row r="7" spans="1:17" x14ac:dyDescent="0.3">
      <c r="A7" t="s">
        <v>36</v>
      </c>
      <c r="B7" t="s">
        <v>358</v>
      </c>
      <c r="E7" t="s">
        <v>146</v>
      </c>
      <c r="L7" t="s">
        <v>26</v>
      </c>
    </row>
    <row r="8" spans="1:17" x14ac:dyDescent="0.3">
      <c r="A8" t="s">
        <v>41</v>
      </c>
      <c r="B8" t="s">
        <v>358</v>
      </c>
      <c r="Q8" t="s">
        <v>48</v>
      </c>
    </row>
    <row r="9" spans="1:17" x14ac:dyDescent="0.3">
      <c r="A9" t="s">
        <v>49</v>
      </c>
      <c r="B9" t="s">
        <v>358</v>
      </c>
      <c r="Q9" t="s">
        <v>48</v>
      </c>
    </row>
    <row r="10" spans="1:17" x14ac:dyDescent="0.3">
      <c r="A10" t="s">
        <v>53</v>
      </c>
      <c r="B10" t="s">
        <v>380</v>
      </c>
      <c r="G10" t="s">
        <v>376</v>
      </c>
      <c r="H10" t="s">
        <v>57</v>
      </c>
      <c r="K10" t="s">
        <v>375</v>
      </c>
      <c r="N10" t="s">
        <v>375</v>
      </c>
      <c r="Q10" t="s">
        <v>48</v>
      </c>
    </row>
    <row r="11" spans="1:17" x14ac:dyDescent="0.3">
      <c r="A11" t="s">
        <v>58</v>
      </c>
      <c r="B11" t="s">
        <v>358</v>
      </c>
      <c r="H11" t="s">
        <v>57</v>
      </c>
      <c r="Q11" t="s">
        <v>48</v>
      </c>
    </row>
    <row r="12" spans="1:17" x14ac:dyDescent="0.3">
      <c r="A12" t="s">
        <v>62</v>
      </c>
      <c r="H12" t="s">
        <v>57</v>
      </c>
      <c r="Q12" t="s">
        <v>48</v>
      </c>
    </row>
    <row r="13" spans="1:17" x14ac:dyDescent="0.3">
      <c r="A13" t="s">
        <v>67</v>
      </c>
      <c r="H13" t="s">
        <v>57</v>
      </c>
      <c r="Q13" t="s">
        <v>73</v>
      </c>
    </row>
    <row r="14" spans="1:17" x14ac:dyDescent="0.3">
      <c r="A14" t="s">
        <v>74</v>
      </c>
      <c r="Q14" t="s">
        <v>73</v>
      </c>
    </row>
    <row r="15" spans="1:17" x14ac:dyDescent="0.3">
      <c r="A15" t="s">
        <v>80</v>
      </c>
      <c r="Q15" t="s">
        <v>73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  <c r="E18" t="s">
        <v>234</v>
      </c>
      <c r="G18" t="s">
        <v>50</v>
      </c>
      <c r="L18" t="s">
        <v>101</v>
      </c>
      <c r="Q18" t="s">
        <v>103</v>
      </c>
    </row>
    <row r="19" spans="1:18" x14ac:dyDescent="0.3">
      <c r="A19" t="s">
        <v>100</v>
      </c>
      <c r="E19" t="s">
        <v>234</v>
      </c>
      <c r="L19" t="s">
        <v>101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0.5</v>
      </c>
      <c r="C24">
        <f t="shared" si="0"/>
        <v>5.5599999999999997E-2</v>
      </c>
      <c r="D24">
        <f t="shared" si="0"/>
        <v>0.1111</v>
      </c>
      <c r="E24">
        <f t="shared" si="0"/>
        <v>0.38890000000000002</v>
      </c>
      <c r="F24">
        <f t="shared" si="0"/>
        <v>5.5599999999999997E-2</v>
      </c>
      <c r="G24">
        <f t="shared" si="0"/>
        <v>0.33329999999999999</v>
      </c>
      <c r="H24">
        <f t="shared" si="0"/>
        <v>0.27779999999999999</v>
      </c>
      <c r="I24">
        <f t="shared" si="0"/>
        <v>5.5599999999999997E-2</v>
      </c>
      <c r="J24">
        <f t="shared" si="0"/>
        <v>0.1111</v>
      </c>
      <c r="K24">
        <f t="shared" si="0"/>
        <v>0.1111</v>
      </c>
      <c r="L24">
        <f t="shared" si="0"/>
        <v>0.38890000000000002</v>
      </c>
      <c r="M24">
        <f t="shared" si="0"/>
        <v>5.5599999999999997E-2</v>
      </c>
      <c r="N24">
        <f t="shared" si="0"/>
        <v>0.1111</v>
      </c>
      <c r="O24">
        <f t="shared" si="0"/>
        <v>5.5599999999999997E-2</v>
      </c>
      <c r="P24">
        <f t="shared" si="0"/>
        <v>5.5599999999999997E-2</v>
      </c>
      <c r="Q24">
        <f t="shared" si="0"/>
        <v>0.61109999999999998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R68"/>
  <sheetViews>
    <sheetView workbookViewId="0"/>
  </sheetViews>
  <sheetFormatPr defaultRowHeight="14.4" x14ac:dyDescent="0.3"/>
  <cols>
    <col min="1" max="1" width="20" customWidth="1"/>
    <col min="2" max="4" width="50" customWidth="1"/>
    <col min="5" max="5" width="35" customWidth="1"/>
    <col min="6" max="12" width="50" customWidth="1"/>
    <col min="13" max="14" width="35" customWidth="1"/>
    <col min="15" max="16" width="50" customWidth="1"/>
    <col min="17" max="17" width="35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</row>
    <row r="4" spans="1:17" x14ac:dyDescent="0.3">
      <c r="A4" t="s">
        <v>23</v>
      </c>
    </row>
    <row r="5" spans="1:17" x14ac:dyDescent="0.3">
      <c r="A5" t="s">
        <v>27</v>
      </c>
    </row>
    <row r="6" spans="1:17" x14ac:dyDescent="0.3">
      <c r="A6" t="s">
        <v>32</v>
      </c>
    </row>
    <row r="7" spans="1:17" x14ac:dyDescent="0.3">
      <c r="A7" t="s">
        <v>36</v>
      </c>
    </row>
    <row r="8" spans="1:17" x14ac:dyDescent="0.3">
      <c r="A8" t="s">
        <v>41</v>
      </c>
    </row>
    <row r="9" spans="1:17" x14ac:dyDescent="0.3">
      <c r="A9" t="s">
        <v>49</v>
      </c>
    </row>
    <row r="10" spans="1:17" x14ac:dyDescent="0.3">
      <c r="A10" t="s">
        <v>53</v>
      </c>
    </row>
    <row r="11" spans="1:17" x14ac:dyDescent="0.3">
      <c r="A11" t="s">
        <v>58</v>
      </c>
    </row>
    <row r="12" spans="1:17" x14ac:dyDescent="0.3">
      <c r="A12" t="s">
        <v>62</v>
      </c>
    </row>
    <row r="13" spans="1:17" x14ac:dyDescent="0.3">
      <c r="A13" t="s">
        <v>67</v>
      </c>
    </row>
    <row r="14" spans="1:17" x14ac:dyDescent="0.3">
      <c r="A14" t="s">
        <v>74</v>
      </c>
    </row>
    <row r="15" spans="1:17" x14ac:dyDescent="0.3">
      <c r="A15" t="s">
        <v>80</v>
      </c>
    </row>
    <row r="16" spans="1:17" x14ac:dyDescent="0.3">
      <c r="A16" t="s">
        <v>84</v>
      </c>
    </row>
    <row r="17" spans="1:18" x14ac:dyDescent="0.3">
      <c r="A17" t="s">
        <v>90</v>
      </c>
    </row>
    <row r="18" spans="1:18" x14ac:dyDescent="0.3">
      <c r="A18" t="s">
        <v>94</v>
      </c>
    </row>
    <row r="19" spans="1:18" x14ac:dyDescent="0.3">
      <c r="A19" t="s">
        <v>100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</v>
      </c>
      <c r="C24">
        <f t="shared" si="0"/>
        <v>0</v>
      </c>
      <c r="D24">
        <f t="shared" si="0"/>
        <v>0</v>
      </c>
      <c r="E24">
        <f t="shared" si="0"/>
        <v>0</v>
      </c>
      <c r="F24">
        <f t="shared" si="0"/>
        <v>0</v>
      </c>
      <c r="G24">
        <f t="shared" si="0"/>
        <v>0</v>
      </c>
      <c r="H24">
        <f t="shared" si="0"/>
        <v>0</v>
      </c>
      <c r="I24">
        <f t="shared" si="0"/>
        <v>0</v>
      </c>
      <c r="J24">
        <f t="shared" si="0"/>
        <v>0</v>
      </c>
      <c r="K24">
        <f t="shared" si="0"/>
        <v>0</v>
      </c>
      <c r="L24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0</v>
      </c>
      <c r="Q24">
        <f t="shared" si="0"/>
        <v>0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R68"/>
  <sheetViews>
    <sheetView workbookViewId="0"/>
  </sheetViews>
  <sheetFormatPr defaultRowHeight="14.4" x14ac:dyDescent="0.3"/>
  <cols>
    <col min="1" max="1" width="20" customWidth="1"/>
    <col min="2" max="12" width="50" customWidth="1"/>
    <col min="13" max="13" width="42" customWidth="1"/>
    <col min="14" max="14" width="37" customWidth="1"/>
    <col min="15" max="16" width="50" customWidth="1"/>
    <col min="17" max="17" width="42" customWidth="1"/>
    <col min="18" max="18" width="5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</row>
    <row r="3" spans="1:17" x14ac:dyDescent="0.3">
      <c r="A3" t="s">
        <v>20</v>
      </c>
      <c r="B3" t="s">
        <v>21</v>
      </c>
      <c r="C3" t="s">
        <v>22</v>
      </c>
      <c r="D3" t="s">
        <v>22</v>
      </c>
      <c r="E3" t="s">
        <v>22</v>
      </c>
      <c r="F3" t="s">
        <v>22</v>
      </c>
      <c r="G3" t="s">
        <v>21</v>
      </c>
      <c r="H3" t="s">
        <v>22</v>
      </c>
      <c r="I3" t="s">
        <v>21</v>
      </c>
      <c r="J3" t="s">
        <v>22</v>
      </c>
      <c r="K3" t="s">
        <v>22</v>
      </c>
      <c r="L3" t="s">
        <v>22</v>
      </c>
      <c r="M3" t="s">
        <v>22</v>
      </c>
      <c r="N3" t="s">
        <v>22</v>
      </c>
      <c r="O3" t="s">
        <v>22</v>
      </c>
      <c r="P3" t="s">
        <v>22</v>
      </c>
      <c r="Q3" t="s">
        <v>22</v>
      </c>
    </row>
    <row r="4" spans="1:17" x14ac:dyDescent="0.3">
      <c r="A4" t="s">
        <v>23</v>
      </c>
      <c r="B4" t="s">
        <v>25</v>
      </c>
      <c r="E4" t="s">
        <v>146</v>
      </c>
      <c r="F4" t="s">
        <v>25</v>
      </c>
      <c r="N4" t="s">
        <v>25</v>
      </c>
    </row>
    <row r="5" spans="1:17" x14ac:dyDescent="0.3">
      <c r="A5" t="s">
        <v>27</v>
      </c>
      <c r="B5" t="s">
        <v>25</v>
      </c>
      <c r="E5" t="s">
        <v>146</v>
      </c>
      <c r="F5" t="s">
        <v>25</v>
      </c>
      <c r="G5" t="s">
        <v>29</v>
      </c>
      <c r="N5" t="s">
        <v>25</v>
      </c>
    </row>
    <row r="6" spans="1:17" x14ac:dyDescent="0.3">
      <c r="A6" t="s">
        <v>32</v>
      </c>
      <c r="B6" t="s">
        <v>25</v>
      </c>
      <c r="D6" t="s">
        <v>33</v>
      </c>
      <c r="E6" t="s">
        <v>146</v>
      </c>
      <c r="F6" t="s">
        <v>25</v>
      </c>
      <c r="G6" t="s">
        <v>29</v>
      </c>
      <c r="J6" t="s">
        <v>33</v>
      </c>
      <c r="N6" t="s">
        <v>25</v>
      </c>
    </row>
    <row r="7" spans="1:17" x14ac:dyDescent="0.3">
      <c r="A7" t="s">
        <v>36</v>
      </c>
      <c r="E7" t="s">
        <v>146</v>
      </c>
    </row>
    <row r="8" spans="1:17" x14ac:dyDescent="0.3">
      <c r="A8" t="s">
        <v>41</v>
      </c>
      <c r="B8" t="s">
        <v>368</v>
      </c>
      <c r="D8" t="s">
        <v>368</v>
      </c>
      <c r="E8" t="s">
        <v>146</v>
      </c>
      <c r="F8" t="s">
        <v>368</v>
      </c>
      <c r="G8" t="s">
        <v>266</v>
      </c>
      <c r="J8" t="s">
        <v>368</v>
      </c>
      <c r="L8" t="s">
        <v>368</v>
      </c>
      <c r="Q8" t="s">
        <v>48</v>
      </c>
    </row>
    <row r="9" spans="1:17" x14ac:dyDescent="0.3">
      <c r="A9" t="s">
        <v>49</v>
      </c>
      <c r="B9" t="s">
        <v>368</v>
      </c>
      <c r="D9" t="s">
        <v>368</v>
      </c>
      <c r="E9" t="s">
        <v>146</v>
      </c>
      <c r="F9" t="s">
        <v>368</v>
      </c>
      <c r="G9" t="s">
        <v>266</v>
      </c>
      <c r="J9" t="s">
        <v>368</v>
      </c>
      <c r="L9" t="s">
        <v>368</v>
      </c>
      <c r="Q9" t="s">
        <v>48</v>
      </c>
    </row>
    <row r="10" spans="1:17" x14ac:dyDescent="0.3">
      <c r="A10" t="s">
        <v>53</v>
      </c>
      <c r="E10" t="s">
        <v>146</v>
      </c>
      <c r="G10" t="s">
        <v>56</v>
      </c>
      <c r="H10" t="s">
        <v>57</v>
      </c>
      <c r="Q10" t="s">
        <v>48</v>
      </c>
    </row>
    <row r="11" spans="1:17" x14ac:dyDescent="0.3">
      <c r="A11" t="s">
        <v>58</v>
      </c>
      <c r="E11" t="s">
        <v>146</v>
      </c>
      <c r="G11" t="s">
        <v>60</v>
      </c>
      <c r="H11" t="s">
        <v>57</v>
      </c>
      <c r="Q11" t="s">
        <v>48</v>
      </c>
    </row>
    <row r="12" spans="1:17" x14ac:dyDescent="0.3">
      <c r="A12" t="s">
        <v>62</v>
      </c>
      <c r="G12" t="s">
        <v>60</v>
      </c>
      <c r="H12" t="s">
        <v>57</v>
      </c>
      <c r="Q12" t="s">
        <v>48</v>
      </c>
    </row>
    <row r="13" spans="1:17" x14ac:dyDescent="0.3">
      <c r="A13" t="s">
        <v>67</v>
      </c>
      <c r="D13" t="s">
        <v>71</v>
      </c>
      <c r="E13" t="s">
        <v>71</v>
      </c>
      <c r="F13" t="s">
        <v>71</v>
      </c>
      <c r="G13" t="s">
        <v>60</v>
      </c>
      <c r="H13" t="s">
        <v>57</v>
      </c>
      <c r="I13" t="s">
        <v>71</v>
      </c>
      <c r="J13" t="s">
        <v>71</v>
      </c>
      <c r="N13" t="s">
        <v>369</v>
      </c>
      <c r="O13" t="s">
        <v>71</v>
      </c>
      <c r="Q13" t="s">
        <v>73</v>
      </c>
    </row>
    <row r="14" spans="1:17" x14ac:dyDescent="0.3">
      <c r="A14" t="s">
        <v>74</v>
      </c>
      <c r="D14" t="s">
        <v>71</v>
      </c>
      <c r="E14" t="s">
        <v>370</v>
      </c>
      <c r="F14" t="s">
        <v>71</v>
      </c>
      <c r="I14" t="s">
        <v>71</v>
      </c>
      <c r="J14" t="s">
        <v>71</v>
      </c>
      <c r="O14" t="s">
        <v>71</v>
      </c>
      <c r="Q14" t="s">
        <v>73</v>
      </c>
    </row>
    <row r="15" spans="1:17" x14ac:dyDescent="0.3">
      <c r="A15" t="s">
        <v>80</v>
      </c>
      <c r="E15" t="s">
        <v>146</v>
      </c>
      <c r="I15" t="s">
        <v>269</v>
      </c>
      <c r="Q15" t="s">
        <v>73</v>
      </c>
    </row>
    <row r="16" spans="1:17" x14ac:dyDescent="0.3">
      <c r="A16" t="s">
        <v>84</v>
      </c>
      <c r="B16" t="s">
        <v>351</v>
      </c>
      <c r="E16" t="s">
        <v>352</v>
      </c>
      <c r="F16" t="s">
        <v>351</v>
      </c>
      <c r="H16" t="s">
        <v>351</v>
      </c>
      <c r="I16" t="s">
        <v>269</v>
      </c>
      <c r="L16" t="s">
        <v>351</v>
      </c>
      <c r="M16" t="s">
        <v>351</v>
      </c>
      <c r="O16" t="s">
        <v>351</v>
      </c>
      <c r="P16" t="s">
        <v>351</v>
      </c>
      <c r="Q16" t="s">
        <v>351</v>
      </c>
    </row>
    <row r="17" spans="1:18" x14ac:dyDescent="0.3">
      <c r="A17" t="s">
        <v>90</v>
      </c>
      <c r="B17" t="s">
        <v>351</v>
      </c>
      <c r="E17" t="s">
        <v>352</v>
      </c>
      <c r="F17" t="s">
        <v>351</v>
      </c>
      <c r="H17" t="s">
        <v>351</v>
      </c>
      <c r="I17" t="s">
        <v>273</v>
      </c>
      <c r="L17" t="s">
        <v>351</v>
      </c>
      <c r="M17" t="s">
        <v>351</v>
      </c>
      <c r="O17" t="s">
        <v>351</v>
      </c>
      <c r="P17" t="s">
        <v>351</v>
      </c>
      <c r="Q17" t="s">
        <v>351</v>
      </c>
    </row>
    <row r="18" spans="1:18" x14ac:dyDescent="0.3">
      <c r="A18" t="s">
        <v>94</v>
      </c>
      <c r="E18" t="s">
        <v>274</v>
      </c>
      <c r="Q18" t="s">
        <v>103</v>
      </c>
    </row>
    <row r="19" spans="1:18" x14ac:dyDescent="0.3">
      <c r="A19" t="s">
        <v>100</v>
      </c>
      <c r="E19" t="s">
        <v>274</v>
      </c>
      <c r="Q19" t="s">
        <v>103</v>
      </c>
    </row>
    <row r="20" spans="1:18" x14ac:dyDescent="0.3">
      <c r="A20" t="s">
        <v>104</v>
      </c>
    </row>
    <row r="21" spans="1:18" x14ac:dyDescent="0.3">
      <c r="A21" t="s">
        <v>106</v>
      </c>
    </row>
    <row r="24" spans="1:18" x14ac:dyDescent="0.3">
      <c r="A24" t="s">
        <v>107</v>
      </c>
      <c r="B24">
        <f t="shared" ref="B24:Q24" si="0">ROUND(COUNTIF(B2:B19,"&lt;&gt;")/18,4)</f>
        <v>0.44440000000000002</v>
      </c>
      <c r="C24">
        <f t="shared" si="0"/>
        <v>5.5599999999999997E-2</v>
      </c>
      <c r="D24">
        <f t="shared" si="0"/>
        <v>0.33329999999999999</v>
      </c>
      <c r="E24">
        <f t="shared" si="0"/>
        <v>0.88890000000000002</v>
      </c>
      <c r="F24">
        <f t="shared" si="0"/>
        <v>0.55559999999999998</v>
      </c>
      <c r="G24">
        <f t="shared" si="0"/>
        <v>0.5</v>
      </c>
      <c r="H24">
        <f t="shared" si="0"/>
        <v>0.38890000000000002</v>
      </c>
      <c r="I24">
        <f t="shared" si="0"/>
        <v>0.33329999999999999</v>
      </c>
      <c r="J24">
        <f t="shared" si="0"/>
        <v>0.33329999999999999</v>
      </c>
      <c r="K24">
        <f t="shared" si="0"/>
        <v>5.5599999999999997E-2</v>
      </c>
      <c r="L24">
        <f t="shared" si="0"/>
        <v>0.27779999999999999</v>
      </c>
      <c r="M24">
        <f t="shared" si="0"/>
        <v>0.16669999999999999</v>
      </c>
      <c r="N24">
        <f t="shared" si="0"/>
        <v>0.27779999999999999</v>
      </c>
      <c r="O24">
        <f t="shared" si="0"/>
        <v>0.27779999999999999</v>
      </c>
      <c r="P24">
        <f t="shared" si="0"/>
        <v>0.16669999999999999</v>
      </c>
      <c r="Q24">
        <f t="shared" si="0"/>
        <v>0.72219999999999995</v>
      </c>
    </row>
    <row r="27" spans="1:18" x14ac:dyDescent="0.3">
      <c r="A27" t="s">
        <v>108</v>
      </c>
      <c r="B27" t="s">
        <v>109</v>
      </c>
      <c r="C27" t="s">
        <v>2</v>
      </c>
      <c r="D27" t="s">
        <v>3</v>
      </c>
      <c r="E27" t="s">
        <v>4</v>
      </c>
      <c r="F27" t="s">
        <v>110</v>
      </c>
      <c r="G27" t="s">
        <v>6</v>
      </c>
      <c r="H27" t="s">
        <v>7</v>
      </c>
      <c r="I27" t="s">
        <v>8</v>
      </c>
      <c r="J27" t="s">
        <v>9</v>
      </c>
      <c r="K27" t="s">
        <v>10</v>
      </c>
      <c r="L27" t="s">
        <v>11</v>
      </c>
      <c r="M27" t="s">
        <v>111</v>
      </c>
      <c r="N27" t="s">
        <v>13</v>
      </c>
      <c r="O27" t="s">
        <v>14</v>
      </c>
      <c r="P27" t="s">
        <v>15</v>
      </c>
      <c r="Q27" t="s">
        <v>16</v>
      </c>
      <c r="R27" t="s">
        <v>112</v>
      </c>
    </row>
    <row r="28" spans="1:18" x14ac:dyDescent="0.3">
      <c r="B28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C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D28" t="str">
        <f>HYPERLINK("https://app.clickup.com/t/86995td5m", "[slipstream - data warehouse solution - git (productization)] Build the data deployment pipelines for DEV to QA")</f>
        <v>[slipstream - data warehouse solution - git (productization)] Build the data deployment pipelines for DEV to QA</v>
      </c>
      <c r="F28" t="str">
        <f>HYPERLINK("https://app.clickup.com/t/869a2knmy", "[slipstream - data warehouse solution - git (productization)] Create views as exploitation layer out of data lake")</f>
        <v>[slipstream - data warehouse solution - git (productization)] Create views as exploitation layer out of data lake</v>
      </c>
      <c r="G28" t="str">
        <f>HYPERLINK("https://app.clickup.com/t/869474qb4", "[internal projects] Commit code to GitHub")</f>
        <v>[internal projects] Commit code to GitHub</v>
      </c>
      <c r="H28" t="str">
        <f>HYPERLINK("https://app.clickup.com/t/869b7ft2t", "[internal workstream ] 2 - Internal Server Migration to Cloud")</f>
        <v>[internal workstream ] 2 - Internal Server Migration to Cloud</v>
      </c>
      <c r="I28" t="str">
        <f>HYPERLINK("https://app.clickup.com/t/869atfeg3", "[freshdesk] 1375 FPM Look through results compared to Reg30 rounding differences")</f>
        <v>[freshdesk] 1375 FPM Look through results compared to Reg30 rounding differences</v>
      </c>
      <c r="J28" t="str">
        <f>HYPERLINK("https://app.clickup.com/t/869bd0zxj", "[freshdesk] 1430 Athena Connection Setup")</f>
        <v>[freshdesk] 1430 Athena Connection Setup</v>
      </c>
      <c r="K28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  <c r="L28" t="str">
        <f>HYPERLINK("https://app.clickup.com/t/869a5344p", "[freshdesk] Documentation")</f>
        <v>[freshdesk] Documentation</v>
      </c>
      <c r="O28" t="str">
        <f>HYPERLINK("https://app.clickup.com/t/869474qb4", "[internal projects] Commit code to GitHub")</f>
        <v>[internal projects] Commit code to GitHub</v>
      </c>
      <c r="P28" t="str">
        <f>HYPERLINK("https://app.clickup.com/t/869b7g46j", "[internal workstream ] Pull in skilling data to also analyze who has which competencies")</f>
        <v>[internal workstream ] Pull in skilling data to also analyze who has which competencies</v>
      </c>
      <c r="R28" t="str">
        <f>HYPERLINK("https://app.clickup.com/t/869bbt350", "[freshdesk] 1428 SSO Intergations for data connections within Alteryx")</f>
        <v>[freshdesk] 1428 SSO Intergations for data connections within Alteryx</v>
      </c>
    </row>
    <row r="29" spans="1:18" x14ac:dyDescent="0.3">
      <c r="B29" t="str">
        <f>HYPERLINK("https://app.clickup.com/t/8698jrq4e", "[slipstream - data warehouse solution - git (productization)] Support. Includes platform optimisation, query optimisation etc.")</f>
        <v>[slipstream - data warehouse solution - git (productization)] Support. Includes platform optimisation, query optimisation etc.</v>
      </c>
      <c r="C29" t="str">
        <f>HYPERLINK("https://app.clickup.com/t/8695qbamh", "[internal projects] Testing")</f>
        <v>[internal projects] Testing</v>
      </c>
      <c r="D29" t="str">
        <f>HYPERLINK("https://app.clickup.com/t/869474qb4", "[internal projects] Commit code to GitHub")</f>
        <v>[internal projects] Commit code to GitHub</v>
      </c>
      <c r="F29" t="str">
        <f>HYPERLINK("https://app.clickup.com/t/8698kwuqq", "[slipstream - data warehouse solution - git (productization)] Design and Build Costing reports in Snowflake")</f>
        <v>[slipstream - data warehouse solution - git (productization)] Design and Build Costing reports in Snowflake</v>
      </c>
      <c r="G29" t="str">
        <f>HYPERLINK("https://app.clickup.com/t/8696twreb", "[discovery invest - dw maintenance] Solution Design Doc")</f>
        <v>[discovery invest - dw maintenance] Solution Design Doc</v>
      </c>
      <c r="H29" t="str">
        <f>HYPERLINK("https://app.clickup.com/t/869474qb4", "[internal projects] Commit code to GitHub")</f>
        <v>[internal projects] Commit code to GitHub</v>
      </c>
      <c r="I29" t="str">
        <f>HYPERLINK("https://app.clickup.com/t/869474qb4", "[internal projects] Commit code to GitHub")</f>
        <v>[internal projects] Commit code to GitHub</v>
      </c>
      <c r="J29" t="str">
        <f>HYPERLINK("https://app.clickup.com/t/8696q3a3m", "[internal projects] Team Skills")</f>
        <v>[internal projects] Team Skills</v>
      </c>
      <c r="K29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L29" t="str">
        <f>HYPERLINK("https://app.clickup.com/t/869b8a2z8", "[internal workstream ] Support Data/Dashboard Adjustments")</f>
        <v>[internal workstream ] Support Data/Dashboard Adjustments</v>
      </c>
      <c r="O29" t="str">
        <f>HYPERLINK("https://app.clickup.com/t/869a9nmh7", "[om: fatca 2.0 design implementation project (jira tasks)] CDC-2626 Setup Non-prod and Prod space on Alteryx Servers")</f>
        <v>[om: fatca 2.0 design implementation project (jira tasks)] CDC-2626 Setup Non-prod and Prod space on Alteryx Servers</v>
      </c>
      <c r="P29" t="str">
        <f>HYPERLINK("https://app.clickup.com/t/869b7g432", "[internal workstream ] Test model accuracy to see if it can detect team members' capacity")</f>
        <v>[internal workstream ] Test model accuracy to see if it can detect team members' capacity</v>
      </c>
      <c r="R29" t="str">
        <f>HYPERLINK("https://app.clickup.com/t/869b88fev", "[freshdesk] 1421 OTIF Schedule date changes")</f>
        <v>[freshdesk] 1421 OTIF Schedule date changes</v>
      </c>
    </row>
    <row r="30" spans="1:18" x14ac:dyDescent="0.3">
      <c r="B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C30" t="str">
        <f>HYPERLINK("https://app.clickup.com/t/869474qb4", "[internal projects] Commit code to GitHub")</f>
        <v>[internal projects] Commit code to GitHub</v>
      </c>
      <c r="D30" t="str">
        <f>HYPERLINK("https://app.clickup.com/t/8696twxhf", "[discovery invest - dw maintenance] Handover of All reports")</f>
        <v>[discovery invest - dw maintenance] Handover of All reports</v>
      </c>
      <c r="F30" t="str">
        <f>HYPERLINK("https://app.clickup.com/t/8698jrxaj", "[slipstream - data warehouse solution - git (productization)] Snowflake Setup and Configuration")</f>
        <v>[slipstream - data warehouse solution - git (productization)] Snowflake Setup and Configuration</v>
      </c>
      <c r="G30" t="str">
        <f>HYPERLINK("https://app.clickup.com/t/8696twqcc", "[discovery invest - dw maintenance] Discovery OPS Doc")</f>
        <v>[discovery invest - dw maintenance] Discovery OPS Doc</v>
      </c>
      <c r="H30" t="str">
        <f>HYPERLINK("https://app.clickup.com/t/862k4g368", "[internal projects] Integrate data to Tableau report")</f>
        <v>[internal projects] Integrate data to Tableau report</v>
      </c>
      <c r="J30" t="str">
        <f>HYPERLINK("https://app.clickup.com/t/8696kqh8k", "[internal projects] Tableau server Microsoft Teams app set up")</f>
        <v>[internal projects] Tableau server Microsoft Teams app set up</v>
      </c>
      <c r="K30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  <c r="L30" t="str">
        <f>HYPERLINK("https://app.clickup.com/t/869b8a2qt", "[internal workstream ] Support Dashboard Development")</f>
        <v>[internal workstream ] Support Dashboard Development</v>
      </c>
      <c r="O30" t="str">
        <f>HYPERLINK("https://app.clickup.com/t/869a6vnq6", "[om: fatca 2.0 design implementation project (jira tasks)] CDC-2757 Market Conduct: Provide time estimates for deliverables")</f>
        <v>[om: fatca 2.0 design implementation project (jira tasks)] CDC-2757 Market Conduct: Provide time estimates for deliverables</v>
      </c>
      <c r="P30" t="str">
        <f>HYPERLINK("https://app.clickup.com/t/869b7g3ut", "[internal workstream ] Train model on team's Outlook Calendar data")</f>
        <v>[internal workstream ] Train model on team's Outlook Calendar data</v>
      </c>
      <c r="R30" t="str">
        <f>HYPERLINK("https://app.clickup.com/t/869b8a9e9", "[internal workstream ] Adding and Switching New Data Sources")</f>
        <v>[internal workstream ] Adding and Switching New Data Sources</v>
      </c>
    </row>
    <row r="31" spans="1:18" x14ac:dyDescent="0.3">
      <c r="B31" t="str">
        <f>HYPERLINK("https://app.clickup.com/t/869474qb4", "[internal projects] Commit code to GitHub")</f>
        <v>[internal projects] Commit code to GitHub</v>
      </c>
      <c r="C31" t="str">
        <f>HYPERLINK("https://app.clickup.com/t/862k18nwr", "[internal projects] SLA performance for each customer")</f>
        <v>[internal projects] SLA performance for each customer</v>
      </c>
      <c r="D31" t="str">
        <f>HYPERLINK("https://app.clickup.com/t/8698aqyt9", "[architecture refactor - python reports] Test each script runs successfully on Subaru (Dev)")</f>
        <v>[architecture refactor - python reports] Test each script runs successfully on Subaru (Dev)</v>
      </c>
      <c r="F31" t="str">
        <f>HYPERLINK("https://app.clickup.com/t/8698jrq40", "[slipstream - data warehouse solution - git (productization)] Optimisation and Enhancemnets post testing")</f>
        <v>[slipstream - data warehouse solution - git (productization)] Optimisation and Enhancemnets post testing</v>
      </c>
      <c r="G31" t="str">
        <f>HYPERLINK("https://app.clickup.com/t/8696c93m9", "[discovery invest - dw maintenance] Change LAst_seed_Process = 2 for 7 tables")</f>
        <v>[discovery invest - dw maintenance] Change LAst_seed_Process = 2 for 7 tables</v>
      </c>
      <c r="H31" t="str">
        <f>HYPERLINK("https://app.clickup.com/t/86931cq82", "[certification] Alteryx")</f>
        <v>[certification] Alteryx</v>
      </c>
      <c r="J31" t="str">
        <f>HYPERLINK("https://app.clickup.com/t/869474qb4", "[internal projects] Commit code to GitHub")</f>
        <v>[internal projects] Commit code to GitHub</v>
      </c>
      <c r="K31" t="str">
        <f>HYPERLINK("https://app.clickup.com/t/869474qb4", "[internal projects] Commit code to GitHub")</f>
        <v>[internal projects] Commit code to GitHub</v>
      </c>
      <c r="L31" t="str">
        <f>HYPERLINK("https://app.clickup.com/t/869b7ft2v", "[internal workstream ] 3 - Resource Scheduling &amp; Chatbot")</f>
        <v>[internal workstream ] 3 - Resource Scheduling &amp; Chatbot</v>
      </c>
      <c r="O31" t="str">
        <f>HYPERLINK("https://app.clickup.com/t/869a1x6nk", "[om: fatca 2.0 design implementation project (jira tasks)] CDC-2062 Highlight where field values do not map to static reference tables in the raw schema")</f>
        <v>[om: fatca 2.0 design implementation project (jira tasks)] CDC-2062 Highlight where field values do not map to static reference tables in the raw schema</v>
      </c>
      <c r="P31" t="str">
        <f>HYPERLINK("https://app.clickup.com/t/869b7ft2v", "[internal workstream ] 3 - Resource Scheduling &amp; Chatbot")</f>
        <v>[internal workstream ] 3 - Resource Scheduling &amp; Chatbot</v>
      </c>
      <c r="R31" t="str">
        <f>HYPERLINK("https://app.clickup.com/t/869b7ft2v", "[internal workstream ] 3 - Resource Scheduling &amp; Chatbot")</f>
        <v>[internal workstream ] 3 - Resource Scheduling &amp; Chatbot</v>
      </c>
    </row>
    <row r="32" spans="1:18" x14ac:dyDescent="0.3">
      <c r="B32" t="str">
        <f>HYPERLINK("https://app.clickup.com/t/8696twxyk", "[discovery invest - dw maintenance] Handover of All Documentation")</f>
        <v>[discovery invest - dw maintenance] Handover of All Documentation</v>
      </c>
      <c r="C32" t="str">
        <f>HYPERLINK("https://app.clickup.com/t/869ahmf7u", "[certification] Salesforce Certified Agentforce Specialist")</f>
        <v>[certification] Salesforce Certified Agentforce Specialist</v>
      </c>
      <c r="D32" t="str">
        <f>HYPERLINK("https://app.clickup.com/t/8698aqwqc", "[architecture refactor - python reports] Test complete process for scripts")</f>
        <v>[architecture refactor - python reports] Test complete process for scripts</v>
      </c>
      <c r="F32" t="str">
        <f>HYPERLINK("https://app.clickup.com/t/869bbjkpr", "[odo internal] December 2025 MG")</f>
        <v>[odo internal] December 2025 MG</v>
      </c>
      <c r="J32" t="str">
        <f>HYPERLINK("https://app.clickup.com/t/8698rmb2r", "[certification] AWS Certified Solutions Architect - Associate")</f>
        <v>[certification] AWS Certified Solutions Architect - Associate</v>
      </c>
      <c r="K32" t="str">
        <f>HYPERLINK("https://app.clickup.com/t/86971xvd4", "[discovery invest - dw maintenance] Run the file extracts")</f>
        <v>[discovery invest - dw maintenance] Run the file extracts</v>
      </c>
      <c r="L32" t="str">
        <f>HYPERLINK("https://app.clickup.com/t/869b7ft2t", "[internal workstream ] 2 - Internal Server Migration to Cloud")</f>
        <v>[internal workstream ] 2 - Internal Server Migration to Cloud</v>
      </c>
      <c r="O32" t="str">
        <f>HYPERLINK("https://app.clickup.com/t/869a1bu7g", "[om: fatca 2.0 design implementation project (jira tasks)] CDC-2563 Business Rule - Tax Free investments")</f>
        <v>[om: fatca 2.0 design implementation project (jira tasks)] CDC-2563 Business Rule - Tax Free investments</v>
      </c>
      <c r="P32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R32" t="str">
        <f>HYPERLINK("https://app.clickup.com/t/869b7ft2t", "[internal workstream ] 2 - Internal Server Migration to Cloud")</f>
        <v>[internal workstream ] 2 - Internal Server Migration to Cloud</v>
      </c>
    </row>
    <row r="33" spans="2:18" x14ac:dyDescent="0.3">
      <c r="B33" t="str">
        <f>HYPERLINK("https://app.clickup.com/t/8696twxhf", "[discovery invest - dw maintenance] Handover of All reports")</f>
        <v>[discovery invest - dw maintenance] Handover of All reports</v>
      </c>
      <c r="C33" t="str">
        <f>HYPERLINK("https://app.clickup.com/t/869ab1fx3", "[certification] AWS Data Engineer - Associate")</f>
        <v>[certification] AWS Data Engineer - Associate</v>
      </c>
      <c r="D33" t="str">
        <f>HYPERLINK("https://app.clickup.com/t/869894fku", "[architecture refactor - python reports] Configure the GIT repository process")</f>
        <v>[architecture refactor - python reports] Configure the GIT repository process</v>
      </c>
      <c r="F33" t="str">
        <f>HYPERLINK("https://app.clickup.com/t/869474qb4", "[internal projects] Commit code to GitHub")</f>
        <v>[internal projects] Commit code to GitHub</v>
      </c>
      <c r="J33" t="str">
        <f>HYPERLINK("https://app.clickup.com/t/8698kuxvw", "[wonga: data warehouse development &amp; migration onto snowflake project] Design Document")</f>
        <v>[wonga: data warehouse development &amp; migration onto snowflake project] Design Document</v>
      </c>
      <c r="K33" t="str">
        <f>HYPERLINK("https://app.clickup.com/t/86971xv4x", "[discovery invest - dw maintenance] Validating the marts")</f>
        <v>[discovery invest - dw maintenance] Validating the marts</v>
      </c>
      <c r="L33" t="str">
        <f>HYPERLINK("https://app.clickup.com/t/869b7ft2j", "[internal workstream ] 1 - Client Support Dashboard")</f>
        <v>[internal workstream ] 1 - Client Support Dashboard</v>
      </c>
      <c r="O33" t="str">
        <f>HYPERLINK("https://app.clickup.com/t/869a01gfm", "[om: fatca 2.0 design implementation project (jira tasks)] CDC-2509 Investigate subset where controlling person and entity has different entity_ids")</f>
        <v>[om: fatca 2.0 design implementation project (jira tasks)] CDC-2509 Investigate subset where controlling person and entity has different entity_ids</v>
      </c>
      <c r="P33" t="str">
        <f>HYPERLINK("https://app.clickup.com/t/869a2n417", "[wonga: data warehouse development &amp; migration onto snowflake project] Design and build monitoring reports for test cases - datadog")</f>
        <v>[wonga: data warehouse development &amp; migration onto snowflake project] Design and build monitoring reports for test cases - datadog</v>
      </c>
      <c r="R33" t="str">
        <f>HYPERLINK("https://app.clickup.com/t/869b7ft2j", "[internal workstream ] 1 - Client Support Dashboard")</f>
        <v>[internal workstream ] 1 - Client Support Dashboard</v>
      </c>
    </row>
    <row r="34" spans="2:18" x14ac:dyDescent="0.3">
      <c r="B34" t="str">
        <f>HYPERLINK("https://app.clickup.com/t/8696twreb", "[discovery invest - dw maintenance] Solution Design Doc")</f>
        <v>[discovery invest - dw maintenance] Solution Design Doc</v>
      </c>
      <c r="C34" t="str">
        <f>HYPERLINK("https://app.clickup.com/t/8694x2b1k", "[certification] Alteryx Designer Advanced")</f>
        <v>[certification] Alteryx Designer Advanced</v>
      </c>
      <c r="D34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F34" t="str">
        <f>HYPERLINK("https://app.clickup.com/t/86931cq56", "[certification] Snowflake")</f>
        <v>[certification] Snowflake</v>
      </c>
      <c r="J3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4" t="str">
        <f>HYPERLINK("https://app.clickup.com/t/86971xv04", "[discovery invest - dw maintenance] Run mart code")</f>
        <v>[discovery invest - dw maintenance] Run mart code</v>
      </c>
      <c r="L34" t="str">
        <f>HYPERLINK("https://app.clickup.com/t/8698juq5h", "[slipstream - data warehouse solution - git (productization)] Build the PowerBI reports for monitoring data Lake progress")</f>
        <v>[slipstream - data warehouse solution - git (productization)] Build the PowerBI reports for monitoring data Lake progress</v>
      </c>
      <c r="O34" t="str">
        <f>HYPERLINK("https://app.clickup.com/t/8699yvvh7", "[om: fatca 2.0 design implementation project (jira tasks)] CDC-2560 SARS TPAH Template Update the rule to avoid referencing the database table")</f>
        <v>[om: fatca 2.0 design implementation project (jira tasks)] CDC-2560 SARS TPAH Template Update the rule to avoid referencing the database table</v>
      </c>
      <c r="P34" t="str">
        <f>HYPERLINK("https://app.clickup.com/t/869a2n32w", "[wonga: data warehouse development &amp; migration onto snowflake project] Configure tests per WH tables")</f>
        <v>[wonga: data warehouse development &amp; migration onto snowflake project] Configure tests per WH tables</v>
      </c>
      <c r="R34" t="str">
        <f>HYPERLINK("https://app.clickup.com/t/8698jrq49", "[slipstream - data warehouse solution - git (productization)] Testing - data Audit processes")</f>
        <v>[slipstream - data warehouse solution - git (productization)] Testing - data Audit processes</v>
      </c>
    </row>
    <row r="35" spans="2:18" x14ac:dyDescent="0.3">
      <c r="B35" t="str">
        <f>HYPERLINK("https://app.clickup.com/t/8696twqcc", "[discovery invest - dw maintenance] Discovery OPS Doc")</f>
        <v>[discovery invest - dw maintenance] Discovery OPS Doc</v>
      </c>
      <c r="C35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D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F35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35" t="str">
        <f>HYPERLINK("https://app.clickup.com/t/86971xur8", "[discovery invest - dw maintenance] Run implied deletes code")</f>
        <v>[discovery invest - dw maintenance] Run implied deletes code</v>
      </c>
      <c r="L35" t="str">
        <f>HYPERLINK("https://app.clickup.com/t/8698jupt0", "[slipstream - data warehouse solution - git (productization)] Build the PowerBI reports for monitoring data Stage progress")</f>
        <v>[slipstream - data warehouse solution - git (productization)] Build the PowerBI reports for monitoring data Stage progress</v>
      </c>
      <c r="O35" t="str">
        <f>HYPERLINK("https://app.clickup.com/t/8699yvveh", "[om: fatca 2.0 design implementation project (jira tasks)] CDC-2559 SARS TPAH Template Remove all spaces and special characters")</f>
        <v>[om: fatca 2.0 design implementation project (jira tasks)] CDC-2559 SARS TPAH Template Remove all spaces and special characters</v>
      </c>
      <c r="P35" t="str">
        <f>HYPERLINK("https://app.clickup.com/t/869a2myq0", "[wonga: data warehouse development &amp; migration onto snowflake project] Setup and configure testing framework")</f>
        <v>[wonga: data warehouse development &amp; migration onto snowflake project] Setup and configure testing framework</v>
      </c>
      <c r="R35" t="str">
        <f>HYPERLINK("https://app.clickup.com/t/8698jrq3g", "[slipstream - data warehouse solution - git (productization)] Orchestration")</f>
        <v>[slipstream - data warehouse solution - git (productization)] Orchestration</v>
      </c>
    </row>
    <row r="36" spans="2:18" x14ac:dyDescent="0.3">
      <c r="B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C36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D36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K36" t="str">
        <f>HYPERLINK("https://app.clickup.com/t/86971xtt3", "[discovery invest - dw maintenance] Validating the DWH")</f>
        <v>[discovery invest - dw maintenance] Validating the DWH</v>
      </c>
      <c r="L36" t="str">
        <f>HYPERLINK("https://app.clickup.com/t/8698jrq3g", "[slipstream - data warehouse solution - git (productization)] Orchestration")</f>
        <v>[slipstream - data warehouse solution - git (productization)] Orchestration</v>
      </c>
      <c r="P36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36" t="str">
        <f>HYPERLINK("https://app.clickup.com/t/8698jrq35", "[slipstream - data warehouse solution - git (productization)] Audit Tables and Process up to Data lake")</f>
        <v>[slipstream - data warehouse solution - git (productization)] Audit Tables and Process up to Data lake</v>
      </c>
    </row>
    <row r="37" spans="2:18" x14ac:dyDescent="0.3">
      <c r="C37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K37" t="str">
        <f>HYPERLINK("https://app.clickup.com/t/8696twxyk", "[discovery invest - dw maintenance] Handover of All Documentation")</f>
        <v>[discovery invest - dw maintenance] Handover of All Documentation</v>
      </c>
      <c r="L37" t="str">
        <f>HYPERLINK("https://app.clickup.com/t/869aafmh1", "[certification] AWS Data Engineer - Associate")</f>
        <v>[certification] AWS Data Engineer - Associate</v>
      </c>
      <c r="O37" t="str">
        <f>HYPERLINK("https://app.clickup.com/t/8699yvuqh", "[om: fatca 2.0 design implementation project (jira tasks)] CDC-2555 Entities former COB")</f>
        <v>[om: fatca 2.0 design implementation project (jira tasks)] CDC-2555 Entities former COB</v>
      </c>
      <c r="P37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37" t="str">
        <f>HYPERLINK("https://app.clickup.com/t/869ag79ab", "[internal projects] Test Framework UAT doc")</f>
        <v>[internal projects] Test Framework UAT doc</v>
      </c>
    </row>
    <row r="38" spans="2:18" x14ac:dyDescent="0.3">
      <c r="C38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K38" t="str">
        <f>HYPERLINK("https://app.clickup.com/t/8696twrv7", "[discovery invest - dw maintenance] Extract Sign-Off Document")</f>
        <v>[discovery invest - dw maintenance] Extract Sign-Off Document</v>
      </c>
      <c r="L38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  <c r="O38" t="str">
        <f>HYPERLINK("https://app.clickup.com/t/8699yvtjg", "[om: fatca 2.0 design implementation project (jira tasks)] CDC-2553 Flexcube SARS Templates - rename the RFI to source system code at scheme level")</f>
        <v>[om: fatca 2.0 design implementation project (jira tasks)] CDC-2553 Flexcube SARS Templates - rename the RFI to source system code at scheme level</v>
      </c>
      <c r="R38" t="str">
        <f>HYPERLINK("https://app.clickup.com/t/869a70f9p", "[internal projects] Billed VS Invoiced VS SLA")</f>
        <v>[internal projects] Billed VS Invoiced VS SLA</v>
      </c>
    </row>
    <row r="39" spans="2:18" x14ac:dyDescent="0.3">
      <c r="C39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K39" t="str">
        <f>HYPERLINK("https://app.clickup.com/t/8696twreb", "[discovery invest - dw maintenance] Solution Design Doc")</f>
        <v>[discovery invest - dw maintenance] Solution Design Doc</v>
      </c>
      <c r="L39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  <c r="O39" t="str">
        <f>HYPERLINK("https://app.clickup.com/t/8699yvruw", "[om: fatca 2.0 design implementation project (jira tasks)] CDC-2561 Diminmus rules to be applied at scheme level and not at OMUT level")</f>
        <v>[om: fatca 2.0 design implementation project (jira tasks)] CDC-2561 Diminmus rules to be applied at scheme level and not at OMUT level</v>
      </c>
      <c r="R39" t="str">
        <f>HYPERLINK("https://app.clickup.com/t/8697xudfa", "[internal projects] Income statement dashboard")</f>
        <v>[internal projects] Income statement dashboard</v>
      </c>
    </row>
    <row r="40" spans="2:18" x14ac:dyDescent="0.3">
      <c r="C40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K40" t="str">
        <f>HYPERLINK("https://app.clickup.com/t/8696twqcc", "[discovery invest - dw maintenance] Discovery OPS Doc")</f>
        <v>[discovery invest - dw maintenance] Discovery OPS Doc</v>
      </c>
      <c r="L40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  <c r="O40" t="str">
        <f>HYPERLINK("https://app.clickup.com/t/8699yvra6", "[om: fatca 2.0 design implementation project (jira tasks)] CDC-2554 Entities COB")</f>
        <v>[om: fatca 2.0 design implementation project (jira tasks)] CDC-2554 Entities COB</v>
      </c>
      <c r="R40" t="str">
        <f>HYPERLINK("https://app.clickup.com/t/8697t8mu2", "[internal projects] Sales Dashboard Additional requirements")</f>
        <v>[internal projects] Sales Dashboard Additional requirements</v>
      </c>
    </row>
    <row r="41" spans="2:18" x14ac:dyDescent="0.3">
      <c r="K41" t="str">
        <f>HYPERLINK("https://app.clickup.com/t/869b5ymdt", "[wonga: data warehouse development &amp; migration onto snowflake project] Application Funnel")</f>
        <v>[wonga: data warehouse development &amp; migration onto snowflake project] Application Funnel</v>
      </c>
      <c r="L41" t="str">
        <f>HYPERLINK("https://app.clickup.com/t/869b38jvj", "[wonga: data warehouse development &amp; migration onto snowflake project] 4.2 - Daily Funnel Report")</f>
        <v>[wonga: data warehouse development &amp; migration onto snowflake project] 4.2 - Daily Funnel Report</v>
      </c>
      <c r="R41" t="str">
        <f>HYPERLINK("https://app.clickup.com/t/8697my8gd", "[internal projects] Financial and Sales Dashboard enhancement")</f>
        <v>[internal projects] Financial and Sales Dashboard enhancement</v>
      </c>
    </row>
    <row r="42" spans="2:18" x14ac:dyDescent="0.3">
      <c r="K42" t="str">
        <f>HYPERLINK("https://app.clickup.com/t/869b5azta", "[wonga: data warehouse development &amp; migration onto snowflake project] Mapping Document")</f>
        <v>[wonga: data warehouse development &amp; migration onto snowflake project] Mapping Document</v>
      </c>
      <c r="L42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  <c r="R42" t="str">
        <f>HYPERLINK("https://app.clickup.com/t/8696yar98", "[internal projects] Resource Utilization Dashboard Refinements")</f>
        <v>[internal projects] Resource Utilization Dashboard Refinements</v>
      </c>
    </row>
    <row r="43" spans="2:18" x14ac:dyDescent="0.3">
      <c r="K43" t="str">
        <f>HYPERLINK("https://app.clickup.com/t/869b1ap2v", "[wonga: data warehouse development &amp; migration onto snowflake project] Import Lookup Tables")</f>
        <v>[wonga: data warehouse development &amp; migration onto snowflake project] Import Lookup Tables</v>
      </c>
      <c r="L43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  <c r="R43" t="str">
        <f>HYPERLINK("https://app.clickup.com/t/8696u6wyy", "[internal projects] Alteryx Server SLA Report process")</f>
        <v>[internal projects] Alteryx Server SLA Report process</v>
      </c>
    </row>
    <row r="44" spans="2:18" x14ac:dyDescent="0.3">
      <c r="K44" t="str">
        <f>HYPERLINK("https://app.clickup.com/t/869b1am05", "[wonga: data warehouse development &amp; migration onto snowflake project] FinMart_DebtorsAgeing")</f>
        <v>[wonga: data warehouse development &amp; migration onto snowflake project] FinMart_DebtorsAgeing</v>
      </c>
      <c r="L44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4" t="str">
        <f>HYPERLINK("https://app.clickup.com/t/8695mj63r", "[internal projects] Shoprite B2B SLA Document")</f>
        <v>[internal projects] Shoprite B2B SLA Document</v>
      </c>
    </row>
    <row r="45" spans="2:18" x14ac:dyDescent="0.3">
      <c r="K45" t="str">
        <f>HYPERLINK("https://app.clickup.com/t/869b1akhw", "[wonga: data warehouse development &amp; migration onto snowflake project] FinMart_NCR_Data")</f>
        <v>[wonga: data warehouse development &amp; migration onto snowflake project] FinMart_NCR_Data</v>
      </c>
      <c r="R45" t="str">
        <f>HYPERLINK("https://app.clickup.com/t/869474qb4", "[internal projects] Commit code to GitHub")</f>
        <v>[internal projects] Commit code to GitHub</v>
      </c>
    </row>
    <row r="46" spans="2:18" x14ac:dyDescent="0.3">
      <c r="K46" t="str">
        <f>HYPERLINK("https://app.clickup.com/t/869b1ajq3", "[wonga: data warehouse development &amp; migration onto snowflake project] FinMart_CreditBalances")</f>
        <v>[wonga: data warehouse development &amp; migration onto snowflake project] FinMart_CreditBalances</v>
      </c>
      <c r="R46" t="str">
        <f>HYPERLINK("https://app.clickup.com/t/869agp147", "[certification] Snowflake Sales Professional")</f>
        <v>[certification] Snowflake Sales Professional</v>
      </c>
    </row>
    <row r="47" spans="2:18" x14ac:dyDescent="0.3">
      <c r="K47" t="str">
        <f>HYPERLINK("https://app.clickup.com/t/869a2n52m", "[wonga: data warehouse development &amp; migration onto snowflake project] Develop load process for all facts")</f>
        <v>[wonga: data warehouse development &amp; migration onto snowflake project] Develop load process for all facts</v>
      </c>
      <c r="R47" t="str">
        <f>HYPERLINK("https://app.clickup.com/t/869agp0uz", "[certification] Snowflake Technical Sales Professional")</f>
        <v>[certification] Snowflake Technical Sales Professional</v>
      </c>
    </row>
    <row r="48" spans="2:18" x14ac:dyDescent="0.3">
      <c r="K48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  <c r="R48" t="str">
        <f>HYPERLINK("https://app.clickup.com/t/869af829t", "[certification] Salesforce Certified Agentforce Specialist")</f>
        <v>[certification] Salesforce Certified Agentforce Specialist</v>
      </c>
    </row>
    <row r="49" spans="11:18" x14ac:dyDescent="0.3">
      <c r="K49" t="str">
        <f>HYPERLINK("https://app.clickup.com/t/8698jrq42", "[wonga: data warehouse development &amp; migration onto snowflake project] Documentation")</f>
        <v>[wonga: data warehouse development &amp; migration onto snowflake project] Documentation</v>
      </c>
      <c r="R49" t="str">
        <f>HYPERLINK("https://app.clickup.com/t/869af7nme", "[certification] AWS Certified Solutions Architect - Associate")</f>
        <v>[certification] AWS Certified Solutions Architect - Associate</v>
      </c>
    </row>
    <row r="50" spans="11:18" x14ac:dyDescent="0.3">
      <c r="K50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  <c r="R50" t="str">
        <f>HYPERLINK("https://app.clickup.com/t/869ab9g7u", "[certification] AWS Data Engineer - Associate")</f>
        <v>[certification] AWS Data Engineer - Associate</v>
      </c>
    </row>
    <row r="51" spans="11:18" x14ac:dyDescent="0.3">
      <c r="R51" t="str">
        <f>HYPERLINK("https://app.clickup.com/t/8696twreb", "[discovery invest - dw maintenance] Solution Design Doc")</f>
        <v>[discovery invest - dw maintenance] Solution Design Doc</v>
      </c>
    </row>
    <row r="52" spans="11:18" x14ac:dyDescent="0.3">
      <c r="R52" t="str">
        <f>HYPERLINK("https://app.clickup.com/t/869b6v0gh", "[om: fatca 2.0 design implementation project (jira tasks)] CDC-2562 Develop a Foreigners List dashboard")</f>
        <v>[om: fatca 2.0 design implementation project (jira tasks)] CDC-2562 Develop a Foreigners List dashboard</v>
      </c>
    </row>
    <row r="53" spans="11:18" x14ac:dyDescent="0.3">
      <c r="R53" t="str">
        <f>HYPERLINK("https://app.clickup.com/t/869ax6j44", "[om: fatca 2.0 design implementation project (jira tasks)] Titanium Reports")</f>
        <v>[om: fatca 2.0 design implementation project (jira tasks)] Titanium Reports</v>
      </c>
    </row>
    <row r="54" spans="11:18" x14ac:dyDescent="0.3">
      <c r="R54" t="str">
        <f>HYPERLINK("https://app.clickup.com/t/869ax6j0z", "[om: fatca 2.0 design implementation project (jira tasks)] CDC-3034-aws-s3-bucket-investigation")</f>
        <v>[om: fatca 2.0 design implementation project (jira tasks)] CDC-3034-aws-s3-bucket-investigation</v>
      </c>
    </row>
    <row r="55" spans="11:18" x14ac:dyDescent="0.3">
      <c r="R55" t="str">
        <f>HYPERLINK("https://app.clickup.com/t/869avjm5f", "[om: fatca 2.0 design implementation project (jira tasks)] CBR Quarterly Run")</f>
        <v>[om: fatca 2.0 design implementation project (jira tasks)] CBR Quarterly Run</v>
      </c>
    </row>
    <row r="56" spans="11:18" x14ac:dyDescent="0.3">
      <c r="R56" t="str">
        <f>HYPERLINK("https://app.clickup.com/t/869auvvmp", "[om: fatca 2.0 design implementation project (jira tasks)] Advisor Recon Report Manual Run")</f>
        <v>[om: fatca 2.0 design implementation project (jira tasks)] Advisor Recon Report Manual Run</v>
      </c>
    </row>
    <row r="57" spans="11:18" x14ac:dyDescent="0.3">
      <c r="R57" t="str">
        <f>HYPERLINK("https://app.clickup.com/t/869arkz3a", "[om: fatca 2.0 design implementation project (jira tasks)] CDC-2914 Create Test Cases Cura Reg Change (Framework) Dashboard")</f>
        <v>[om: fatca 2.0 design implementation project (jira tasks)] CDC-2914 Create Test Cases Cura Reg Change (Framework) Dashboard</v>
      </c>
    </row>
    <row r="58" spans="11:18" x14ac:dyDescent="0.3">
      <c r="R58" t="str">
        <f>HYPERLINK("https://app.clickup.com/t/869am7mt7", "[om: fatca 2.0 design implementation project (jira tasks)] CDC-2913 Cura Reg Change Dashboard Modifications")</f>
        <v>[om: fatca 2.0 design implementation project (jira tasks)] CDC-2913 Cura Reg Change Dashboard Modifications</v>
      </c>
    </row>
    <row r="59" spans="11:18" x14ac:dyDescent="0.3">
      <c r="R59" t="str">
        <f>HYPERLINK("https://app.clickup.com/t/869b1x8cc", "[architecture refactor - python reports] Set up protection ruleset for dev")</f>
        <v>[architecture refactor - python reports] Set up protection ruleset for dev</v>
      </c>
    </row>
    <row r="60" spans="11:18" x14ac:dyDescent="0.3">
      <c r="R60" t="str">
        <f>HYPERLINK("https://app.clickup.com/t/869b1x6vz", "[architecture refactor - python reports] Create review process for merge into dev")</f>
        <v>[architecture refactor - python reports] Create review process for merge into dev</v>
      </c>
    </row>
    <row r="61" spans="11:18" x14ac:dyDescent="0.3">
      <c r="R61" t="str">
        <f>HYPERLINK("https://app.clickup.com/t/869894fku", "[architecture refactor - python reports] Configure the GIT repository process")</f>
        <v>[architecture refactor - python reports] Configure the GIT repository process</v>
      </c>
    </row>
    <row r="62" spans="11:18" x14ac:dyDescent="0.3">
      <c r="R62" t="str">
        <f>HYPERLINK("https://app.clickup.com/t/869b9t7yd", "[wonga: data warehouse development &amp; migration onto snowflake project] PowerBI Documentation for reporting")</f>
        <v>[wonga: data warehouse development &amp; migration onto snowflake project] PowerBI Documentation for reporting</v>
      </c>
    </row>
    <row r="63" spans="11:18" x14ac:dyDescent="0.3">
      <c r="R63" t="str">
        <f>HYPERLINK("https://app.clickup.com/t/869b38jz8", "[wonga: data warehouse development &amp; migration onto snowflake project] 4.4 - Daily Collections")</f>
        <v>[wonga: data warehouse development &amp; migration onto snowflake project] 4.4 - Daily Collections</v>
      </c>
    </row>
    <row r="64" spans="11:18" x14ac:dyDescent="0.3">
      <c r="R64" t="str">
        <f>HYPERLINK("https://app.clickup.com/t/869b38jxf", "[wonga: data warehouse development &amp; migration onto snowflake project] 4.3 - Death Benefit Report")</f>
        <v>[wonga: data warehouse development &amp; migration onto snowflake project] 4.3 - Death Benefit Report</v>
      </c>
    </row>
    <row r="65" spans="18:18" x14ac:dyDescent="0.3">
      <c r="R65" t="str">
        <f>HYPERLINK("https://app.clickup.com/t/869aq4wy7", "[wonga: data warehouse development &amp; migration onto snowflake project] 2 - PowerBI - Snowflake Security Integration - OOS")</f>
        <v>[wonga: data warehouse development &amp; migration onto snowflake project] 2 - PowerBI - Snowflake Security Integration - OOS</v>
      </c>
    </row>
    <row r="66" spans="18:18" x14ac:dyDescent="0.3">
      <c r="R66" t="str">
        <f>HYPERLINK("https://app.clickup.com/t/869aq4tr8", "[wonga: data warehouse development &amp; migration onto snowflake project] PowerBI - Operational Reports")</f>
        <v>[wonga: data warehouse development &amp; migration onto snowflake project] PowerBI - Operational Reports</v>
      </c>
    </row>
    <row r="67" spans="18:18" x14ac:dyDescent="0.3">
      <c r="R67" t="str">
        <f>HYPERLINK("https://app.clickup.com/t/869a0btaq", "[wonga: data warehouse development &amp; migration onto snowflake project] Physical model design Sign-Off")</f>
        <v>[wonga: data warehouse development &amp; migration onto snowflake project] Physical model design Sign-Off</v>
      </c>
    </row>
    <row r="68" spans="18:18" x14ac:dyDescent="0.3">
      <c r="R68" t="str">
        <f>HYPERLINK("https://app.clickup.com/t/8698jrq3x", "[wonga: data warehouse development &amp; migration onto snowflake project] MART Process")</f>
        <v>[wonga: data warehouse development &amp; migration onto snowflake project] MART Process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92</vt:i4>
      </vt:variant>
    </vt:vector>
  </HeadingPairs>
  <TitlesOfParts>
    <vt:vector size="92" baseType="lpstr">
      <vt:lpstr>Monday 2025-12-01</vt:lpstr>
      <vt:lpstr>Tuesday 2025-12-02</vt:lpstr>
      <vt:lpstr>Wednesday 2025-12-03</vt:lpstr>
      <vt:lpstr>Thursday 2025-12-04</vt:lpstr>
      <vt:lpstr>Friday 2025-12-05</vt:lpstr>
      <vt:lpstr>Saturday 2025-12-06</vt:lpstr>
      <vt:lpstr>Sunday 2025-12-07</vt:lpstr>
      <vt:lpstr>Monday 2025-12-08</vt:lpstr>
      <vt:lpstr>Tuesday 2025-12-09</vt:lpstr>
      <vt:lpstr>Wednesday 2025-12-10</vt:lpstr>
      <vt:lpstr>Thursday 2025-12-11</vt:lpstr>
      <vt:lpstr>Friday 2025-12-12</vt:lpstr>
      <vt:lpstr>Saturday 2025-12-13</vt:lpstr>
      <vt:lpstr>Sunday 2025-12-14</vt:lpstr>
      <vt:lpstr>Monday 2025-12-15</vt:lpstr>
      <vt:lpstr>Tuesday 2025-12-16</vt:lpstr>
      <vt:lpstr>Wednesday 2025-12-17</vt:lpstr>
      <vt:lpstr>Thursday 2025-12-18</vt:lpstr>
      <vt:lpstr>Friday 2025-12-19</vt:lpstr>
      <vt:lpstr>Saturday 2025-12-20</vt:lpstr>
      <vt:lpstr>Sunday 2025-12-21</vt:lpstr>
      <vt:lpstr>Monday 2025-12-22</vt:lpstr>
      <vt:lpstr>Tuesday 2025-12-23</vt:lpstr>
      <vt:lpstr>Wednesday 2025-12-24</vt:lpstr>
      <vt:lpstr>Thursday 2025-12-25</vt:lpstr>
      <vt:lpstr>Friday 2025-12-26</vt:lpstr>
      <vt:lpstr>Saturday 2025-12-27</vt:lpstr>
      <vt:lpstr>Sunday 2025-12-28</vt:lpstr>
      <vt:lpstr>Monday 2025-12-29</vt:lpstr>
      <vt:lpstr>Tuesday 2025-12-30</vt:lpstr>
      <vt:lpstr>Wednesday 2025-12-31</vt:lpstr>
      <vt:lpstr>Thursday 2026-01-01</vt:lpstr>
      <vt:lpstr>Friday 2026-01-02</vt:lpstr>
      <vt:lpstr>Saturday 2026-01-03</vt:lpstr>
      <vt:lpstr>Sunday 2026-01-04</vt:lpstr>
      <vt:lpstr>Monday 2026-01-05</vt:lpstr>
      <vt:lpstr>Tuesday 2026-01-06</vt:lpstr>
      <vt:lpstr>Wednesday 2026-01-07</vt:lpstr>
      <vt:lpstr>Thursday 2026-01-08</vt:lpstr>
      <vt:lpstr>Friday 2026-01-09</vt:lpstr>
      <vt:lpstr>Saturday 2026-01-10</vt:lpstr>
      <vt:lpstr>Sunday 2026-01-11</vt:lpstr>
      <vt:lpstr>Monday 2026-01-12</vt:lpstr>
      <vt:lpstr>Tuesday 2026-01-13</vt:lpstr>
      <vt:lpstr>Wednesday 2026-01-14</vt:lpstr>
      <vt:lpstr>Thursday 2026-01-15</vt:lpstr>
      <vt:lpstr>Friday 2026-01-16</vt:lpstr>
      <vt:lpstr>Saturday 2026-01-17</vt:lpstr>
      <vt:lpstr>Sunday 2026-01-18</vt:lpstr>
      <vt:lpstr>Monday 2026-01-19</vt:lpstr>
      <vt:lpstr>Tuesday 2026-01-20</vt:lpstr>
      <vt:lpstr>Wednesday 2026-01-21</vt:lpstr>
      <vt:lpstr>Thursday 2026-01-22</vt:lpstr>
      <vt:lpstr>Friday 2026-01-23</vt:lpstr>
      <vt:lpstr>Saturday 2026-01-24</vt:lpstr>
      <vt:lpstr>Sunday 2026-01-25</vt:lpstr>
      <vt:lpstr>Monday 2026-01-26</vt:lpstr>
      <vt:lpstr>Tuesday 2026-01-27</vt:lpstr>
      <vt:lpstr>Wednesday 2026-01-28</vt:lpstr>
      <vt:lpstr>Thursday 2026-01-29</vt:lpstr>
      <vt:lpstr>Friday 2026-01-30</vt:lpstr>
      <vt:lpstr>Saturday 2026-01-31</vt:lpstr>
      <vt:lpstr>Sunday 2026-02-01</vt:lpstr>
      <vt:lpstr>Monday 2026-02-02</vt:lpstr>
      <vt:lpstr>Tuesday 2026-02-03</vt:lpstr>
      <vt:lpstr>Wednesday 2026-02-04</vt:lpstr>
      <vt:lpstr>Thursday 2026-02-05</vt:lpstr>
      <vt:lpstr>Friday 2026-02-06</vt:lpstr>
      <vt:lpstr>Saturday 2026-02-07</vt:lpstr>
      <vt:lpstr>Sunday 2026-02-08</vt:lpstr>
      <vt:lpstr>Monday 2026-02-09</vt:lpstr>
      <vt:lpstr>Tuesday 2026-02-10</vt:lpstr>
      <vt:lpstr>Wednesday 2026-02-11</vt:lpstr>
      <vt:lpstr>Thursday 2026-02-12</vt:lpstr>
      <vt:lpstr>Friday 2026-02-13</vt:lpstr>
      <vt:lpstr>Saturday 2026-02-14</vt:lpstr>
      <vt:lpstr>Sunday 2026-02-15</vt:lpstr>
      <vt:lpstr>Monday 2026-02-16</vt:lpstr>
      <vt:lpstr>Tuesday 2026-02-17</vt:lpstr>
      <vt:lpstr>Wednesday 2026-02-18</vt:lpstr>
      <vt:lpstr>Thursday 2026-02-19</vt:lpstr>
      <vt:lpstr>Friday 2026-02-20</vt:lpstr>
      <vt:lpstr>Saturday 2026-02-21</vt:lpstr>
      <vt:lpstr>Sunday 2026-02-22</vt:lpstr>
      <vt:lpstr>Monday 2026-02-23</vt:lpstr>
      <vt:lpstr>Tuesday 2026-02-24</vt:lpstr>
      <vt:lpstr>Wednesday 2026-02-25</vt:lpstr>
      <vt:lpstr>Thursday 2026-02-26</vt:lpstr>
      <vt:lpstr>Friday 2026-02-27</vt:lpstr>
      <vt:lpstr>Saturday 2026-02-28</vt:lpstr>
      <vt:lpstr>Sunday 2026-03-01</vt:lpstr>
      <vt:lpstr>Monday 2026-03-02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Thando Calana - Slipstream Data – JNR Data Engineer</cp:lastModifiedBy>
  <dcterms:created xsi:type="dcterms:W3CDTF">2025-12-05T11:13:58Z</dcterms:created>
  <dcterms:modified xsi:type="dcterms:W3CDTF">2025-12-05T11:27:21Z</dcterms:modified>
</cp:coreProperties>
</file>