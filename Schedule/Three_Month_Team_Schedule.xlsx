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ursday 2026-01-01" sheetId="1" state="visible" r:id="rId1"/>
    <sheet name="Friday 2026-01-02" sheetId="2" state="visible" r:id="rId2"/>
    <sheet name="Saturday 2026-01-03" sheetId="3" state="visible" r:id="rId3"/>
    <sheet name="Sunday 2026-01-04" sheetId="4" state="visible" r:id="rId4"/>
    <sheet name="Monday 2026-01-05" sheetId="5" state="visible" r:id="rId5"/>
    <sheet name="Tuesday 2026-01-06" sheetId="6" state="visible" r:id="rId6"/>
    <sheet name="Wednesday 2026-01-07" sheetId="7" state="visible" r:id="rId7"/>
    <sheet name="Thursday 2026-01-08" sheetId="8" state="visible" r:id="rId8"/>
    <sheet name="Friday 2026-01-09" sheetId="9" state="visible" r:id="rId9"/>
    <sheet name="Saturday 2026-01-10" sheetId="10" state="visible" r:id="rId10"/>
    <sheet name="Sunday 2026-01-11" sheetId="11" state="visible" r:id="rId11"/>
    <sheet name="Monday 2026-01-12" sheetId="12" state="visible" r:id="rId12"/>
    <sheet name="Tuesday 2026-01-13" sheetId="13" state="visible" r:id="rId13"/>
    <sheet name="Wednesday 2026-01-14" sheetId="14" state="visible" r:id="rId14"/>
    <sheet name="Thursday 2026-01-15" sheetId="15" state="visible" r:id="rId15"/>
    <sheet name="Friday 2026-01-16" sheetId="16" state="visible" r:id="rId16"/>
    <sheet name="Saturday 2026-01-17" sheetId="17" state="visible" r:id="rId17"/>
    <sheet name="Sunday 2026-01-18" sheetId="18" state="visible" r:id="rId18"/>
    <sheet name="Monday 2026-01-19" sheetId="19" state="visible" r:id="rId19"/>
    <sheet name="Tuesday 2026-01-20" sheetId="20" state="visible" r:id="rId20"/>
    <sheet name="Wednesday 2026-01-21" sheetId="21" state="visible" r:id="rId21"/>
    <sheet name="Thursday 2026-01-22" sheetId="22" state="visible" r:id="rId22"/>
    <sheet name="Friday 2026-01-23" sheetId="23" state="visible" r:id="rId23"/>
    <sheet name="Saturday 2026-01-24" sheetId="24" state="visible" r:id="rId24"/>
    <sheet name="Sunday 2026-01-25" sheetId="25" state="visible" r:id="rId25"/>
    <sheet name="Monday 2026-01-26" sheetId="26" state="visible" r:id="rId26"/>
    <sheet name="Tuesday 2026-01-27" sheetId="27" state="visible" r:id="rId27"/>
    <sheet name="Wednesday 2026-01-28" sheetId="28" state="visible" r:id="rId28"/>
    <sheet name="Thursday 2026-01-29" sheetId="29" state="visible" r:id="rId29"/>
    <sheet name="Friday 2026-01-30" sheetId="30" state="visible" r:id="rId30"/>
    <sheet name="Saturday 2026-01-31" sheetId="31" state="visible" r:id="rId31"/>
    <sheet name="Sunday 2026-02-01" sheetId="32" state="visible" r:id="rId32"/>
    <sheet name="Monday 2026-02-02" sheetId="33" state="visible" r:id="rId33"/>
    <sheet name="Tuesday 2026-02-03" sheetId="34" state="visible" r:id="rId34"/>
    <sheet name="Wednesday 2026-02-04" sheetId="35" state="visible" r:id="rId35"/>
    <sheet name="Thursday 2026-02-05" sheetId="36" state="visible" r:id="rId36"/>
    <sheet name="Friday 2026-02-06" sheetId="37" state="visible" r:id="rId37"/>
    <sheet name="Saturday 2026-02-07" sheetId="38" state="visible" r:id="rId38"/>
    <sheet name="Sunday 2026-02-08" sheetId="39" state="visible" r:id="rId39"/>
    <sheet name="Monday 2026-02-09" sheetId="40" state="visible" r:id="rId40"/>
    <sheet name="Tuesday 2026-02-10" sheetId="41" state="visible" r:id="rId41"/>
    <sheet name="Wednesday 2026-02-11" sheetId="42" state="visible" r:id="rId42"/>
    <sheet name="Thursday 2026-02-12" sheetId="43" state="visible" r:id="rId43"/>
    <sheet name="Friday 2026-02-13" sheetId="44" state="visible" r:id="rId44"/>
    <sheet name="Saturday 2026-02-14" sheetId="45" state="visible" r:id="rId45"/>
    <sheet name="Sunday 2026-02-15" sheetId="46" state="visible" r:id="rId46"/>
    <sheet name="Monday 2026-02-16" sheetId="47" state="visible" r:id="rId47"/>
    <sheet name="Tuesday 2026-02-17" sheetId="48" state="visible" r:id="rId48"/>
    <sheet name="Wednesday 2026-02-18" sheetId="49" state="visible" r:id="rId49"/>
    <sheet name="Thursday 2026-02-19" sheetId="50" state="visible" r:id="rId50"/>
    <sheet name="Friday 2026-02-20" sheetId="51" state="visible" r:id="rId51"/>
    <sheet name="Saturday 2026-02-21" sheetId="52" state="visible" r:id="rId52"/>
    <sheet name="Sunday 2026-02-22" sheetId="53" state="visible" r:id="rId53"/>
    <sheet name="Monday 2026-02-23" sheetId="54" state="visible" r:id="rId54"/>
    <sheet name="Tuesday 2026-02-24" sheetId="55" state="visible" r:id="rId55"/>
    <sheet name="Wednesday 2026-02-25" sheetId="56" state="visible" r:id="rId56"/>
    <sheet name="Thursday 2026-02-26" sheetId="57" state="visible" r:id="rId57"/>
    <sheet name="Friday 2026-02-27" sheetId="58" state="visible" r:id="rId58"/>
    <sheet name="Saturday 2026-02-28" sheetId="59" state="visible" r:id="rId59"/>
    <sheet name="Sunday 2026-03-01" sheetId="60" state="visible" r:id="rId60"/>
    <sheet name="Monday 2026-03-02" sheetId="61" state="visible" r:id="rId61"/>
    <sheet name="Tuesday 2026-03-03" sheetId="62" state="visible" r:id="rId62"/>
    <sheet name="Wednesday 2026-03-04" sheetId="63" state="visible" r:id="rId63"/>
    <sheet name="Thursday 2026-03-05" sheetId="64" state="visible" r:id="rId64"/>
    <sheet name="Friday 2026-03-06" sheetId="65" state="visible" r:id="rId65"/>
    <sheet name="Saturday 2026-03-07" sheetId="66" state="visible" r:id="rId66"/>
    <sheet name="Sunday 2026-03-08" sheetId="67" state="visible" r:id="rId67"/>
    <sheet name="Monday 2026-03-09" sheetId="68" state="visible" r:id="rId68"/>
    <sheet name="Tuesday 2026-03-10" sheetId="69" state="visible" r:id="rId69"/>
    <sheet name="Wednesday 2026-03-11" sheetId="70" state="visible" r:id="rId70"/>
    <sheet name="Thursday 2026-03-12" sheetId="71" state="visible" r:id="rId71"/>
    <sheet name="Friday 2026-03-13" sheetId="72" state="visible" r:id="rId72"/>
    <sheet name="Saturday 2026-03-14" sheetId="73" state="visible" r:id="rId73"/>
    <sheet name="Sunday 2026-03-15" sheetId="74" state="visible" r:id="rId74"/>
    <sheet name="Monday 2026-03-16" sheetId="75" state="visible" r:id="rId75"/>
    <sheet name="Tuesday 2026-03-17" sheetId="76" state="visible" r:id="rId76"/>
    <sheet name="Wednesday 2026-03-18" sheetId="77" state="visible" r:id="rId77"/>
    <sheet name="Thursday 2026-03-19" sheetId="78" state="visible" r:id="rId78"/>
    <sheet name="Friday 2026-03-20" sheetId="79" state="visible" r:id="rId79"/>
    <sheet name="Saturday 2026-03-21" sheetId="80" state="visible" r:id="rId80"/>
    <sheet name="Sunday 2026-03-22" sheetId="81" state="visible" r:id="rId81"/>
    <sheet name="Monday 2026-03-23" sheetId="82" state="visible" r:id="rId82"/>
    <sheet name="Tuesday 2026-03-24" sheetId="83" state="visible" r:id="rId83"/>
    <sheet name="Wednesday 2026-03-25" sheetId="84" state="visible" r:id="rId84"/>
    <sheet name="Thursday 2026-03-26" sheetId="85" state="visible" r:id="rId85"/>
    <sheet name="Friday 2026-03-27" sheetId="86" state="visible" r:id="rId86"/>
    <sheet name="Saturday 2026-03-28" sheetId="87" state="visible" r:id="rId87"/>
    <sheet name="Sunday 2026-03-29" sheetId="88" state="visible" r:id="rId88"/>
    <sheet name="Monday 2026-03-30" sheetId="89" state="visible" r:id="rId89"/>
    <sheet name="Tuesday 2026-03-31" sheetId="90" state="visible" r:id="rId90"/>
    <sheet name="Wednesday 2026-04-01" sheetId="91" state="visible" r:id="rId91"/>
    <sheet name="Thursday 2026-04-02" sheetId="92" state="visible" r:id="rId9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styles" Target="styles.xml" Id="rId93" /><Relationship Type="http://schemas.openxmlformats.org/officeDocument/2006/relationships/theme" Target="theme/theme1.xml" Id="rId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9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/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>Strategy and solution Day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/>
      <c r="K5" t="inlineStr"/>
      <c r="L5" t="inlineStr"/>
      <c r="M5" t="inlineStr"/>
      <c r="N5" t="inlineStr">
        <is>
          <t>Ongoing: Daily operational tasks DSY, 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>
        <is>
          <t>Ongoing: Daily operational tasks DSY, 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>
        <is>
          <t>Strategy and solution Day</t>
        </is>
      </c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/>
      <c r="K7" t="inlineStr"/>
      <c r="L7" t="inlineStr"/>
      <c r="M7" t="inlineStr"/>
      <c r="N7" t="inlineStr">
        <is>
          <t>Ongoing: Daily operational tasks DSY</t>
        </is>
      </c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>
        <is>
          <t>Strategy and solution Day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/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/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/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/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Day, OPS Exec Updates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/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>
        <is>
          <t>Wonga Work</t>
        </is>
      </c>
      <c r="I5" t="inlineStr"/>
      <c r="J5" t="inlineStr"/>
      <c r="K5" t="inlineStr"/>
      <c r="L5" t="inlineStr"/>
      <c r="M5" t="inlineStr"/>
      <c r="N5" t="inlineStr">
        <is>
          <t>Ongoing: Daily operational tasks DSY, 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>
        <is>
          <t>Ongoing: Daily operational tasks DSY, 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/>
      <c r="K7" t="inlineStr"/>
      <c r="L7" t="inlineStr"/>
      <c r="M7" t="inlineStr"/>
      <c r="N7" t="inlineStr">
        <is>
          <t>Ongoing: Daily operational tasks DSY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>
        <is>
          <t>Weekly round-up-meeting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>
        <is>
          <t>Wonga Work</t>
        </is>
      </c>
      <c r="I5" t="inlineStr"/>
      <c r="J5" t="inlineStr"/>
      <c r="K5" t="inlineStr"/>
      <c r="L5" t="inlineStr"/>
      <c r="M5" t="inlineStr"/>
      <c r="N5" t="inlineStr">
        <is>
          <t>Ongoing: Daily operational tasks DSY, 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>
        <is>
          <t>Ongoing: Daily operational tasks DSY, 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/>
      <c r="K7" t="inlineStr"/>
      <c r="L7" t="inlineStr"/>
      <c r="M7" t="inlineStr"/>
      <c r="N7" t="inlineStr">
        <is>
          <t>Ongoing: Daily operational tasks DSY</t>
        </is>
      </c>
      <c r="O7" t="inlineStr"/>
    </row>
    <row r="8">
      <c r="A8" t="inlineStr">
        <is>
          <t>11:00</t>
        </is>
      </c>
      <c r="B8" t="inlineStr">
        <is>
          <t>Application funnel review</t>
        </is>
      </c>
      <c r="C8" t="inlineStr">
        <is>
          <t xml:space="preserve">Shoprite SLA Internal Review </t>
        </is>
      </c>
      <c r="D8" t="inlineStr">
        <is>
          <t xml:space="preserve">Shoprite SLA Internal Review </t>
        </is>
      </c>
      <c r="E8" t="inlineStr"/>
      <c r="F8" t="inlineStr"/>
      <c r="G8" t="inlineStr">
        <is>
          <t>SnowPro Core Certification</t>
        </is>
      </c>
      <c r="H8" t="inlineStr">
        <is>
          <t xml:space="preserve">Shoprite SLA Internal Review </t>
        </is>
      </c>
      <c r="I8" t="inlineStr">
        <is>
          <t xml:space="preserve">Shoprite SLA Internal Review </t>
        </is>
      </c>
      <c r="J8" t="inlineStr"/>
      <c r="K8" t="inlineStr">
        <is>
          <t>Application funnel review</t>
        </is>
      </c>
      <c r="L8" t="inlineStr"/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>
        <is>
          <t>Application funnel review</t>
        </is>
      </c>
      <c r="C9" t="inlineStr">
        <is>
          <t xml:space="preserve">Shoprite SLA Internal Review </t>
        </is>
      </c>
      <c r="D9" t="inlineStr">
        <is>
          <t xml:space="preserve">Shoprite SLA Internal Review </t>
        </is>
      </c>
      <c r="E9" t="inlineStr"/>
      <c r="F9" t="inlineStr"/>
      <c r="G9" t="inlineStr">
        <is>
          <t>SnowPro Core Certification</t>
        </is>
      </c>
      <c r="H9" t="inlineStr">
        <is>
          <t xml:space="preserve">Shoprite SLA Internal Review </t>
        </is>
      </c>
      <c r="I9" t="inlineStr">
        <is>
          <t xml:space="preserve">Shoprite SLA Internal Review </t>
        </is>
      </c>
      <c r="J9" t="inlineStr"/>
      <c r="K9" t="inlineStr">
        <is>
          <t>Application funnel review</t>
        </is>
      </c>
      <c r="L9" t="inlineStr"/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>
        <is>
          <t>Application funnel review</t>
        </is>
      </c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Application funnel review</t>
        </is>
      </c>
      <c r="L10" t="inlineStr"/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/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/>
      <c r="C13" t="inlineStr">
        <is>
          <t>PM Forum</t>
        </is>
      </c>
      <c r="D13" t="inlineStr"/>
      <c r="E13" t="inlineStr"/>
      <c r="F13" t="inlineStr">
        <is>
          <t>PM Forum</t>
        </is>
      </c>
      <c r="G13" t="inlineStr">
        <is>
          <t>AWS Solutions Architect Associate</t>
        </is>
      </c>
      <c r="H13" t="inlineStr"/>
      <c r="I13" t="inlineStr">
        <is>
          <t>PM Forum</t>
        </is>
      </c>
      <c r="J13" t="inlineStr"/>
      <c r="K13" t="inlineStr"/>
      <c r="L13" t="inlineStr"/>
      <c r="M13" t="inlineStr">
        <is>
          <t>PM Forum</t>
        </is>
      </c>
      <c r="N13" t="inlineStr">
        <is>
          <t>Internal Study time(PDP)</t>
        </is>
      </c>
      <c r="O13" t="inlineStr">
        <is>
          <t>PM Forum</t>
        </is>
      </c>
    </row>
    <row r="14">
      <c r="A14" t="inlineStr">
        <is>
          <t>14:00</t>
        </is>
      </c>
      <c r="B14" t="inlineStr">
        <is>
          <t>Resource scheduling briefing</t>
        </is>
      </c>
      <c r="C14" t="inlineStr">
        <is>
          <t>PM Forum</t>
        </is>
      </c>
      <c r="D14" t="inlineStr"/>
      <c r="E14" t="inlineStr"/>
      <c r="F14" t="inlineStr">
        <is>
          <t>PM Forum</t>
        </is>
      </c>
      <c r="G14" t="inlineStr">
        <is>
          <t>AWS Solutions Architect Associate</t>
        </is>
      </c>
      <c r="H14" t="inlineStr"/>
      <c r="I14" t="inlineStr">
        <is>
          <t>PM Forum</t>
        </is>
      </c>
      <c r="J14" t="inlineStr"/>
      <c r="K14" t="inlineStr"/>
      <c r="L14" t="inlineStr"/>
      <c r="M14" t="inlineStr">
        <is>
          <t>PM Forum</t>
        </is>
      </c>
      <c r="N14" t="inlineStr"/>
      <c r="O14" t="inlineStr">
        <is>
          <t>PM Forum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Canceled: Tableau Tribe Development and Upskilling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>
        <is>
          <t>Canceled: Tech Team retro, Tech team planning</t>
        </is>
      </c>
      <c r="N16" t="inlineStr"/>
      <c r="O16" t="inlineStr">
        <is>
          <t>Canceled: Tableau Tribe Development and Upskilling</t>
        </is>
      </c>
    </row>
    <row r="17">
      <c r="A17" t="inlineStr">
        <is>
          <t>15:30</t>
        </is>
      </c>
      <c r="B17" t="inlineStr">
        <is>
          <t>Canceled: Tableau Tribe Development and Upskilling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>
        <is>
          <t>Canceled: Tech Team retro</t>
        </is>
      </c>
      <c r="N17" t="inlineStr"/>
      <c r="O17" t="inlineStr">
        <is>
          <t>Canceled: Tableau Tribe Development and Upskilling</t>
        </is>
      </c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/>
      <c r="K4" t="inlineStr"/>
      <c r="L4" t="inlineStr"/>
      <c r="M4" t="inlineStr"/>
      <c r="N4" t="inlineStr">
        <is>
          <t>DSY DW - Daily standup</t>
        </is>
      </c>
      <c r="O4" t="inlineStr">
        <is>
          <t>Canceled event: S/Stream - EBU Cadence - Bi-Monthly @ Monthly from 09:00 to 09:30 on the first Tuesday (SAST) (suzanne.edlmann@slipstreamdata.co.za)</t>
        </is>
      </c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Wonga: DWH development &amp; migration on Snowflake Project Daily Standup**With Client**, Wonga Work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DSY, 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>
        <is>
          <t>Ongoing: Daily operational tasks DSY, Ongoing: Daily operational tasks DSY</t>
        </is>
      </c>
      <c r="O6" t="inlineStr"/>
    </row>
    <row r="7">
      <c r="A7" t="inlineStr">
        <is>
          <t>10:30</t>
        </is>
      </c>
      <c r="B7" t="inlineStr">
        <is>
          <t>Canceled: Internal Projects - Weekly Action Meeting</t>
        </is>
      </c>
      <c r="C7" t="inlineStr"/>
      <c r="D7" t="inlineStr"/>
      <c r="E7" t="inlineStr"/>
      <c r="F7" t="inlineStr">
        <is>
          <t>Grad Check-in</t>
        </is>
      </c>
      <c r="G7" t="inlineStr"/>
      <c r="H7" t="inlineStr">
        <is>
          <t>Grad Check-in, Wonga Work</t>
        </is>
      </c>
      <c r="I7" t="inlineStr"/>
      <c r="J7" t="inlineStr"/>
      <c r="K7" t="inlineStr"/>
      <c r="L7" t="inlineStr"/>
      <c r="M7" t="inlineStr"/>
      <c r="N7" t="inlineStr">
        <is>
          <t>Ongoing: Daily operational tasks DSY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>
        <is>
          <t>Robin &lt;&gt; Leigh-Ann Catchup</t>
        </is>
      </c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>
        <is>
          <t>GIPS cube</t>
        </is>
      </c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FY 26 - Tech Team Promotions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/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FY 26 - Tech Team Promotions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/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/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/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Wonga: DWH development &amp; migration on Snowflake Project Daily Standup**With Client**, Wonga Work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DSY, 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>
        <is>
          <t>Shoprite Analytics|| Cloud BI Daily Stand Up</t>
        </is>
      </c>
      <c r="G6" t="inlineStr">
        <is>
          <t xml:space="preserve">Canceled: Tech Team Planning </t>
        </is>
      </c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>
        <is>
          <t xml:space="preserve">Canceled: Tech Team Planning </t>
        </is>
      </c>
      <c r="N6" t="inlineStr">
        <is>
          <t>Canceled: Tech Team Planning , Ongoing: Daily operational tasks DSY, 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Canceled: Tech Team Planning , Internal Projects - Weekly Action Meeting</t>
        </is>
      </c>
      <c r="H7" t="inlineStr">
        <is>
          <t>Wonga Work, Internal Projects - Weekly Action Meeting</t>
        </is>
      </c>
      <c r="I7" t="inlineStr"/>
      <c r="J7" t="inlineStr"/>
      <c r="K7" t="inlineStr"/>
      <c r="L7" t="inlineStr"/>
      <c r="M7" t="inlineStr">
        <is>
          <t xml:space="preserve">Canceled: Tech Team Planning </t>
        </is>
      </c>
      <c r="N7" t="inlineStr">
        <is>
          <t>Canceled: Tech Team Planning , Ongoing: Daily operational tasks DSY</t>
        </is>
      </c>
      <c r="O7" t="inlineStr"/>
    </row>
    <row r="8">
      <c r="A8" t="inlineStr">
        <is>
          <t>11:00</t>
        </is>
      </c>
      <c r="B8" t="inlineStr">
        <is>
          <t>Application funnel discussion</t>
        </is>
      </c>
      <c r="C8" t="inlineStr"/>
      <c r="D8" t="inlineStr"/>
      <c r="E8" t="inlineStr"/>
      <c r="F8" t="inlineStr">
        <is>
          <t>Planning for Surtee and Spur</t>
        </is>
      </c>
      <c r="G8" t="inlineStr">
        <is>
          <t>SnowPro Core Certification</t>
        </is>
      </c>
      <c r="H8" t="inlineStr">
        <is>
          <t>Application funnel discussion</t>
        </is>
      </c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/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/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Muzi x Andrew</t>
        </is>
      </c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/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Muzi x Andrew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>
        <is>
          <t>Data Cloud Implentation Questions</t>
        </is>
      </c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/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Strategy and solution Day, 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Wonga: DWH development &amp; migration on Snowflake Project Daily Standup**With Client**, Wonga Work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DSY, 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 xml:space="preserve">Shoprite Analytics|| Cloud BI Daily Stand Up, Canceled: Monthly SLA Review - Tableau/Alteryx/Snowflake b2b 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>
        <is>
          <t>Ongoing: Daily operational tasks DSY, Ongoing: Daily operational tasks DSY</t>
        </is>
      </c>
      <c r="O6" t="inlineStr"/>
    </row>
    <row r="7">
      <c r="A7" t="inlineStr">
        <is>
          <t>10:30</t>
        </is>
      </c>
      <c r="B7" t="inlineStr">
        <is>
          <t>Canceled: Internal Projects - Weekly Action Meeting</t>
        </is>
      </c>
      <c r="C7" t="inlineStr"/>
      <c r="D7" t="inlineStr">
        <is>
          <t>Strategy and solution Day</t>
        </is>
      </c>
      <c r="E7" t="inlineStr"/>
      <c r="F7" t="inlineStr">
        <is>
          <t xml:space="preserve">Canceled: Monthly SLA Review - Tableau/Alteryx/Snowflake b2b </t>
        </is>
      </c>
      <c r="G7" t="inlineStr"/>
      <c r="H7" t="inlineStr">
        <is>
          <t>Wonga Work</t>
        </is>
      </c>
      <c r="I7" t="inlineStr">
        <is>
          <t>Varchar lengths review</t>
        </is>
      </c>
      <c r="J7" t="inlineStr"/>
      <c r="K7" t="inlineStr">
        <is>
          <t>Varchar lengths review</t>
        </is>
      </c>
      <c r="L7" t="inlineStr"/>
      <c r="M7" t="inlineStr"/>
      <c r="N7" t="inlineStr">
        <is>
          <t>Ongoing: Daily operational tasks DSY</t>
        </is>
      </c>
      <c r="O7" t="inlineStr"/>
    </row>
    <row r="8">
      <c r="A8" t="inlineStr">
        <is>
          <t>11:00</t>
        </is>
      </c>
      <c r="B8" t="inlineStr">
        <is>
          <t>Review of test results + intro to mart testing</t>
        </is>
      </c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>
        <is>
          <t>Review of test results + intro to mart testing</t>
        </is>
      </c>
      <c r="L8" t="inlineStr"/>
      <c r="M8" t="inlineStr"/>
      <c r="N8" t="inlineStr"/>
      <c r="O8" t="inlineStr"/>
    </row>
    <row r="9">
      <c r="A9" t="inlineStr">
        <is>
          <t>11:30</t>
        </is>
      </c>
      <c r="B9" t="inlineStr">
        <is>
          <t>Review of test results + intro to mart testing</t>
        </is>
      </c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>
        <is>
          <t>Review of test results + intro to mart testing</t>
        </is>
      </c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>
        <is>
          <t>Lunch</t>
        </is>
      </c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>
        <is>
          <t>DWH Issues</t>
        </is>
      </c>
      <c r="L11" t="inlineStr"/>
      <c r="M11" t="inlineStr"/>
      <c r="N11" t="inlineStr">
        <is>
          <t>DWH Issues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>
        <is>
          <t>DWH Issues</t>
        </is>
      </c>
      <c r="L12" t="inlineStr"/>
      <c r="M12" t="inlineStr"/>
      <c r="N12" t="inlineStr">
        <is>
          <t>DWH Issues, 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Wonga DWH Staging</t>
        </is>
      </c>
      <c r="C13" t="inlineStr"/>
      <c r="D13" t="inlineStr">
        <is>
          <t>Strategy and solution Day</t>
        </is>
      </c>
      <c r="E13" t="inlineStr">
        <is>
          <t>Wonga DWH Staging</t>
        </is>
      </c>
      <c r="F13" t="inlineStr"/>
      <c r="G13" t="inlineStr">
        <is>
          <t>AWS Solutions Architect Associate</t>
        </is>
      </c>
      <c r="H13" t="inlineStr">
        <is>
          <t>Wonga DWH Staging</t>
        </is>
      </c>
      <c r="I13" t="inlineStr"/>
      <c r="J13" t="inlineStr"/>
      <c r="K13" t="inlineStr"/>
      <c r="L13" t="inlineStr"/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>
        <is>
          <t>Mart testing intro</t>
        </is>
      </c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>
        <is>
          <t>Mart testing intro</t>
        </is>
      </c>
      <c r="L14" t="inlineStr"/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/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ODS Checks , Wonga Work</t>
        </is>
      </c>
      <c r="I4" t="inlineStr"/>
      <c r="J4" t="inlineStr"/>
      <c r="K4" t="inlineStr">
        <is>
          <t xml:space="preserve">Wonga ODS Checks </t>
        </is>
      </c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>
        <is>
          <t>Wonga Work</t>
        </is>
      </c>
      <c r="I5" t="inlineStr">
        <is>
          <t>datalake varchars review</t>
        </is>
      </c>
      <c r="J5" t="inlineStr"/>
      <c r="K5" t="inlineStr">
        <is>
          <t>datalake varchars review</t>
        </is>
      </c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>
        <is>
          <t>Wonga Catch Up</t>
        </is>
      </c>
      <c r="G8" t="inlineStr">
        <is>
          <t>SnowPro Core Certification</t>
        </is>
      </c>
      <c r="H8" t="inlineStr"/>
      <c r="I8" t="inlineStr"/>
      <c r="J8" t="inlineStr"/>
      <c r="K8" t="inlineStr">
        <is>
          <t>Wonga Catch Up</t>
        </is>
      </c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Canceled: PM Alignment Meeting</t>
        </is>
      </c>
      <c r="G9" t="inlineStr">
        <is>
          <t>SnowPro Core Certification</t>
        </is>
      </c>
      <c r="H9" t="inlineStr"/>
      <c r="I9" t="inlineStr">
        <is>
          <t>Canceled: PM Alignment Meeting</t>
        </is>
      </c>
      <c r="J9" t="inlineStr"/>
      <c r="K9" t="inlineStr"/>
      <c r="L9" t="inlineStr"/>
      <c r="M9" t="inlineStr">
        <is>
          <t>Canceled: PM Alignment Meeting</t>
        </is>
      </c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/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Advisor Recon Refresh Data Source</t>
        </is>
      </c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Advisor Recon Refresh Data Source</t>
        </is>
      </c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Advisor Recon Refresh Data Source</t>
        </is>
      </c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Advisor Recon Refresh Data Source</t>
        </is>
      </c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8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PDP planning</t>
        </is>
      </c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>
        <is>
          <t>Declined: PDP planning, Wonga Work</t>
        </is>
      </c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Out of Office, 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>
        <is>
          <t>Taquanta: Projects Internal Standup</t>
        </is>
      </c>
      <c r="F7" t="inlineStr"/>
      <c r="G7" t="inlineStr">
        <is>
          <t>Internal Projects - Weekly Action Meeting</t>
        </is>
      </c>
      <c r="H7" t="inlineStr">
        <is>
          <t>Out of Office, Wonga Work, Internal Projects - Weekly Action Meeting</t>
        </is>
      </c>
      <c r="I7" t="inlineStr">
        <is>
          <t>Taquanta: Projects Internal Standup</t>
        </is>
      </c>
      <c r="J7" t="inlineStr">
        <is>
          <t>Old Mutual Access (IT), 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Advisor Recon (manual run), Old Mutual Access (IT), OM Work</t>
        </is>
      </c>
      <c r="K8" t="inlineStr"/>
      <c r="L8" t="inlineStr">
        <is>
          <t>Wonga Project Plan + Budget Update +Emails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>
        <is>
          <t>Ben &lt;&gt; Nate - 1:1</t>
        </is>
      </c>
      <c r="J9" t="inlineStr">
        <is>
          <t>Advisor Recon (manual run), Old Mutual Access (IT), OM Work</t>
        </is>
      </c>
      <c r="K9" t="inlineStr"/>
      <c r="L9" t="inlineStr">
        <is>
          <t>Wonga Project Plan + Budget Update +Emails</t>
        </is>
      </c>
      <c r="M9" t="inlineStr">
        <is>
          <t>IP: SaaS - Asset Management progress update</t>
        </is>
      </c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Aza &lt;&gt; Nate - 1:1</t>
        </is>
      </c>
      <c r="F10" t="inlineStr"/>
      <c r="G10" t="inlineStr">
        <is>
          <t>SnowPro Core Certification</t>
        </is>
      </c>
      <c r="H10" t="inlineStr"/>
      <c r="I10" t="inlineStr"/>
      <c r="J10" t="inlineStr">
        <is>
          <t>Old Mutual Access (IT), OM Work</t>
        </is>
      </c>
      <c r="K10" t="inlineStr"/>
      <c r="L10" t="inlineStr">
        <is>
          <t>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Flora &lt;&gt; Nate - 1:1, 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>
        <is>
          <t>Focus time</t>
        </is>
      </c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Mark &lt;&gt; Nate - 1:1, 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>
        <is>
          <t>Focus time</t>
        </is>
      </c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Muzi x Andrew - Wgae Flow MVP</t>
        </is>
      </c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huddle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Muzi x Andrew - Wgae Flow MVP</t>
        </is>
      </c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huddle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DSY DW - Daily standup</t>
        </is>
      </c>
      <c r="E4" t="inlineStr"/>
      <c r="F4" t="inlineStr"/>
      <c r="G4" t="inlineStr"/>
      <c r="H4" t="inlineStr">
        <is>
          <t>Wonga Work</t>
        </is>
      </c>
      <c r="I4" t="inlineStr">
        <is>
          <t>DSY DW - Daily standup</t>
        </is>
      </c>
      <c r="J4" t="inlineStr">
        <is>
          <t>S/Stream - EBU Cadence - Bi-Monthly, OM Work</t>
        </is>
      </c>
      <c r="K4" t="inlineStr">
        <is>
          <t>DSY DW - Daily standup</t>
        </is>
      </c>
      <c r="L4" t="inlineStr">
        <is>
          <t>DSY DW - Daily standup</t>
        </is>
      </c>
      <c r="M4" t="inlineStr"/>
      <c r="N4" t="inlineStr">
        <is>
          <t>DSY DW - Daily standup, 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Wonga: DWH development &amp; migration on Snowflake Project Daily Standup**With Client**, Wonga Work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Client**, OM Work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>
        <is>
          <t>Ntsako &lt;&gt; Nate - 1:1</t>
        </is>
      </c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>
        <is>
          <t>Shoprite Analytics|| Cloud BI Daily Stand Up</t>
        </is>
      </c>
      <c r="G6" t="inlineStr">
        <is>
          <t>Thembani &lt;&gt; Nate - 1:1</t>
        </is>
      </c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Canceled: Internal Projects - Weekly Action Meeting</t>
        </is>
      </c>
      <c r="C7" t="inlineStr"/>
      <c r="D7" t="inlineStr">
        <is>
          <t>Agentforce - Customer Success</t>
        </is>
      </c>
      <c r="E7" t="inlineStr"/>
      <c r="F7" t="inlineStr">
        <is>
          <t>Wonga Task Requirements Gathering</t>
        </is>
      </c>
      <c r="G7" t="inlineStr"/>
      <c r="H7" t="inlineStr">
        <is>
          <t>Wonga Work</t>
        </is>
      </c>
      <c r="I7" t="inlineStr"/>
      <c r="J7" t="inlineStr">
        <is>
          <t>Agentforce - Customer Success, OM Work</t>
        </is>
      </c>
      <c r="K7" t="inlineStr">
        <is>
          <t>Wonga Task Requirements Gathering</t>
        </is>
      </c>
      <c r="L7" t="inlineStr">
        <is>
          <t>Resource Utilisation Review</t>
        </is>
      </c>
      <c r="M7" t="inlineStr"/>
      <c r="N7" t="inlineStr"/>
      <c r="O7" t="inlineStr">
        <is>
          <t>Agentforce - Customer Success</t>
        </is>
      </c>
    </row>
    <row r="8">
      <c r="A8" t="inlineStr">
        <is>
          <t>11:00</t>
        </is>
      </c>
      <c r="B8" t="inlineStr"/>
      <c r="C8" t="inlineStr"/>
      <c r="D8" t="inlineStr">
        <is>
          <t>Agentforce - Customer Success</t>
        </is>
      </c>
      <c r="E8" t="inlineStr"/>
      <c r="F8" t="inlineStr">
        <is>
          <t>Wonga Task Requirements Gathering</t>
        </is>
      </c>
      <c r="G8" t="inlineStr">
        <is>
          <t>SnowPro Core Certification</t>
        </is>
      </c>
      <c r="H8" t="inlineStr"/>
      <c r="I8" t="inlineStr"/>
      <c r="J8" t="inlineStr">
        <is>
          <t>Agentforce - Customer Success, OM Work</t>
        </is>
      </c>
      <c r="K8" t="inlineStr">
        <is>
          <t>Wonga Task Requirements Gathering</t>
        </is>
      </c>
      <c r="L8" t="inlineStr">
        <is>
          <t>Wonga Project Plan + Budget Update +Emails</t>
        </is>
      </c>
      <c r="M8" t="inlineStr"/>
      <c r="N8" t="inlineStr"/>
      <c r="O8" t="inlineStr">
        <is>
          <t>Agentforce - Customer Success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Wonga Task Requirements Gathering, Palesa &lt;&gt; Nate - 1:1</t>
        </is>
      </c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>
        <is>
          <t>Wonga Task Requirements Gathering</t>
        </is>
      </c>
      <c r="L9" t="inlineStr">
        <is>
          <t>Wonga Project Plan + Budget Update +Emails</t>
        </is>
      </c>
      <c r="M9" t="inlineStr">
        <is>
          <t>One-One coaching - Ntsako</t>
        </is>
      </c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One-One coaching - Ntsako, 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Update - Foreigners List CDW Alteryx Consolidated File Output Test, OM Work</t>
        </is>
      </c>
      <c r="K11" t="inlineStr"/>
      <c r="L11" t="inlineStr">
        <is>
          <t>Shoprite Plan Update + Emails</t>
        </is>
      </c>
      <c r="M11" t="inlineStr"/>
      <c r="N11" t="inlineStr">
        <is>
          <t>Michael &lt;&gt; Nate - 1:1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>
        <is>
          <t>Update - Foreigners List CDW Alteryx Consolidated File Output Test</t>
        </is>
      </c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>
        <is>
          <t>Update - Foreigners List CDW Alteryx Consolidated File Output Test</t>
        </is>
      </c>
      <c r="K13" t="inlineStr">
        <is>
          <t xml:space="preserve">Riyad &lt;&gt; Nate - 1:1 </t>
        </is>
      </c>
      <c r="L13" t="inlineStr">
        <is>
          <t xml:space="preserve">Monthly Tech Team Leave Discussion 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>
        <is>
          <t>Athena New Connection Setup, Athena Connection Setup with Shoprite Team</t>
        </is>
      </c>
      <c r="G14" t="inlineStr">
        <is>
          <t>AWS Solutions Architect Associate</t>
        </is>
      </c>
      <c r="H14" t="inlineStr">
        <is>
          <t>Athena New Connection Setup, Robin &lt;&gt; Nate - 1:1</t>
        </is>
      </c>
      <c r="I14" t="inlineStr"/>
      <c r="J14" t="inlineStr">
        <is>
          <t>Update - Foreigners List CDW Alteryx Consolidated File Output Test</t>
        </is>
      </c>
      <c r="K14" t="inlineStr">
        <is>
          <t>Single premium definition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>
        <is>
          <t>Athena New Connection Setup, Athena Connection Setup with Shoprite Team</t>
        </is>
      </c>
      <c r="G15" t="inlineStr">
        <is>
          <t>AWS Solutions Architect Associate</t>
        </is>
      </c>
      <c r="H15" t="inlineStr">
        <is>
          <t>Athena New Connection Setup</t>
        </is>
      </c>
      <c r="I15" t="inlineStr"/>
      <c r="J15" t="inlineStr">
        <is>
          <t>Update - Foreigners List CDW Alteryx Consolidated File Output Test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>
        <is>
          <t>Athena Connection Setup with Shoprite Team</t>
        </is>
      </c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Look through project issues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>
        <is>
          <t>Athena Connection Setup with Shoprite Team</t>
        </is>
      </c>
      <c r="G17" t="inlineStr"/>
      <c r="H17" t="inlineStr"/>
      <c r="I17" t="inlineStr"/>
      <c r="J17" t="inlineStr">
        <is>
          <t>Alteryx Workflow Fix Foreigners | Align GIT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>
        <is>
          <t>Alteryx Workflow Fix Foreigners | Align GIT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PM: BCX Prep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PM: BCX Prep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FATCA/CRS lag in files/workflow running, OM Work</t>
        </is>
      </c>
      <c r="K4" t="inlineStr"/>
      <c r="L4" t="inlineStr">
        <is>
          <t>Shoprite Plan Update + Emails</t>
        </is>
      </c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/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Alignment Zay (Access, Ticket update, scheduling), OM Work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/>
      <c r="E6" t="inlineStr">
        <is>
          <t>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/>
      <c r="H6" t="inlineStr">
        <is>
          <t>Microsoft Fabric: Databases (Day 1 of 2), 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OM Work</t>
        </is>
      </c>
      <c r="K6" t="inlineStr">
        <is>
          <t>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Canceled: Internal Projects - Weekly Action Meeting</t>
        </is>
      </c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Microsoft Fabric: Databases (Day 1 of 2), Wonga Work</t>
        </is>
      </c>
      <c r="I7" t="inlineStr">
        <is>
          <t>Taquanta: Projects Internal Standup</t>
        </is>
      </c>
      <c r="J7" t="inlineStr">
        <is>
          <t>Admin (RAs,Tax,MA), 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 xml:space="preserve">Tableau Support Escalation: Shoprite Athena Connection, BCX | Slipstream - Power BI to Tableau support </t>
        </is>
      </c>
      <c r="E8" t="inlineStr"/>
      <c r="F8" t="inlineStr">
        <is>
          <t>Tableau Support Escalation: Shoprite Athena Connection</t>
        </is>
      </c>
      <c r="G8" t="inlineStr">
        <is>
          <t>SnowPro Core Certification</t>
        </is>
      </c>
      <c r="H8" t="inlineStr">
        <is>
          <t>BCX | Slipstream - Power BI to Tableau support , Debicheck Report Discussion , Microsoft Fabric: Databases (Day 1 of 2)</t>
        </is>
      </c>
      <c r="I8" t="inlineStr"/>
      <c r="J8" t="inlineStr">
        <is>
          <t>BCX | Slipstream - Power BI to Tableau support , Slipstream, OM Work</t>
        </is>
      </c>
      <c r="K8" t="inlineStr">
        <is>
          <t xml:space="preserve">Debicheck Report Discussion </t>
        </is>
      </c>
      <c r="L8" t="inlineStr">
        <is>
          <t>Debicheck Report Discussion , 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 xml:space="preserve">Tableau Support Escalation: Shoprite Athena Connection, BCX | Slipstream - Power BI to Tableau support </t>
        </is>
      </c>
      <c r="E9" t="inlineStr"/>
      <c r="F9" t="inlineStr">
        <is>
          <t>Tableau Support Escalation: Shoprite Athena Connection</t>
        </is>
      </c>
      <c r="G9" t="inlineStr">
        <is>
          <t>SnowPro Core Certification</t>
        </is>
      </c>
      <c r="H9" t="inlineStr">
        <is>
          <t>BCX | Slipstream - Power BI to Tableau support , Debicheck Report Discussion , Microsoft Fabric: Databases (Day 1 of 2)</t>
        </is>
      </c>
      <c r="I9" t="inlineStr"/>
      <c r="J9" t="inlineStr">
        <is>
          <t>BCX | Slipstream - Power BI to Tableau support , Slipstream, OM Work</t>
        </is>
      </c>
      <c r="K9" t="inlineStr">
        <is>
          <t xml:space="preserve">Debicheck Report Discussion </t>
        </is>
      </c>
      <c r="L9" t="inlineStr">
        <is>
          <t>Debicheck Report Discussion , Wonga Project Plan + Budget Update +Emails</t>
        </is>
      </c>
      <c r="M9" t="inlineStr"/>
      <c r="N9" t="inlineStr"/>
      <c r="O9" t="inlineStr">
        <is>
          <t>Suzanne &lt;&gt; Nate - 1:1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>
        <is>
          <t>Debicheck Report Discussion , Microsoft Fabric: Databases (Day 1 of 2)</t>
        </is>
      </c>
      <c r="I10" t="inlineStr"/>
      <c r="J10" t="inlineStr">
        <is>
          <t>OM Work</t>
        </is>
      </c>
      <c r="K10" t="inlineStr">
        <is>
          <t xml:space="preserve">Debicheck Report Discussion </t>
        </is>
      </c>
      <c r="L10" t="inlineStr">
        <is>
          <t>Debicheck Report Discussion , 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>
        <is>
          <t>Microsoft Fabric: Databases (Day 1 of 2)</t>
        </is>
      </c>
      <c r="I11" t="inlineStr"/>
      <c r="J11" t="inlineStr">
        <is>
          <t>OM Work</t>
        </is>
      </c>
      <c r="K11" t="inlineStr"/>
      <c r="L11" t="inlineStr">
        <is>
          <t xml:space="preserve">Investec PVT Bank 80 Hours Support Project Weekly Report </t>
        </is>
      </c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Wonga ODS - Merge to Staging, 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>
        <is>
          <t>Wonga ODS - Merge to Staging, Microsoft Fabric: Databases - Lab Support and Q&amp;A (Day 1 of 2)</t>
        </is>
      </c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>
        <is>
          <t>Microsoft Fabric: Databases - Lab Support and Q&amp;A (Day 1 of 2)</t>
        </is>
      </c>
      <c r="I13" t="inlineStr"/>
      <c r="J13" t="inlineStr"/>
      <c r="K13" t="inlineStr"/>
      <c r="L13" t="inlineStr"/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PDP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Sars Reason Codes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>
        <is>
          <t>Data Cloud Implentation Questions</t>
        </is>
      </c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>
        <is>
          <t>Sars Reason Codes</t>
        </is>
      </c>
      <c r="K18" t="inlineStr"/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Sars Reason Codes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Wage Flow Sum Zero Session (Muzi x Andrew X Dr E)</t>
        </is>
      </c>
      <c r="E4" t="inlineStr"/>
      <c r="F4" t="inlineStr"/>
      <c r="G4" t="inlineStr"/>
      <c r="H4" t="inlineStr">
        <is>
          <t>ODS to Staging, Wonga Work</t>
        </is>
      </c>
      <c r="I4" t="inlineStr"/>
      <c r="J4" t="inlineStr">
        <is>
          <t>OM Work</t>
        </is>
      </c>
      <c r="K4" t="inlineStr"/>
      <c r="L4" t="inlineStr">
        <is>
          <t>PMO: Client Reports Review and Sign-off</t>
        </is>
      </c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Wage Flow Sum Zero Session (Muzi x Andrew X Dr E)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ODS to Staging, Wonga: DWH development &amp; migration on Snowflake Project Daily Standup**With Client**, Wonga Work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Client**, OM Work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Microsoft Fabric: Databases (Day 2 of 2), 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Canceled: Internal Projects - Weekly Action Meeting</t>
        </is>
      </c>
      <c r="C7" t="inlineStr"/>
      <c r="D7" t="inlineStr">
        <is>
          <t xml:space="preserve">BCX Costing </t>
        </is>
      </c>
      <c r="E7" t="inlineStr">
        <is>
          <t>Taquanta: Projects Internal Standup</t>
        </is>
      </c>
      <c r="F7" t="inlineStr"/>
      <c r="G7" t="inlineStr"/>
      <c r="H7" t="inlineStr">
        <is>
          <t>BCX Costing , Microsoft Fabric: Databases (Day 2 of 2), Wonga Work</t>
        </is>
      </c>
      <c r="I7" t="inlineStr">
        <is>
          <t>Taquanta: Projects Internal Standup</t>
        </is>
      </c>
      <c r="J7" t="inlineStr">
        <is>
          <t>Sars Reason Code, 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>
        <is>
          <t>Microsoft Fabric: Databases (Day 2 of 2)</t>
        </is>
      </c>
      <c r="I8" t="inlineStr"/>
      <c r="J8" t="inlineStr">
        <is>
          <t>Sars Reason Code, 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>
        <is>
          <t>Microsoft Fabric: Databases (Day 2 of 2)</t>
        </is>
      </c>
      <c r="I9" t="inlineStr"/>
      <c r="J9" t="inlineStr">
        <is>
          <t>Sars Reason Code, 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>
        <is>
          <t>Microsoft Fabric: Databases (Day 2 of 2)</t>
        </is>
      </c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>
        <is>
          <t>NCR Data Validation</t>
        </is>
      </c>
      <c r="G11" t="inlineStr">
        <is>
          <t>SnowPro Core Certification</t>
        </is>
      </c>
      <c r="H11" t="inlineStr">
        <is>
          <t>Microsoft Fabric: Databases (Day 2 of 2)</t>
        </is>
      </c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>
        <is>
          <t>Microsoft Fabric: Databases - Lab Support and Q&amp;A (Day 2 of 2)</t>
        </is>
      </c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>
        <is>
          <t>Microsoft Fabric: Databases - Lab Support and Q&amp;A (Day 2 of 2)</t>
        </is>
      </c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FATCA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FATCA, Product Management: C-Track Tableau Nexus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Slipstream Data / WhereScape</t>
        </is>
      </c>
      <c r="E17" t="inlineStr"/>
      <c r="F17" t="inlineStr"/>
      <c r="G17" t="inlineStr"/>
      <c r="H17" t="inlineStr"/>
      <c r="I17" t="inlineStr"/>
      <c r="J17" t="inlineStr">
        <is>
          <t>Product Management: C-Track Tableau Nexus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>
        <is>
          <t xml:space="preserve">Scale Up - Core Strategy </t>
        </is>
      </c>
      <c r="D2" t="inlineStr">
        <is>
          <t xml:space="preserve">Scale Up - Core Strategy 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Scale Up - Core Strategy , Daily Stand Up</t>
        </is>
      </c>
      <c r="D3" t="inlineStr">
        <is>
          <t>Scale Up - Core Strategy 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 xml:space="preserve">Scale Up - Core Strategy </t>
        </is>
      </c>
      <c r="D4" t="inlineStr">
        <is>
          <t xml:space="preserve">Scale Up - Core Strategy 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FATCA CDC 3297, OM Work</t>
        </is>
      </c>
      <c r="K4" t="inlineStr"/>
      <c r="L4" t="inlineStr">
        <is>
          <t>Slipstream - IPD - Internal Projects  ( Slipstream Data ) (Harvest Timesheets and Reports, ClickUp Tasks and Reports, Billing, Emails, Documentation, Reports)</t>
        </is>
      </c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>
        <is>
          <t>Scale Up - Core Strategy , Product Management Sync</t>
        </is>
      </c>
      <c r="D5" t="inlineStr">
        <is>
          <t xml:space="preserve">Scale Up - Core Strategy </t>
        </is>
      </c>
      <c r="E5" t="inlineStr"/>
      <c r="F5" t="inlineStr">
        <is>
          <t>Product Management Sync</t>
        </is>
      </c>
      <c r="G5" t="inlineStr"/>
      <c r="H5" t="inlineStr">
        <is>
          <t>Wonga Work</t>
        </is>
      </c>
      <c r="I5" t="inlineStr">
        <is>
          <t>Product Management Sync</t>
        </is>
      </c>
      <c r="J5" t="inlineStr">
        <is>
          <t>CDC-3297, Product Management Sync, OM Work</t>
        </is>
      </c>
      <c r="K5" t="inlineStr"/>
      <c r="L5" t="inlineStr">
        <is>
          <t>Slipstream - IPD - Internal Projects  ( Slipstream Data ) (Harvest Timesheets and Reports, ClickUp Tasks and Reports, Billing, Emails, Documentation, Reports)</t>
        </is>
      </c>
      <c r="M5" t="inlineStr">
        <is>
          <t>Product Management Sync</t>
        </is>
      </c>
      <c r="N5" t="inlineStr">
        <is>
          <t>Ongoing: Daily operational tasks DSY</t>
        </is>
      </c>
      <c r="O5" t="inlineStr">
        <is>
          <t>Product Management Sync</t>
        </is>
      </c>
    </row>
    <row r="6">
      <c r="A6" t="inlineStr">
        <is>
          <t>10:00</t>
        </is>
      </c>
      <c r="B6" t="inlineStr"/>
      <c r="C6" t="inlineStr">
        <is>
          <t xml:space="preserve">Scale Up - Core Strategy </t>
        </is>
      </c>
      <c r="D6" t="inlineStr">
        <is>
          <t xml:space="preserve">Scale Up - Core Strategy 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CDC-3297, OM Work</t>
        </is>
      </c>
      <c r="K6" t="inlineStr"/>
      <c r="L6" t="inlineStr">
        <is>
          <t>Slipstream - IPD - Internal Projects  ( Slipstream Data ) (Harvest Timesheets and Reports, ClickUp Tasks and Reports, Billing, Emails, Documentation, Reports)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>
        <is>
          <t xml:space="preserve">Scale Up - Core Strategy </t>
        </is>
      </c>
      <c r="D7" t="inlineStr">
        <is>
          <t xml:space="preserve">Scale Up - Core Strategy </t>
        </is>
      </c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>
        <is>
          <t>Advisor Recon, OM Work</t>
        </is>
      </c>
      <c r="K7" t="inlineStr"/>
      <c r="L7" t="inlineStr">
        <is>
          <t>Slipstream - IPD - Internal Projects  ( Slipstream Data ) (Harvest Timesheets and Reports, ClickUp Tasks and Reports, Billing, Emails, Documentation, Reports)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>
        <is>
          <t xml:space="preserve">Scale Up - Core Strategy </t>
        </is>
      </c>
      <c r="D8" t="inlineStr">
        <is>
          <t xml:space="preserve">Scale Up - Core Strategy 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Advisor Recon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>
        <is>
          <t xml:space="preserve">Scale Up - Core Strategy </t>
        </is>
      </c>
      <c r="D9" t="inlineStr">
        <is>
          <t xml:space="preserve">Scale Up - Core Strategy 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 xml:space="preserve">Scale Up - Core Strategy </t>
        </is>
      </c>
      <c r="D10" t="inlineStr">
        <is>
          <t xml:space="preserve">Setup connections via the SDH bridge; Test that all is working, Scale Up - Core Strategy 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meeting, Wonga Project Plan + Budget Update +Emails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 Up - Core Strategy </t>
        </is>
      </c>
      <c r="D11" t="inlineStr">
        <is>
          <t xml:space="preserve">Setup connections via the SDH bridge; Test that all is working, Scale Up - Core Strategy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>
        <is>
          <t xml:space="preserve">Scale Up - Core Strategy </t>
        </is>
      </c>
      <c r="D12" t="inlineStr">
        <is>
          <t xml:space="preserve">Scale Up - Core Strategy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>
        <is>
          <t>Wonga: DWH development &amp; migration on Snowflake Project Sprint Planning Session</t>
        </is>
      </c>
      <c r="C13" t="inlineStr">
        <is>
          <t>Scale Up - Core Strategy , Wonga: DWH development &amp; migration on Snowflake Project Sprint Planning Session</t>
        </is>
      </c>
      <c r="D13" t="inlineStr">
        <is>
          <t>Scale Up - Core Strategy , Wonga: DWH development &amp; migration on Snowflake Project Sprint Planning Session</t>
        </is>
      </c>
      <c r="E13" t="inlineStr">
        <is>
          <t>Wonga: DWH development &amp; migration on Snowflake Project Sprint Planning Session</t>
        </is>
      </c>
      <c r="F13" t="inlineStr">
        <is>
          <t>Wonga: DWH development &amp; migration on Snowflake Project Sprint Planning Session</t>
        </is>
      </c>
      <c r="G13" t="inlineStr">
        <is>
          <t>AWS Solutions Architect Associate, Wonga: DWH development &amp; migration on Snowflake Project Sprint Planning Session</t>
        </is>
      </c>
      <c r="H13" t="inlineStr">
        <is>
          <t>Wonga: DWH development &amp; migration on Snowflake Project Sprint Planning Session</t>
        </is>
      </c>
      <c r="I13" t="inlineStr">
        <is>
          <t>Wonga: DWH development &amp; migration on Snowflake Project Sprint Planning Session</t>
        </is>
      </c>
      <c r="J13" t="inlineStr"/>
      <c r="K13" t="inlineStr">
        <is>
          <t>Wonga: DWH development &amp; migration on Snowflake Project Sprint Planning Session</t>
        </is>
      </c>
      <c r="L13" t="inlineStr">
        <is>
          <t>Wonga: DWH development &amp; migration on Snowflake Project Sprint Planning Session, 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>
        <is>
          <t>Wonga: DWH development &amp; migration on Snowflake Project Sprint Planning Session</t>
        </is>
      </c>
      <c r="C14" t="inlineStr">
        <is>
          <t>Scale Up - Core Strategy , Wonga: DWH development &amp; migration on Snowflake Project Sprint Planning Session</t>
        </is>
      </c>
      <c r="D14" t="inlineStr">
        <is>
          <t>Scale Up - Core Strategy , 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>
        <is>
          <t>AWS Solutions Architect Associate, Wonga: DWH development &amp; migration on Snowflake Project Sprint Planning Session</t>
        </is>
      </c>
      <c r="H14" t="inlineStr">
        <is>
          <t>Wonga: DWH development &amp; migration on Snowflake Project Sprint Planning Session</t>
        </is>
      </c>
      <c r="I14" t="inlineStr">
        <is>
          <t>Wonga: DWH development &amp; migration on Snowflake Project Sprint Planning Session</t>
        </is>
      </c>
      <c r="J14" t="inlineStr"/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>
        <is>
          <t>Wonga: DWH development &amp; migration on Snowflake Project Sprint Planning Session</t>
        </is>
      </c>
      <c r="C15" t="inlineStr">
        <is>
          <t>Scale Up - Core Strategy , Wonga: DWH development &amp; migration on Snowflake Project Sprint Planning Session</t>
        </is>
      </c>
      <c r="D15" t="inlineStr">
        <is>
          <t>Scale Up - Core Strategy , 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>
        <is>
          <t>AWS Solutions Architect Associate, Wonga: DWH development &amp; migration on Snowflake Project Sprint Planning Session</t>
        </is>
      </c>
      <c r="H15" t="inlineStr">
        <is>
          <t>Wonga: DWH development &amp; migration on Snowflake Project Sprint Planning Session</t>
        </is>
      </c>
      <c r="I15" t="inlineStr">
        <is>
          <t>Wonga: DWH development &amp; migration on Snowflake Project Sprint Planning Session</t>
        </is>
      </c>
      <c r="J15" t="inlineStr">
        <is>
          <t>Product Management: C-Track Tableau Nexus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>
        <is>
          <t xml:space="preserve">Scale Up - Core Strategy </t>
        </is>
      </c>
      <c r="D16" t="inlineStr">
        <is>
          <t xml:space="preserve">Scale Up - Core Strategy </t>
        </is>
      </c>
      <c r="E16" t="inlineStr"/>
      <c r="F16" t="inlineStr"/>
      <c r="G16" t="inlineStr"/>
      <c r="H16" t="inlineStr"/>
      <c r="I16" t="inlineStr"/>
      <c r="J16" t="inlineStr">
        <is>
          <t>Blocked Slipstream: Sn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>
        <is>
          <t xml:space="preserve">Scale Up - Core Strategy </t>
        </is>
      </c>
      <c r="D17" t="inlineStr">
        <is>
          <t xml:space="preserve">Scale Up - Core Strategy </t>
        </is>
      </c>
      <c r="E17" t="inlineStr"/>
      <c r="F17" t="inlineStr"/>
      <c r="G17" t="inlineStr"/>
      <c r="H17" t="inlineStr"/>
      <c r="I17" t="inlineStr"/>
      <c r="J17" t="inlineStr">
        <is>
          <t>Blocked Slipstream: Sn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>
        <is>
          <t>Upskilling</t>
        </is>
      </c>
      <c r="I18" t="inlineStr"/>
      <c r="J18" t="inlineStr">
        <is>
          <t>Blocked Slipstream: Sn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Sn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SnowPro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SnowPro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SnowPro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SnowPro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Run CBR 4Zayraana, 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>
        <is>
          <t>WongaZA: Merge to Staging</t>
        </is>
      </c>
      <c r="F5" t="inlineStr"/>
      <c r="G5" t="inlineStr"/>
      <c r="H5" t="inlineStr">
        <is>
          <t>Wonga Work</t>
        </is>
      </c>
      <c r="I5" t="inlineStr">
        <is>
          <t>WongaZA: Merge to Staging</t>
        </is>
      </c>
      <c r="J5" t="inlineStr">
        <is>
          <t>PM C-Track Tableau Nexus, 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>
        <is>
          <t>WongaZA: Merge to Staging</t>
        </is>
      </c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WongaZA: Merge to Staging, Shoprite Analytics|| Cloud BI Daily Stand Up</t>
        </is>
      </c>
      <c r="J6" t="inlineStr">
        <is>
          <t>CBR Review And FATCA Workflows, OM Work</t>
        </is>
      </c>
      <c r="K6" t="inlineStr">
        <is>
          <t>DWH Nonp Refresh</t>
        </is>
      </c>
      <c r="L6" t="inlineStr">
        <is>
          <t>Weekly sales meeting</t>
        </is>
      </c>
      <c r="M6" t="inlineStr"/>
      <c r="N6" t="inlineStr">
        <is>
          <t>DWH Nonp Refresh, 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>
        <is>
          <t>Taquanta: Projects Internal Standup</t>
        </is>
      </c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>
        <is>
          <t>Taquanta: Projects Internal Standup</t>
        </is>
      </c>
      <c r="J7" t="inlineStr">
        <is>
          <t>CBR Review And FATCA Workflows, 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>
        <is>
          <t>GIT best practice</t>
        </is>
      </c>
      <c r="C8" t="inlineStr"/>
      <c r="D8" t="inlineStr">
        <is>
          <t>Shoprite Athena Setup Next Steps Discussion</t>
        </is>
      </c>
      <c r="E8" t="inlineStr">
        <is>
          <t>GIT best practice</t>
        </is>
      </c>
      <c r="F8" t="inlineStr">
        <is>
          <t>Shoprite Athena Setup Next Steps Discussion</t>
        </is>
      </c>
      <c r="G8" t="inlineStr">
        <is>
          <t>SnowPro Core Certification</t>
        </is>
      </c>
      <c r="H8" t="inlineStr">
        <is>
          <t>Wonga ODS Merge to Staging , Shoprite Athena Setup Next Steps Discussion</t>
        </is>
      </c>
      <c r="I8" t="inlineStr">
        <is>
          <t>GIT best practice</t>
        </is>
      </c>
      <c r="J8" t="inlineStr">
        <is>
          <t>OM Work</t>
        </is>
      </c>
      <c r="K8" t="inlineStr">
        <is>
          <t>GIT best practice</t>
        </is>
      </c>
      <c r="L8" t="inlineStr">
        <is>
          <t>Wonga Project Plan + Budget Update +Emails, PMO: Client Reports Review and Sign-off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>
        <is>
          <t>GIT best practice</t>
        </is>
      </c>
      <c r="C9" t="inlineStr"/>
      <c r="D9" t="inlineStr"/>
      <c r="E9" t="inlineStr">
        <is>
          <t>GIT best practice</t>
        </is>
      </c>
      <c r="F9" t="inlineStr"/>
      <c r="G9" t="inlineStr">
        <is>
          <t>SnowPro Core Certification</t>
        </is>
      </c>
      <c r="H9" t="inlineStr"/>
      <c r="I9" t="inlineStr">
        <is>
          <t>GIT best practice</t>
        </is>
      </c>
      <c r="J9" t="inlineStr">
        <is>
          <t>OM Work</t>
        </is>
      </c>
      <c r="K9" t="inlineStr">
        <is>
          <t>GIT best practice</t>
        </is>
      </c>
      <c r="L9" t="inlineStr">
        <is>
          <t>Wonga Project Plan + Budget Update +Emails</t>
        </is>
      </c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>
        <is>
          <t xml:space="preserve">Alteryx | Slipstream Introduction </t>
        </is>
      </c>
      <c r="J10" t="inlineStr">
        <is>
          <t>FPrep, OM Work</t>
        </is>
      </c>
      <c r="K10" t="inlineStr"/>
      <c r="L10" t="inlineStr">
        <is>
          <t>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Weekly Meeting, ScaleUp Homework sessions </t>
        </is>
      </c>
      <c r="D12" t="inlineStr">
        <is>
          <t xml:space="preserve">C-Track Tableau opportunity , 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>
        <is>
          <t>C-Track Tableau opportunity , Slipstream</t>
        </is>
      </c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Weekly Meeting, ScaleUp Homework sessions </t>
        </is>
      </c>
      <c r="D13" t="inlineStr">
        <is>
          <t xml:space="preserve">C-Track Tableau opportunity , 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>
        <is>
          <t>C-Track Tableau opportunity , Slipstream</t>
        </is>
      </c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TableauPlan&amp;Research, Slipstream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Catch-up on Tableau for 2026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TableauPlan&amp;Research, Slipstream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>
        <is>
          <t>Tableau Tribe Development and Upskilling</t>
        </is>
      </c>
      <c r="D16" t="inlineStr">
        <is>
          <t>Catch-up on Tableau for 2026, Tableau Tribe Development and Upskilling</t>
        </is>
      </c>
      <c r="E16" t="inlineStr">
        <is>
          <t>NCR_Data</t>
        </is>
      </c>
      <c r="F16" t="inlineStr"/>
      <c r="G16" t="inlineStr">
        <is>
          <t>Tableau Tribe Development and Upskilling</t>
        </is>
      </c>
      <c r="H16" t="inlineStr">
        <is>
          <t>Tableau Tribe Development and Upskilling</t>
        </is>
      </c>
      <c r="I16" t="inlineStr"/>
      <c r="J16" t="inlineStr">
        <is>
          <t>Slipstream, Tableau Tribe Development and Upskilling</t>
        </is>
      </c>
      <c r="K16" t="inlineStr">
        <is>
          <t>NCR_Data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retro, Tech team planning</t>
        </is>
      </c>
      <c r="N16" t="inlineStr"/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>
        <is>
          <t>Tableau Tribe Development and Upskilling</t>
        </is>
      </c>
      <c r="D17" t="inlineStr">
        <is>
          <t>Tableau Tribe Development and Upskilling</t>
        </is>
      </c>
      <c r="E17" t="inlineStr"/>
      <c r="F17" t="inlineStr"/>
      <c r="G17" t="inlineStr">
        <is>
          <t>Tableau Tribe Development and Upskilling</t>
        </is>
      </c>
      <c r="H17" t="inlineStr">
        <is>
          <t>Tableau Tribe Development and Upskilling</t>
        </is>
      </c>
      <c r="I17" t="inlineStr"/>
      <c r="J17" t="inlineStr">
        <is>
          <t>Slipstream, Tableau Tribe Development and Upskilling, Blocked Slipstream: SnowPro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retro</t>
        </is>
      </c>
      <c r="N17" t="inlineStr"/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Slipstream, Blocked Slipstream: SnowPro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Slipstream, 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/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/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Alteryx Cleanup, 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>
        <is>
          <t>OM Work</t>
        </is>
      </c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>
        <is>
          <t>Data Preparation Questions</t>
        </is>
      </c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AML Risk Return report (end of Jan submission), 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>
        <is>
          <t>Data Preparation Questions</t>
        </is>
      </c>
      <c r="D9" t="inlineStr">
        <is>
          <t>Mulesoft / Slipstream intro &amp; discussion</t>
        </is>
      </c>
      <c r="E9" t="inlineStr">
        <is>
          <t>Collections Mart Validation Output</t>
        </is>
      </c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>
        <is>
          <t>Collections Mart Validation Output</t>
        </is>
      </c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Wonga DWH - RBAC</t>
        </is>
      </c>
      <c r="D10" t="inlineStr"/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>
        <is>
          <t>Wonga DWH - RBAC</t>
        </is>
      </c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Meeting with Ti, 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>
        <is>
          <t>Weekly meeting</t>
        </is>
      </c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>
        <is>
          <t>Weekly meeting</t>
        </is>
      </c>
      <c r="D15" t="inlineStr"/>
      <c r="E15" t="inlineStr"/>
      <c r="F15" t="inlineStr"/>
      <c r="G15" t="inlineStr">
        <is>
          <t>AWS Solutions Architect Associate</t>
        </is>
      </c>
      <c r="H15" t="inlineStr">
        <is>
          <t>Robin - Flora Meeting</t>
        </is>
      </c>
      <c r="I15" t="inlineStr"/>
      <c r="J15" t="inlineStr">
        <is>
          <t>Robin - Flora Meeting, 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C-Track Demo</t>
        </is>
      </c>
      <c r="E17" t="inlineStr"/>
      <c r="F17" t="inlineStr"/>
      <c r="G17" t="inlineStr">
        <is>
          <t>Internal Migration Validations</t>
        </is>
      </c>
      <c r="H17" t="inlineStr">
        <is>
          <t>Internal Migration Validations</t>
        </is>
      </c>
      <c r="I17" t="inlineStr"/>
      <c r="J17" t="inlineStr">
        <is>
          <t>C-Track Demo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/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Blocked Slipstream: SnowPro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AML Meeting with AML team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>
        <is>
          <t>Wonga: DWH Project Tech Team Weekly Various Topics Collaboration Session **Client Onsite Meeting**</t>
        </is>
      </c>
      <c r="E6" t="inlineStr">
        <is>
          <t>Canceled: Tech Team Planning , 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>
        <is>
          <t xml:space="preserve">Canceled: Tech Team Planning </t>
        </is>
      </c>
      <c r="H6" t="inlineStr">
        <is>
          <t>Modern data platform with Azure Databricks (Day 1 of 3), 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Slipstream - team coordination Job Comp</t>
        </is>
      </c>
      <c r="K6" t="inlineStr">
        <is>
          <t>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>
        <is>
          <t xml:space="preserve">Canceled: Tech Team Planning </t>
        </is>
      </c>
      <c r="N6" t="inlineStr">
        <is>
          <t>Canceled: Tech Team Planning , 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>
        <is>
          <t xml:space="preserve">Canceled: Tech Team Planning </t>
        </is>
      </c>
      <c r="F7" t="inlineStr"/>
      <c r="G7" t="inlineStr">
        <is>
          <t>Canceled: Tech Team Planning , Internal Projects - Weekly Action Meeting</t>
        </is>
      </c>
      <c r="H7" t="inlineStr">
        <is>
          <t>DND, Modern data platform with Azure Databricks (Day 1 of 3), Wonga Work, Internal Projects - Weekly Action Meeting</t>
        </is>
      </c>
      <c r="I7" t="inlineStr"/>
      <c r="J7" t="inlineStr">
        <is>
          <t>OM Work</t>
        </is>
      </c>
      <c r="K7" t="inlineStr"/>
      <c r="L7" t="inlineStr"/>
      <c r="M7" t="inlineStr">
        <is>
          <t xml:space="preserve">Canceled: Tech Team Planning </t>
        </is>
      </c>
      <c r="N7" t="inlineStr">
        <is>
          <t xml:space="preserve">Canceled: Tech Team Planning </t>
        </is>
      </c>
      <c r="O7" t="inlineStr"/>
    </row>
    <row r="8">
      <c r="A8" t="inlineStr">
        <is>
          <t>11:00</t>
        </is>
      </c>
      <c r="B8" t="inlineStr"/>
      <c r="C8" t="inlineStr"/>
      <c r="D8" t="inlineStr">
        <is>
          <t>Databricks</t>
        </is>
      </c>
      <c r="E8" t="inlineStr"/>
      <c r="F8" t="inlineStr"/>
      <c r="G8" t="inlineStr">
        <is>
          <t>SnowPro Core Certification</t>
        </is>
      </c>
      <c r="H8" t="inlineStr">
        <is>
          <t>DND, Modern data platform with Azure Databricks (Day 1 of 3)</t>
        </is>
      </c>
      <c r="I8" t="inlineStr"/>
      <c r="J8" t="inlineStr">
        <is>
          <t>Admin|PLN (OM SS)</t>
        </is>
      </c>
      <c r="K8" t="inlineStr"/>
      <c r="L8" t="inlineStr">
        <is>
          <t>Discuss Slipstream - Internal "Allocated" Admin Activities 2025</t>
        </is>
      </c>
      <c r="M8" t="inlineStr">
        <is>
          <t>Databricks</t>
        </is>
      </c>
      <c r="N8" t="inlineStr">
        <is>
          <t>Databricks</t>
        </is>
      </c>
      <c r="O8" t="inlineStr"/>
    </row>
    <row r="9">
      <c r="A9" t="inlineStr">
        <is>
          <t>11:30</t>
        </is>
      </c>
      <c r="B9" t="inlineStr"/>
      <c r="C9" t="inlineStr"/>
      <c r="D9" t="inlineStr">
        <is>
          <t>Internal Migration - Review</t>
        </is>
      </c>
      <c r="E9" t="inlineStr"/>
      <c r="F9" t="inlineStr"/>
      <c r="G9" t="inlineStr">
        <is>
          <t>Spur Discussion with Nate, SnowPro Core Certification</t>
        </is>
      </c>
      <c r="H9" t="inlineStr">
        <is>
          <t>DND, Internal Migration - Review, Modern data platform with Azure Databricks (Day 1 of 3)</t>
        </is>
      </c>
      <c r="I9" t="inlineStr"/>
      <c r="J9" t="inlineStr">
        <is>
          <t>OM Work &amp; GIT Investigation</t>
        </is>
      </c>
      <c r="K9" t="inlineStr">
        <is>
          <t>Canceled: Senior Tech Team: Insights Session</t>
        </is>
      </c>
      <c r="L9" t="inlineStr">
        <is>
          <t>Discuss Slipstream - Internal "Allocated" Admin Activities 2025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>
        <is>
          <t>Modern data platform with Azure Databricks (Day 1 of 3)</t>
        </is>
      </c>
      <c r="I10" t="inlineStr"/>
      <c r="J10" t="inlineStr">
        <is>
          <t>OM Work &amp; GIT Investigation</t>
        </is>
      </c>
      <c r="K10" t="inlineStr"/>
      <c r="L10" t="inlineStr">
        <is>
          <t>Wonga: DWH Project Weekly Report Review and Sign-off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>
        <is>
          <t>Modern data platform with Azure Databricks (Day 1 of 3)</t>
        </is>
      </c>
      <c r="I11" t="inlineStr"/>
      <c r="J11" t="inlineStr">
        <is>
          <t>OM Work &amp; GIT Investigation</t>
        </is>
      </c>
      <c r="K11" t="inlineStr"/>
      <c r="L11" t="inlineStr">
        <is>
          <t>Taquanta January report daily tasks update + emails</t>
        </is>
      </c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>
        <is>
          <t>Modern data platform with Azure Databricks - Lab Support and Q&amp;A (Day 1 of 3), Shoprite Testing Oauth</t>
        </is>
      </c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>
        <is>
          <t>Modern data platform with Azure Databricks - Lab Support and Q&amp;A (Day 1 of 3), Shoprite Testing Oauth</t>
        </is>
      </c>
      <c r="I13" t="inlineStr">
        <is>
          <t>Warehouse merge - Staging into Prod</t>
        </is>
      </c>
      <c r="J13" t="inlineStr"/>
      <c r="K13" t="inlineStr"/>
      <c r="L13" t="inlineStr">
        <is>
          <t>Wonga Project Plan + Budget Update +Emails, 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PF run and tik update</t>
        </is>
      </c>
      <c r="K14" t="inlineStr"/>
      <c r="L14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PF run and tik update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>
        <is>
          <t>2025/2026 - Graduate Catch-Up - Planning Meeting</t>
        </is>
      </c>
      <c r="G16" t="inlineStr"/>
      <c r="H16" t="inlineStr">
        <is>
          <t>2025/2026 - Graduate Catch-Up - Planning Meeting</t>
        </is>
      </c>
      <c r="I16" t="inlineStr"/>
      <c r="J16" t="inlineStr">
        <is>
          <t>AML Risk Return report (end of Jan submission) - Check in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AML Risk Return report (end of Jan submission) - Check in, Workday Access Case-46701, SS-JobComp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GIPS spreadsheet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Data Cloud Implentation Questions, 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OM-Git, Blocked Slipstream: PM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Alteryx Amazon Athena Connection, 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Alteryx Amazon Athena Connection, Upskilling</t>
        </is>
      </c>
      <c r="I19" t="inlineStr"/>
      <c r="J19" t="inlineStr">
        <is>
          <t>OM-Git, Blocked Slipstream: PM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Shoprite - Tableau &amp; Alteryx Connections</t>
        </is>
      </c>
      <c r="D4" t="inlineStr">
        <is>
          <t>Shoprite - Tableau &amp; Alteryx Connections, Strategy and solution Day</t>
        </is>
      </c>
      <c r="E4" t="inlineStr">
        <is>
          <t>Taquanta: Projects Internal Standup</t>
        </is>
      </c>
      <c r="F4" t="inlineStr">
        <is>
          <t>Shoprite - Tableau &amp; Alteryx Connections</t>
        </is>
      </c>
      <c r="G4" t="inlineStr"/>
      <c r="H4" t="inlineStr">
        <is>
          <t>Shoprite - Tableau &amp; Alteryx Connections, Wonga Work</t>
        </is>
      </c>
      <c r="I4" t="inlineStr">
        <is>
          <t>Taquanta: Projects Internal Standup</t>
        </is>
      </c>
      <c r="J4" t="inlineStr">
        <is>
          <t>OM Work</t>
        </is>
      </c>
      <c r="K4" t="inlineStr"/>
      <c r="L4" t="inlineStr">
        <is>
          <t>Taquanta: Projects Internal Standup</t>
        </is>
      </c>
      <c r="M4" t="inlineStr">
        <is>
          <t>Taquanta: Projects Internal Standup</t>
        </is>
      </c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Shoprite - Tableau &amp; Alteryx Connections, Wonga: DWH development &amp; migration on Snowflake Project Daily Standup**With Client**</t>
        </is>
      </c>
      <c r="D5" t="inlineStr">
        <is>
          <t>Shoprite - Tableau &amp; Alteryx Connections, Strategy and solution Day, 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Shoprite - Tableau &amp; Alteryx Connections, 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Shoprite - Tableau &amp; Alteryx Connections, 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Modern data platform with Azure Databricks (Day 2 of 3), 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>
        <is>
          <t>Strategy and solution Day</t>
        </is>
      </c>
      <c r="E7" t="inlineStr"/>
      <c r="F7" t="inlineStr"/>
      <c r="G7" t="inlineStr">
        <is>
          <t>Internal Projects - Weekly Action Meeting</t>
        </is>
      </c>
      <c r="H7" t="inlineStr">
        <is>
          <t>Modern data platform with Azure Databricks (Day 2 of 3), Wonga Work, Internal Projects - Weekly Action Meeting</t>
        </is>
      </c>
      <c r="I7" t="inlineStr"/>
      <c r="J7" t="inlineStr">
        <is>
          <t>OM Work</t>
        </is>
      </c>
      <c r="K7" t="inlineStr">
        <is>
          <t>CollectionsDashboard</t>
        </is>
      </c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>
        <is>
          <t>Modern data platform with Azure Databricks (Day 2 of 3)</t>
        </is>
      </c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>
        <is>
          <t>Modern data platform with Azure Databricks (Day 2 of 3)</t>
        </is>
      </c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>
        <is>
          <t>Modern data platform with Azure Databricks (Day 2 of 3), Shoprite Authentication Resolution Session</t>
        </is>
      </c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Dave and Alex - Slipstream &amp; Sir Fruit , Strategy and solution Day</t>
        </is>
      </c>
      <c r="E11" t="inlineStr"/>
      <c r="F11" t="inlineStr"/>
      <c r="G11" t="inlineStr">
        <is>
          <t>SnowPro Core Certification</t>
        </is>
      </c>
      <c r="H11" t="inlineStr">
        <is>
          <t>Modern data platform with Azure Databricks (Day 2 of 3), Shoprite Authentication Resolution Session</t>
        </is>
      </c>
      <c r="I11" t="inlineStr"/>
      <c r="J11" t="inlineStr">
        <is>
          <t>OM Work</t>
        </is>
      </c>
      <c r="K11" t="inlineStr"/>
      <c r="L11" t="inlineStr">
        <is>
          <t>Sanlam Hours + emails</t>
        </is>
      </c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Dave and Alex - Slipstream &amp; Sir Fruit , Strategy and solution Day</t>
        </is>
      </c>
      <c r="E12" t="inlineStr"/>
      <c r="F12" t="inlineStr"/>
      <c r="G12" t="inlineStr">
        <is>
          <t>SnowPro Core Certification</t>
        </is>
      </c>
      <c r="H12" t="inlineStr">
        <is>
          <t>Shoprite Authentication Resolution Session, Modern data platform with Azure Databricks - Lab Support and Q&amp;A (Day 2 of 3)</t>
        </is>
      </c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>
        <is>
          <t>Shoprite Authentication Resolution Session, Modern data platform with Azure Databricks - Lab Support and Q&amp;A (Day 2 of 3)</t>
        </is>
      </c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>
        <is>
          <t>Wonga Validations with Tawanda and Jenna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>
        <is>
          <t>Wonga Validations with Tawanda and Jenna</t>
        </is>
      </c>
      <c r="I15" t="inlineStr"/>
      <c r="J15" t="inlineStr">
        <is>
          <t>Blocked Slipstream: PM Tableau Next, Pulse, MCP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>
        <is>
          <t>Wonga Validations with Tawanda and Jenna</t>
        </is>
      </c>
      <c r="I16" t="inlineStr">
        <is>
          <t>B2B Portal Issue</t>
        </is>
      </c>
      <c r="J16" t="inlineStr">
        <is>
          <t>Blocked Slipstream: PM Tableau Next, Pulse, MCP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>
        <is>
          <t>Wonga Validations with Tawanda and Jenna</t>
        </is>
      </c>
      <c r="I17" t="inlineStr"/>
      <c r="J17" t="inlineStr">
        <is>
          <t>Blocked Slipstream: PM Tableau Next, Pulse, MCP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Blocked Slipstream: PM Tableau Next, Pulse, MCP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PM Tableau Next, Pulse, MCP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>
        <is>
          <t>Blocked Slipstream: PM Tableau Next, Pulse, MCP</t>
        </is>
      </c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Wonga Project Plan + Budget Update +Emails</t>
        </is>
      </c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Wonga Project Plan + Budget Update +Emails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Modern data platform with Azure Databricks (Day 3 of 3), 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Wonga Project Plan + Budget Update +Emails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Internal Projects - Weekly Action Meeting</t>
        </is>
      </c>
      <c r="H7" t="inlineStr">
        <is>
          <t>Modern data platform with Azure Databricks (Day 3 of 3), Wonga Work, Internal Projects - Weekly Action Meeting</t>
        </is>
      </c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Wonga: DWH Project SLA/Support Hours Discussion</t>
        </is>
      </c>
      <c r="E8" t="inlineStr"/>
      <c r="F8" t="inlineStr"/>
      <c r="G8" t="inlineStr">
        <is>
          <t>SnowPro Core Certification</t>
        </is>
      </c>
      <c r="H8" t="inlineStr">
        <is>
          <t>Modern data platform with Azure Databricks (Day 3 of 3)</t>
        </is>
      </c>
      <c r="I8" t="inlineStr">
        <is>
          <t>Wonga: DWH Project SLA/Support Hours Discussion</t>
        </is>
      </c>
      <c r="J8" t="inlineStr">
        <is>
          <t>Focus time</t>
        </is>
      </c>
      <c r="K8" t="inlineStr">
        <is>
          <t>Wonga: DWH Project SLA/Support Hours Discussion</t>
        </is>
      </c>
      <c r="L8" t="inlineStr">
        <is>
          <t>Wonga: DWH Project SLA/Support Hours Discussion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Wonga: DWH Project SLA/Support Hours Discussion</t>
        </is>
      </c>
      <c r="E9" t="inlineStr"/>
      <c r="F9" t="inlineStr"/>
      <c r="G9" t="inlineStr">
        <is>
          <t>SnowPro Core Certification</t>
        </is>
      </c>
      <c r="H9" t="inlineStr">
        <is>
          <t>Modern data platform with Azure Databricks (Day 3 of 3)</t>
        </is>
      </c>
      <c r="I9" t="inlineStr">
        <is>
          <t>Wonga: DWH Project SLA/Support Hours Discussion</t>
        </is>
      </c>
      <c r="J9" t="inlineStr">
        <is>
          <t>Focus time</t>
        </is>
      </c>
      <c r="K9" t="inlineStr">
        <is>
          <t>Wonga: DWH Project SLA/Support Hours Discussion</t>
        </is>
      </c>
      <c r="L9" t="inlineStr">
        <is>
          <t xml:space="preserve">Wonga: DWH Project SLA/Support Hours Discussion, 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DW: Weekly round-up meeting</t>
        </is>
      </c>
      <c r="E10" t="inlineStr"/>
      <c r="F10" t="inlineStr"/>
      <c r="G10" t="inlineStr">
        <is>
          <t>SnowPro Core Certification</t>
        </is>
      </c>
      <c r="H10" t="inlineStr">
        <is>
          <t>Modern data platform with Azure Databricks (Day 3 of 3)</t>
        </is>
      </c>
      <c r="I10" t="inlineStr"/>
      <c r="J10" t="inlineStr"/>
      <c r="K10" t="inlineStr">
        <is>
          <t>DW: Weekly round-up meeting</t>
        </is>
      </c>
      <c r="L10" t="inlineStr">
        <is>
          <t>DW: Weekly round-up meeting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>
        <is>
          <t xml:space="preserve">Resource scheduling </t>
        </is>
      </c>
      <c r="C11" t="inlineStr"/>
      <c r="D11" t="inlineStr"/>
      <c r="E11" t="inlineStr"/>
      <c r="F11" t="inlineStr"/>
      <c r="G11" t="inlineStr">
        <is>
          <t>SnowPro Core Certification</t>
        </is>
      </c>
      <c r="H11" t="inlineStr">
        <is>
          <t>Modern data platform with Azure Databricks (Day 3 of 3), Monthly Client Support Reports Process Implementation - Feedback Sessions</t>
        </is>
      </c>
      <c r="I11" t="inlineStr"/>
      <c r="J11" t="inlineStr"/>
      <c r="K11" t="inlineStr"/>
      <c r="L11" t="inlineStr">
        <is>
          <t>Monthly Client Support Reports Process Implementation - Feedback Sessions</t>
        </is>
      </c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>
        <is>
          <t>Modern data platform with Azure Databricks - Lab Support and Q&amp;A (Day 3 of 3)</t>
        </is>
      </c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>
        <is>
          <t>Modern data platform with Azure Databricks - Lab Support and Q&amp;A (Day 3 of 3)</t>
        </is>
      </c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>
        <is>
          <t>Tech Job Competency Guidelines</t>
        </is>
      </c>
      <c r="C15" t="inlineStr">
        <is>
          <t>Tech Job Competency Guidelines</t>
        </is>
      </c>
      <c r="D15" t="inlineStr"/>
      <c r="E15" t="inlineStr"/>
      <c r="F15" t="inlineStr">
        <is>
          <t>Tech Job Competency Guidelines</t>
        </is>
      </c>
      <c r="G15" t="inlineStr">
        <is>
          <t>Tech Job Competency Guidelines, AWS Solutions Architect Associate</t>
        </is>
      </c>
      <c r="H15" t="inlineStr">
        <is>
          <t>Tech Job Competency Guidelines</t>
        </is>
      </c>
      <c r="I15" t="inlineStr">
        <is>
          <t>Tech Job Competency Guidelines</t>
        </is>
      </c>
      <c r="J15" t="inlineStr">
        <is>
          <t>Tech Job Competency Guidelines</t>
        </is>
      </c>
      <c r="K15" t="inlineStr">
        <is>
          <t>Tech Job Competency Guidelines</t>
        </is>
      </c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Tech Job Competency Guidelines</t>
        </is>
      </c>
      <c r="N15" t="inlineStr">
        <is>
          <t>Tech Job Competency Guidelines</t>
        </is>
      </c>
      <c r="O15" t="inlineStr"/>
    </row>
    <row r="16">
      <c r="A16" t="inlineStr">
        <is>
          <t>15:00</t>
        </is>
      </c>
      <c r="B16" t="inlineStr">
        <is>
          <t>Tech Job Competency Guidelines</t>
        </is>
      </c>
      <c r="C16" t="inlineStr">
        <is>
          <t>Tech Job Competency Guidelines</t>
        </is>
      </c>
      <c r="D16" t="inlineStr"/>
      <c r="E16" t="inlineStr"/>
      <c r="F16" t="inlineStr">
        <is>
          <t>Tech Job Competency Guidelines</t>
        </is>
      </c>
      <c r="G16" t="inlineStr">
        <is>
          <t>Tech Job Competency Guidelines</t>
        </is>
      </c>
      <c r="H16" t="inlineStr">
        <is>
          <t>Tech Job Competency Guidelines</t>
        </is>
      </c>
      <c r="I16" t="inlineStr">
        <is>
          <t>Tech Job Competency Guidelines</t>
        </is>
      </c>
      <c r="J16" t="inlineStr">
        <is>
          <t>Tech Job Competency Guidelines, Blocked Slipstream: C-Track Prep Tableau Pulse</t>
        </is>
      </c>
      <c r="K16" t="inlineStr">
        <is>
          <t>Tech Job Competency Guidelines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Tech Job Competency Guidelines</t>
        </is>
      </c>
      <c r="N16" t="inlineStr">
        <is>
          <t>Tech Job Competency Guidelines</t>
        </is>
      </c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C-Track Prep Tableau Pulse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C-Track Prep Tableau Pulse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C-Track Prep Tableau Pulse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SnowPro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SnowPro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SnowPro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SnowPro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SA - Cloud BI | Stand Up, Wonga Work</t>
        </is>
      </c>
      <c r="I6" t="inlineStr">
        <is>
          <t>Shoprite Analytics|| Cloud BI Daily Stand Up</t>
        </is>
      </c>
      <c r="J6" t="inlineStr">
        <is>
          <t>FATCA/CRS CDC-3297 redeployment, 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>
        <is>
          <t>Taquanta: Projects Internal Standup</t>
        </is>
      </c>
      <c r="F7" t="inlineStr"/>
      <c r="G7" t="inlineStr">
        <is>
          <t>Internal Projects - Weekly Action Meeting</t>
        </is>
      </c>
      <c r="H7" t="inlineStr">
        <is>
          <t>SA - Cloud BI | Stand Up, Wonga Work, Internal Projects - Weekly Action Meeting</t>
        </is>
      </c>
      <c r="I7" t="inlineStr">
        <is>
          <t>Taquanta: Projects Internal Standup</t>
        </is>
      </c>
      <c r="J7" t="inlineStr">
        <is>
          <t>FATCA/CRS CDC-3297 redeployment, 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>
        <is>
          <t>Slipstream - IPD - Internal Projects Check-In</t>
        </is>
      </c>
      <c r="C8" t="inlineStr"/>
      <c r="D8" t="inlineStr">
        <is>
          <t>Wonga: DWH Project SLA/Support Hours Review with Alex</t>
        </is>
      </c>
      <c r="E8" t="inlineStr"/>
      <c r="F8" t="inlineStr"/>
      <c r="G8" t="inlineStr">
        <is>
          <t>SnowPro Core Certification, Slipstream - IPD - Internal Projects Check-In</t>
        </is>
      </c>
      <c r="H8" t="inlineStr">
        <is>
          <t>Slipstream - IPD - Internal Projects Check-In</t>
        </is>
      </c>
      <c r="I8" t="inlineStr">
        <is>
          <t>Wonga: DWH Project SLA/Support Hours Review with Alex</t>
        </is>
      </c>
      <c r="J8" t="inlineStr">
        <is>
          <t>OM Work</t>
        </is>
      </c>
      <c r="K8" t="inlineStr">
        <is>
          <t>Wonga: DWH Project SLA/Support Hours Review with Alex</t>
        </is>
      </c>
      <c r="L8" t="inlineStr">
        <is>
          <t>Wonga: DWH Project SLA/Support Hours Review with Alex, Slipstream - IPD - Internal Projects Check-In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>
        <is>
          <t>Wonga: DWH Project SLA/Support Hours Review with Alex</t>
        </is>
      </c>
      <c r="E9" t="inlineStr"/>
      <c r="F9" t="inlineStr"/>
      <c r="G9" t="inlineStr">
        <is>
          <t>SnowPro Core Certification</t>
        </is>
      </c>
      <c r="H9" t="inlineStr"/>
      <c r="I9" t="inlineStr">
        <is>
          <t>Wonga: DWH Project SLA/Support Hours Review with Alex, Ben &lt;&gt; Nate - 1:1</t>
        </is>
      </c>
      <c r="J9" t="inlineStr">
        <is>
          <t>OM Work</t>
        </is>
      </c>
      <c r="K9" t="inlineStr">
        <is>
          <t>Wonga: DWH Project SLA/Support Hours Review with Alex</t>
        </is>
      </c>
      <c r="L9" t="inlineStr">
        <is>
          <t>Wonga: DWH Project SLA/Support Hours Review with Alex, Wonga Project Plan + Budget Update +Emails</t>
        </is>
      </c>
      <c r="M9" t="inlineStr">
        <is>
          <t>IP: SaaS - Asset Management progress update</t>
        </is>
      </c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>
        <is>
          <t>Wonga: DWH Project SLA/Support Hours Review with Alex</t>
        </is>
      </c>
      <c r="E10" t="inlineStr">
        <is>
          <t>Aza &lt;&gt; Nate - 1:1</t>
        </is>
      </c>
      <c r="F10" t="inlineStr"/>
      <c r="G10" t="inlineStr">
        <is>
          <t>SnowPro Core Certification</t>
        </is>
      </c>
      <c r="H10" t="inlineStr"/>
      <c r="I10" t="inlineStr">
        <is>
          <t>Wonga: DWH Project SLA/Support Hours Review with Alex</t>
        </is>
      </c>
      <c r="J10" t="inlineStr">
        <is>
          <t>OM Work</t>
        </is>
      </c>
      <c r="K10" t="inlineStr">
        <is>
          <t>Wonga: DWH Project SLA/Support Hours Review with Alex</t>
        </is>
      </c>
      <c r="L10" t="inlineStr">
        <is>
          <t>Wonga: DWH Project SLA/Support Hours Review with Alex, 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Flora &lt;&gt; Nate - 1:1, OM Work</t>
        </is>
      </c>
      <c r="K11" t="inlineStr"/>
      <c r="L11" t="inlineStr">
        <is>
          <t>Wonga Project Plan + Budget Update +Emails</t>
        </is>
      </c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>
        <is>
          <t>Job Competency Meeting Update - Robin</t>
        </is>
      </c>
      <c r="G12" t="inlineStr">
        <is>
          <t>SnowPro Core Certification</t>
        </is>
      </c>
      <c r="H12" t="inlineStr">
        <is>
          <t>Job Competency Meeting Update - Robin</t>
        </is>
      </c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>Mark &lt;&gt; Nate - 1:1</t>
        </is>
      </c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Tech team retrospective</t>
        </is>
      </c>
      <c r="N14" t="inlineStr">
        <is>
          <t>Michael &lt;&gt; Nate - 1:1</t>
        </is>
      </c>
      <c r="O14" t="inlineStr"/>
    </row>
    <row r="15">
      <c r="A15" t="inlineStr">
        <is>
          <t>14:30</t>
        </is>
      </c>
      <c r="B15" t="inlineStr"/>
      <c r="C15" t="inlineStr">
        <is>
          <t>Writeable Replica</t>
        </is>
      </c>
      <c r="D15" t="inlineStr">
        <is>
          <t xml:space="preserve">Muzi x Andrew, Muzi x Andrew 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Tech team retrospective</t>
        </is>
      </c>
      <c r="N15" t="inlineStr"/>
      <c r="O15" t="inlineStr"/>
    </row>
    <row r="16">
      <c r="A16" t="inlineStr">
        <is>
          <t>15:00</t>
        </is>
      </c>
      <c r="B16" t="inlineStr"/>
      <c r="C16" t="inlineStr">
        <is>
          <t>Writeable Replica</t>
        </is>
      </c>
      <c r="D16" t="inlineStr">
        <is>
          <t xml:space="preserve">Muzi x Andrew, Muzi x Andrew </t>
        </is>
      </c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huddle, Tech team retrospective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huddle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FATCA/CRS CDC-3297 redeployment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>
        <is>
          <t>OLD Mutual FATCA Deployment</t>
        </is>
      </c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>
        <is>
          <t>OLD Mutual FATCA Deployment</t>
        </is>
      </c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>
        <is>
          <t>Call - Tuesday 09h00</t>
        </is>
      </c>
      <c r="H4" t="inlineStr">
        <is>
          <t>Wonga Work</t>
        </is>
      </c>
      <c r="I4" t="inlineStr"/>
      <c r="J4" t="inlineStr">
        <is>
          <t>S/Stream - EBU Cadence - Bi-Monthly, 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>
        <is>
          <t>Ntsako &lt;&gt; Nate - 1:1</t>
        </is>
      </c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>
        <is>
          <t>Thembani &lt;&gt; Nate - 1:1</t>
        </is>
      </c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SharePoint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>
        <is>
          <t>FATCA/CRS CDC-3297 redeployment, Agentforce - Customer Success, OM Work</t>
        </is>
      </c>
      <c r="K7" t="inlineStr"/>
      <c r="L7" t="inlineStr">
        <is>
          <t>SharePoint, Resource Utilisation Review</t>
        </is>
      </c>
      <c r="M7" t="inlineStr"/>
      <c r="N7" t="inlineStr"/>
      <c r="O7" t="inlineStr">
        <is>
          <t>Agentforce - Customer Success</t>
        </is>
      </c>
    </row>
    <row r="8">
      <c r="A8" t="inlineStr">
        <is>
          <t>11:00</t>
        </is>
      </c>
      <c r="B8" t="inlineStr">
        <is>
          <t>Wonga DWH - App funnel updates</t>
        </is>
      </c>
      <c r="C8" t="inlineStr"/>
      <c r="D8" t="inlineStr"/>
      <c r="E8" t="inlineStr"/>
      <c r="F8" t="inlineStr"/>
      <c r="G8" t="inlineStr">
        <is>
          <t>SnowPro Core Certification</t>
        </is>
      </c>
      <c r="H8" t="inlineStr">
        <is>
          <t>Wonga DWH - App funnel updates</t>
        </is>
      </c>
      <c r="I8" t="inlineStr"/>
      <c r="J8" t="inlineStr">
        <is>
          <t>Agentforce - Customer Success, 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Agentforce - Customer Success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Palesa &lt;&gt; Nate - 1:1</t>
        </is>
      </c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>
        <is>
          <t>Slipstream Data Catch up , Get Started with Snowflake Intelligence for Business Workflows</t>
        </is>
      </c>
      <c r="G10" t="inlineStr">
        <is>
          <t>SnowPro Core Certification</t>
        </is>
      </c>
      <c r="H10" t="inlineStr">
        <is>
          <t>Slipstream Data Catch up , Get Started with Snowflake Intelligence for Business Workflows</t>
        </is>
      </c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Intro Slipstream Data (slipstreamdata.co.za)</t>
        </is>
      </c>
      <c r="E11" t="inlineStr"/>
      <c r="F11" t="inlineStr">
        <is>
          <t>Get Started with Snowflake Intelligence for Business Workflows</t>
        </is>
      </c>
      <c r="G11" t="inlineStr">
        <is>
          <t>SnowPro Core Certification</t>
        </is>
      </c>
      <c r="H11" t="inlineStr">
        <is>
          <t>Get Started with Snowflake Intelligence for Business Workflows</t>
        </is>
      </c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Intro Slipstream Data (slipstreamdata.co.za)</t>
        </is>
      </c>
      <c r="E12" t="inlineStr"/>
      <c r="F12" t="inlineStr">
        <is>
          <t>Get Started with Snowflake Intelligence for Business Workflows</t>
        </is>
      </c>
      <c r="G12" t="inlineStr">
        <is>
          <t>SnowPro Core Certification</t>
        </is>
      </c>
      <c r="H12" t="inlineStr">
        <is>
          <t>Get Started with Snowflake Intelligence for Business Workflows</t>
        </is>
      </c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>
        <is>
          <t xml:space="preserve">Riyad &lt;&gt; Nate - 1:1 </t>
        </is>
      </c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>
        <is>
          <t>Robin &lt;&gt; Nate - 1:1</t>
        </is>
      </c>
      <c r="I14" t="inlineStr"/>
      <c r="J14" t="inlineStr">
        <is>
          <t>Blocked Slipstream: CTrack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Blocked Slipstream: CTrack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CTrack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CTrack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Blocked Slipstream: CTrack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CTrack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Tableau Server-HANA security integration</t>
        </is>
      </c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OM Work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/>
      <c r="E6" t="inlineStr">
        <is>
          <t>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/>
      <c r="H6" t="inlineStr">
        <is>
          <t>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OM Work</t>
        </is>
      </c>
      <c r="K6" t="inlineStr">
        <is>
          <t>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/>
      <c r="E7" t="inlineStr">
        <is>
          <t>Taquanta: Projects Internal Standup</t>
        </is>
      </c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Investec PVT Bank 80 Hours Support Project Weekly Report , 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>
        <is>
          <t>DT_Billing review</t>
        </is>
      </c>
      <c r="C9" t="inlineStr"/>
      <c r="D9" t="inlineStr"/>
      <c r="E9" t="inlineStr">
        <is>
          <t>VPN Configuration Slipstream</t>
        </is>
      </c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>
        <is>
          <t>DT_Billing review</t>
        </is>
      </c>
      <c r="L9" t="inlineStr">
        <is>
          <t>Wonga Project Plan + Budget Update +Emails</t>
        </is>
      </c>
      <c r="M9" t="inlineStr"/>
      <c r="N9" t="inlineStr"/>
      <c r="O9" t="inlineStr">
        <is>
          <t>Suzanne &lt;&gt; Nate - 1:1</t>
        </is>
      </c>
    </row>
    <row r="10">
      <c r="A10" t="inlineStr">
        <is>
          <t>12:00</t>
        </is>
      </c>
      <c r="B10" t="inlineStr">
        <is>
          <t>DT_Billing review</t>
        </is>
      </c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>
        <is>
          <t>DT_Billing review</t>
        </is>
      </c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 xml:space="preserve">C-Track Tableau demo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>
        <is>
          <t xml:space="preserve">C-Track Tableau demo </t>
        </is>
      </c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 xml:space="preserve">C-Track Tableau demo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>
        <is>
          <t xml:space="preserve">C-Track Tableau demo </t>
        </is>
      </c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>
        <is>
          <t>one on one - Thando</t>
        </is>
      </c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SnowPro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WhereScape/Slipstream - monthly catch up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>
        <is>
          <t>PMO Office Hours Sessions</t>
        </is>
      </c>
      <c r="D17" t="inlineStr">
        <is>
          <t>PMO Office Hours Sessions</t>
        </is>
      </c>
      <c r="E17" t="inlineStr"/>
      <c r="F17" t="inlineStr"/>
      <c r="G17" t="inlineStr"/>
      <c r="H17" t="inlineStr"/>
      <c r="I17" t="inlineStr"/>
      <c r="J17" t="inlineStr">
        <is>
          <t>OM Work, Blocked Slipstream: SnowPro, PMO Office Hours Sessions</t>
        </is>
      </c>
      <c r="K17" t="inlineStr">
        <is>
          <t>PMO Office Hours Sessions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WhereScape/Slipstream - monthly catch up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Standup**Internal**, PMO Office Hours Sessions</t>
        </is>
      </c>
      <c r="D18" t="inlineStr">
        <is>
          <t>Wonga: DWH development &amp; migration on Snowflake Project Daily Standup**Internal**, PMO Office Hours Sessions, Data Cloud Implentation Questions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SnowPro, PMO Office Hours Sessions</t>
        </is>
      </c>
      <c r="K18" t="inlineStr">
        <is>
          <t>Wonga: DWH development &amp; migration on Snowflake Project Daily Standup**Internal**, PMO Office Hours Sessions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SnowPro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>
        <is>
          <t>S189 Consultation 1 - Thembani Faleni</t>
        </is>
      </c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Strategy and solution Day, 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S189 Consultation 1 - Thembani Faleni, 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>
        <is>
          <t>Monthly Client Support Reports Process Implementation - Feedback Sessions</t>
        </is>
      </c>
      <c r="I11" t="inlineStr"/>
      <c r="J11" t="inlineStr"/>
      <c r="K11" t="inlineStr"/>
      <c r="L11" t="inlineStr">
        <is>
          <t>Monthly Client Support Reports Process Implementation - Feedback Sessions</t>
        </is>
      </c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>Wonga: DWH Project Monthly Retrospective Sessions **Internal Meeting**</t>
        </is>
      </c>
      <c r="D12" t="inlineStr">
        <is>
          <t>Slipstream Check In, Strategy and solution Day, Wonga: DWH Project Monthly Retrospective Sessions **Internal Meeting**</t>
        </is>
      </c>
      <c r="E12" t="inlineStr">
        <is>
          <t>Wonga: DWH Project Monthly Retrospective Sessions **Internal Meeting**</t>
        </is>
      </c>
      <c r="F12" t="inlineStr"/>
      <c r="G12" t="inlineStr">
        <is>
          <t>Wonga: DWH Project Monthly Retrospective Sessions **Internal Meeting**, SnowPro Core Certification</t>
        </is>
      </c>
      <c r="H12" t="inlineStr">
        <is>
          <t>Wonga: DWH Project Monthly Retrospective Sessions **Internal Meeting**</t>
        </is>
      </c>
      <c r="I12" t="inlineStr">
        <is>
          <t>Wonga: DWH Project Monthly Retrospective Sessions **Internal Meeting**</t>
        </is>
      </c>
      <c r="J12" t="inlineStr">
        <is>
          <t>Wonga: DWH Project Monthly Retrospective Sessions **Internal Meeting**</t>
        </is>
      </c>
      <c r="K12" t="inlineStr">
        <is>
          <t>Wonga: DWH Project Monthly Retrospective Sessions **Internal Meeting**</t>
        </is>
      </c>
      <c r="L12" t="inlineStr">
        <is>
          <t>Wonga: DWH Project Monthly Retrospective Sessions **Internal Meeting**, 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>Wonga: DWH Project Monthly Retrospective Sessions **Internal Meeting**</t>
        </is>
      </c>
      <c r="D13" t="inlineStr">
        <is>
          <t>Slipstream Check In, Strategy and solution Day, Wonga: DWH Project Monthly Retrospective Sessions **Internal Meeting**</t>
        </is>
      </c>
      <c r="E13" t="inlineStr">
        <is>
          <t>Wonga: DWH Project Monthly Retrospective Sessions **Internal Meeting**</t>
        </is>
      </c>
      <c r="F13" t="inlineStr"/>
      <c r="G13" t="inlineStr">
        <is>
          <t>Wonga: DWH Project Monthly Retrospective Sessions **Internal Meeting**, AWS Solutions Architect Associate</t>
        </is>
      </c>
      <c r="H13" t="inlineStr">
        <is>
          <t>Wonga: DWH Project Monthly Retrospective Sessions **Internal Meeting**</t>
        </is>
      </c>
      <c r="I13" t="inlineStr">
        <is>
          <t>Wonga: DWH Project Monthly Retrospective Sessions **Internal Meeting**</t>
        </is>
      </c>
      <c r="J13" t="inlineStr">
        <is>
          <t>Wonga: DWH Project Monthly Retrospective Sessions **Internal Meeting**</t>
        </is>
      </c>
      <c r="K13" t="inlineStr">
        <is>
          <t>Wonga: DWH Project Monthly Retrospective Sessions **Internal Meeting**</t>
        </is>
      </c>
      <c r="L13" t="inlineStr">
        <is>
          <t>Wonga: DWH Project Monthly Retrospective Sessions **Internal Meeting**, 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>
        <is>
          <t>Wonga: DWH Project Monthly Retrospective Sessions **Internal Meeting**</t>
        </is>
      </c>
      <c r="D14" t="inlineStr">
        <is>
          <t>Investec Purview skills discussion | Slipstream Data , Strategy and solution Day, Wonga: DWH Project Monthly Retrospective Sessions **Internal Meeting**</t>
        </is>
      </c>
      <c r="E14" t="inlineStr">
        <is>
          <t>Wonga: DWH Project Monthly Retrospective Sessions **Internal Meeting**</t>
        </is>
      </c>
      <c r="F14" t="inlineStr"/>
      <c r="G14" t="inlineStr">
        <is>
          <t>Wonga: DWH Project Monthly Retrospective Sessions **Internal Meeting**, AWS Solutions Architect Associate</t>
        </is>
      </c>
      <c r="H14" t="inlineStr">
        <is>
          <t>Wonga: DWH Project Monthly Retrospective Sessions **Internal Meeting**</t>
        </is>
      </c>
      <c r="I14" t="inlineStr">
        <is>
          <t>Wonga: DWH Project Monthly Retrospective Sessions **Internal Meeting**</t>
        </is>
      </c>
      <c r="J14" t="inlineStr">
        <is>
          <t>Wonga: DWH Project Monthly Retrospective Sessions **Internal Meeting**</t>
        </is>
      </c>
      <c r="K14" t="inlineStr">
        <is>
          <t>Wonga: DWH Project Monthly Retrospective Sessions **Internal Meeting**</t>
        </is>
      </c>
      <c r="L14" t="inlineStr">
        <is>
          <t>Wonga: DWH Project Monthly Retrospective Sessions **Internal Meeting**, 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>
        <is>
          <t>Wonga: DWH Project Monthly Retrospective Sessions **Internal Meeting**</t>
        </is>
      </c>
      <c r="D15" t="inlineStr">
        <is>
          <t>Investec Purview skills discussion | Slipstream Data , Strategy and solution Day, Wonga: DWH Project Monthly Retrospective Sessions **Internal Meeting**</t>
        </is>
      </c>
      <c r="E15" t="inlineStr">
        <is>
          <t>Wonga: DWH Project Monthly Retrospective Sessions **Internal Meeting**</t>
        </is>
      </c>
      <c r="F15" t="inlineStr"/>
      <c r="G15" t="inlineStr">
        <is>
          <t>Wonga: DWH Project Monthly Retrospective Sessions **Internal Meeting**, AWS Solutions Architect Associate</t>
        </is>
      </c>
      <c r="H15" t="inlineStr">
        <is>
          <t>Wonga: DWH Project Monthly Retrospective Sessions **Internal Meeting**</t>
        </is>
      </c>
      <c r="I15" t="inlineStr">
        <is>
          <t>Wonga: DWH Project Monthly Retrospective Sessions **Internal Meeting**</t>
        </is>
      </c>
      <c r="J15" t="inlineStr">
        <is>
          <t>Wonga: DWH Project Monthly Retrospective Sessions **Internal Meeting**</t>
        </is>
      </c>
      <c r="K15" t="inlineStr">
        <is>
          <t>Wonga: DWH Project Monthly Retrospective Sessions **Internal Meeting**</t>
        </is>
      </c>
      <c r="L15" t="inlineStr">
        <is>
          <t>Wonga: DWH Project Monthly Retrospective Sessions **Internal Meeting**, 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>
        <is>
          <t>Flora &lt;&gt; Nate - 1:1, Blocked Slipstream: SnowPro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SnowPro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Wonga Project Plan + Budget Update +Emails</t>
        </is>
      </c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 xml:space="preserve">Monthly Management Meeting 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Wonga Project Plan + Budget Update +Emails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 xml:space="preserve">Weekly Sync: Nate &lt;&gt; Andrew, Monthly Management Meeting 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Wonga Project Plan + Budget Update +Emails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>
        <is>
          <t>Internal Projects - Weekly Action Meeting</t>
        </is>
      </c>
      <c r="C7" t="inlineStr"/>
      <c r="D7" t="inlineStr">
        <is>
          <t xml:space="preserve">Monthly Management Meeting </t>
        </is>
      </c>
      <c r="E7" t="inlineStr"/>
      <c r="F7" t="inlineStr"/>
      <c r="G7" t="inlineStr">
        <is>
          <t>Internal Projects - Weekly Action Meeting</t>
        </is>
      </c>
      <c r="H7" t="inlineStr">
        <is>
          <t>Wonga Work, Internal Projects - Weekly Action Meeting</t>
        </is>
      </c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 xml:space="preserve">Monthly Management Meeting 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Focus time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 xml:space="preserve">Monthly Management Meeting </t>
        </is>
      </c>
      <c r="E9" t="inlineStr"/>
      <c r="F9" t="inlineStr"/>
      <c r="G9" t="inlineStr">
        <is>
          <t>SnowPro Core Certification</t>
        </is>
      </c>
      <c r="H9" t="inlineStr">
        <is>
          <t>SA - Cloud BI | Stand Up</t>
        </is>
      </c>
      <c r="I9" t="inlineStr"/>
      <c r="J9" t="inlineStr">
        <is>
          <t>Focus time</t>
        </is>
      </c>
      <c r="K9" t="inlineStr"/>
      <c r="L9" t="inlineStr">
        <is>
          <t xml:space="preserve">SA - Cloud BI | Stand Up, 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 xml:space="preserve">DW: Weekly round-up meeting, Monthly Management Meeting 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>
        <is>
          <t xml:space="preserve">Monthly Management Meeting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Monthly Management Meeting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>
        <is>
          <t>Wonga: DWH development &amp; migration on Snowflake Project Sprint Planning Session</t>
        </is>
      </c>
      <c r="C13" t="inlineStr">
        <is>
          <t>Wonga: DWH development &amp; migration on Snowflake Project Sprint Planning Session</t>
        </is>
      </c>
      <c r="D13" t="inlineStr">
        <is>
          <t>Wonga: DWH development &amp; migration on Snowflake Project Sprint Planning Session</t>
        </is>
      </c>
      <c r="E13" t="inlineStr">
        <is>
          <t>Wonga: DWH development &amp; migration on Snowflake Project Sprint Planning Session</t>
        </is>
      </c>
      <c r="F13" t="inlineStr">
        <is>
          <t>Wonga: DWH development &amp; migration on Snowflake Project Sprint Planning Session</t>
        </is>
      </c>
      <c r="G13" t="inlineStr">
        <is>
          <t>AWS Solutions Architect Associate, Wonga: DWH development &amp; migration on Snowflake Project Sprint Planning Session</t>
        </is>
      </c>
      <c r="H13" t="inlineStr">
        <is>
          <t>Wonga: DWH development &amp; migration on Snowflake Project Sprint Planning Session</t>
        </is>
      </c>
      <c r="I13" t="inlineStr">
        <is>
          <t>Wonga: DWH development &amp; migration on Snowflake Project Sprint Planning Session</t>
        </is>
      </c>
      <c r="J13" t="inlineStr">
        <is>
          <t>Wonga: DWH development &amp; migration on Snowflake Project Sprint Planning Session</t>
        </is>
      </c>
      <c r="K13" t="inlineStr">
        <is>
          <t>Wonga: DWH development &amp; migration on Snowflake Project Sprint Planning Session</t>
        </is>
      </c>
      <c r="L13" t="inlineStr">
        <is>
          <t>Wonga: DWH development &amp; migration on Snowflake Project Sprint Planning Session, 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>
        <is>
          <t>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>
        <is>
          <t>AWS Solutions Architect Associate, Wonga: DWH development &amp; migration on Snowflake Project Sprint Planning Session</t>
        </is>
      </c>
      <c r="H14" t="inlineStr">
        <is>
          <t>Wonga: DWH development &amp; migration on Snowflake Project Sprint Planning Session</t>
        </is>
      </c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>
        <is>
          <t>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>
        <is>
          <t>AWS Solutions Architect Associate, Wonga: DWH development &amp; migration on Snowflake Project Sprint Planning Session</t>
        </is>
      </c>
      <c r="H15" t="inlineStr">
        <is>
          <t>Wonga: DWH development &amp; migration on Snowflake Project Sprint Planning Session</t>
        </is>
      </c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SnowPro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Making Agents Work: How the ecosystem unlocks enterprise value, 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SnowPro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>
        <is>
          <t>Making Agents Work: How the ecosystem unlocks enterprise value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SnowPro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SnowPro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SnowPro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SnowPro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>
        <is>
          <t xml:space="preserve">Shoprite SLA Internal Review </t>
        </is>
      </c>
      <c r="D8" t="inlineStr">
        <is>
          <t xml:space="preserve">Shoprite SLA Internal Review </t>
        </is>
      </c>
      <c r="E8" t="inlineStr"/>
      <c r="F8" t="inlineStr"/>
      <c r="G8" t="inlineStr">
        <is>
          <t>SnowPro Core Certification</t>
        </is>
      </c>
      <c r="H8" t="inlineStr">
        <is>
          <t xml:space="preserve">Shoprite SLA Internal Review </t>
        </is>
      </c>
      <c r="I8" t="inlineStr">
        <is>
          <t xml:space="preserve">Shoprite SLA Internal Review </t>
        </is>
      </c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>
        <is>
          <t xml:space="preserve">Shoprite SLA Internal Review </t>
        </is>
      </c>
      <c r="D9" t="inlineStr">
        <is>
          <t xml:space="preserve">Shoprite SLA Internal Review </t>
        </is>
      </c>
      <c r="E9" t="inlineStr"/>
      <c r="F9" t="inlineStr"/>
      <c r="G9" t="inlineStr">
        <is>
          <t>SnowPro Core Certification</t>
        </is>
      </c>
      <c r="H9" t="inlineStr">
        <is>
          <t xml:space="preserve">Shoprite SLA Internal Review </t>
        </is>
      </c>
      <c r="I9" t="inlineStr">
        <is>
          <t xml:space="preserve">Shoprite SLA Internal Review </t>
        </is>
      </c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>
        <is>
          <t>Focus time</t>
        </is>
      </c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PM Forum, ScaleUp Homework sessions </t>
        </is>
      </c>
      <c r="D13" t="inlineStr">
        <is>
          <t xml:space="preserve">ScaleUp Homework sessions </t>
        </is>
      </c>
      <c r="E13" t="inlineStr"/>
      <c r="F13" t="inlineStr">
        <is>
          <t>PM Forum</t>
        </is>
      </c>
      <c r="G13" t="inlineStr">
        <is>
          <t>AWS Solutions Architect Associate</t>
        </is>
      </c>
      <c r="H13" t="inlineStr"/>
      <c r="I13" t="inlineStr">
        <is>
          <t>PM Forum</t>
        </is>
      </c>
      <c r="J13" t="inlineStr">
        <is>
          <t>PM Forum</t>
        </is>
      </c>
      <c r="K13" t="inlineStr"/>
      <c r="L13" t="inlineStr">
        <is>
          <t>Monthly Tech Team Leave Discussion , Shoprite Plan Update + Emails</t>
        </is>
      </c>
      <c r="M13" t="inlineStr">
        <is>
          <t>PM Forum</t>
        </is>
      </c>
      <c r="N13" t="inlineStr">
        <is>
          <t>Internal Study time(PDP)</t>
        </is>
      </c>
      <c r="O13" t="inlineStr">
        <is>
          <t>PM Forum</t>
        </is>
      </c>
    </row>
    <row r="14">
      <c r="A14" t="inlineStr">
        <is>
          <t>14:00</t>
        </is>
      </c>
      <c r="B14" t="inlineStr"/>
      <c r="C14" t="inlineStr">
        <is>
          <t>PM Forum</t>
        </is>
      </c>
      <c r="D14" t="inlineStr"/>
      <c r="E14" t="inlineStr"/>
      <c r="F14" t="inlineStr">
        <is>
          <t>PM Forum</t>
        </is>
      </c>
      <c r="G14" t="inlineStr">
        <is>
          <t>AWS Solutions Architect Associate</t>
        </is>
      </c>
      <c r="H14" t="inlineStr"/>
      <c r="I14" t="inlineStr">
        <is>
          <t>PM Forum</t>
        </is>
      </c>
      <c r="J14" t="inlineStr">
        <is>
          <t>PM Forum, 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PM Forum</t>
        </is>
      </c>
      <c r="N14" t="inlineStr"/>
      <c r="O14" t="inlineStr">
        <is>
          <t>PM Forum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Canceled: Tableau Tribe Development and Upskilling</t>
        </is>
      </c>
      <c r="C16" t="inlineStr"/>
      <c r="D16" t="inlineStr">
        <is>
          <t>Canceled: Tableau Tribe Development and Upskilling</t>
        </is>
      </c>
      <c r="E16" t="inlineStr"/>
      <c r="F16" t="inlineStr"/>
      <c r="G16" t="inlineStr">
        <is>
          <t>Canceled: Tableau Tribe Development and Upskilling</t>
        </is>
      </c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retro, Tech team planning</t>
        </is>
      </c>
      <c r="N16" t="inlineStr"/>
      <c r="O16" t="inlineStr">
        <is>
          <t>Canceled: Tableau Tribe Development and Upskilling</t>
        </is>
      </c>
    </row>
    <row r="17">
      <c r="A17" t="inlineStr">
        <is>
          <t>15:30</t>
        </is>
      </c>
      <c r="B17" t="inlineStr">
        <is>
          <t>Canceled: Tableau Tribe Development and Upskilling</t>
        </is>
      </c>
      <c r="C17" t="inlineStr"/>
      <c r="D17" t="inlineStr">
        <is>
          <t>Canceled: Tableau Tribe Development and Upskilling</t>
        </is>
      </c>
      <c r="E17" t="inlineStr"/>
      <c r="F17" t="inlineStr"/>
      <c r="G17" t="inlineStr">
        <is>
          <t>Canceled: Tableau Tribe Development and Upskilling</t>
        </is>
      </c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retro</t>
        </is>
      </c>
      <c r="N17" t="inlineStr"/>
      <c r="O17" t="inlineStr">
        <is>
          <t>Canceled: Tableau Tribe Development and Upskilling</t>
        </is>
      </c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>
        <is>
          <t>Canceled event: S/Stream - EBU Cadence - Bi-Monthly @ Monthly from 09:00 to 09:30 on the first Tuesday (SAST) (suzanne.edlmann@slipstreamdata.co.za)</t>
        </is>
      </c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OM Work</t>
        </is>
      </c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Canceled: ShopRite SLA Report Monthly Prep (Tableau, Alteryx, B2B), 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>Internal Salesforce (Tableau &amp; Mulesoft) demo &amp; positioning capabilities</t>
        </is>
      </c>
      <c r="D12" t="inlineStr">
        <is>
          <t>Internal Salesforce (Tableau &amp; Mulesoft) demo &amp; positioning capabilities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>
        <is>
          <t>Internal Salesforce (Tableau &amp; Mulesoft) demo &amp; positioning capabilities</t>
        </is>
      </c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>Internal Salesforce (Tableau &amp; Mulesoft) demo &amp; positioning capabilities</t>
        </is>
      </c>
      <c r="D13" t="inlineStr">
        <is>
          <t>Internal Salesforce (Tableau &amp; Mulesoft) demo &amp; positioning capabilities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>
        <is>
          <t>Internal Salesforce (Tableau &amp; Mulesoft) demo &amp; positioning capabilities</t>
        </is>
      </c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OM Work,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OM Work,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OM Work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>
        <is>
          <t>Wonga: DWH Project Tech Team Weekly Various Topics Collaboration Session **Client Onsite Meeting**</t>
        </is>
      </c>
      <c r="E6" t="inlineStr">
        <is>
          <t>Canceled: Tech Team Planning , 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>
        <is>
          <t xml:space="preserve">Canceled: Tech Team Planning </t>
        </is>
      </c>
      <c r="H6" t="inlineStr">
        <is>
          <t>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Map Layers: The Secret to Cool Charts in Tableau, OM Work</t>
        </is>
      </c>
      <c r="K6" t="inlineStr">
        <is>
          <t>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>
        <is>
          <t xml:space="preserve">Canceled: Tech Team Planning </t>
        </is>
      </c>
      <c r="N6" t="inlineStr">
        <is>
          <t>Canceled: Tech Team Planning , 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Canceled: Tech Team Planning , Taquanta: Projects Internal Standup</t>
        </is>
      </c>
      <c r="F7" t="inlineStr"/>
      <c r="G7" t="inlineStr">
        <is>
          <t xml:space="preserve">Canceled: Tech Team Planning </t>
        </is>
      </c>
      <c r="H7" t="inlineStr">
        <is>
          <t>Wonga Work</t>
        </is>
      </c>
      <c r="I7" t="inlineStr">
        <is>
          <t>Taquanta: Projects Internal Standup</t>
        </is>
      </c>
      <c r="J7" t="inlineStr">
        <is>
          <t>Map Layers: The Secret to Cool Charts in Tableau, OM Work</t>
        </is>
      </c>
      <c r="K7" t="inlineStr"/>
      <c r="L7" t="inlineStr">
        <is>
          <t>Investec PVT Bank 80 Hours Support Project Weekly Report , Taquanta: Projects Internal Standup</t>
        </is>
      </c>
      <c r="M7" t="inlineStr">
        <is>
          <t>Canceled: Tech Team Planning , Taquanta: Projects Internal Standup</t>
        </is>
      </c>
      <c r="N7" t="inlineStr">
        <is>
          <t xml:space="preserve">Canceled: Tech Team Planning 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WhereScape for Fabric (Parner demo for Slipstream)</t>
        </is>
      </c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WhereScape for Fabric (Parner demo for Slipstream)</t>
        </is>
      </c>
      <c r="N16" t="inlineStr">
        <is>
          <t>WhereScape for Fabric (Parner demo for Slipstream)</t>
        </is>
      </c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WhereScape for Fabric (Parner demo for Slipstream)</t>
        </is>
      </c>
      <c r="E17" t="inlineStr"/>
      <c r="F17" t="inlineStr"/>
      <c r="G17" t="inlineStr"/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WhereScape for Fabric (Parner demo for Slipstream)</t>
        </is>
      </c>
      <c r="N17" t="inlineStr">
        <is>
          <t>WhereScape for Fabric (Parner demo for Slipstream)</t>
        </is>
      </c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Standup**Internal**, Data Cloud Implentation Questions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Focus time</t>
        </is>
      </c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>
        <is>
          <t>Wonga: DWH Project Monthly Retrospective Sessions **Internal Meeting**</t>
        </is>
      </c>
      <c r="C8" t="inlineStr">
        <is>
          <t>Wonga: DWH Project Monthly Retrospective Sessions **Internal Meeting**</t>
        </is>
      </c>
      <c r="D8" t="inlineStr">
        <is>
          <t>Wonga: DWH Project Monthly Retrospective Sessions **Internal Meeting**</t>
        </is>
      </c>
      <c r="E8" t="inlineStr">
        <is>
          <t>Wonga: DWH Project Monthly Retrospective Sessions **Internal Meeting**</t>
        </is>
      </c>
      <c r="F8" t="inlineStr">
        <is>
          <t>Wonga: DWH Project Monthly Retrospective Sessions **Internal Meeting**</t>
        </is>
      </c>
      <c r="G8" t="inlineStr">
        <is>
          <t>SnowPro Core Certification</t>
        </is>
      </c>
      <c r="H8" t="inlineStr">
        <is>
          <t>Wonga: DWH Project Monthly Retrospective Sessions **Internal Meeting**</t>
        </is>
      </c>
      <c r="I8" t="inlineStr">
        <is>
          <t>Wonga: DWH Project Monthly Retrospective Sessions **Internal Meeting**</t>
        </is>
      </c>
      <c r="J8" t="inlineStr">
        <is>
          <t>OM Work</t>
        </is>
      </c>
      <c r="K8" t="inlineStr">
        <is>
          <t>Wonga: DWH Project Monthly Retrospective Sessions **Internal Meeting**</t>
        </is>
      </c>
      <c r="L8" t="inlineStr">
        <is>
          <t>Wonga: DWH Project Monthly Retrospective Sessions **Internal Meeting**, 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>
        <is>
          <t>Wonga: DWH Project Monthly Retrospective Sessions **Internal Meeting**</t>
        </is>
      </c>
      <c r="C9" t="inlineStr">
        <is>
          <t>Wonga: DWH Project Monthly Retrospective Sessions **Internal Meeting**</t>
        </is>
      </c>
      <c r="D9" t="inlineStr">
        <is>
          <t>Wonga: DWH Project Monthly Retrospective Sessions **Internal Meeting**</t>
        </is>
      </c>
      <c r="E9" t="inlineStr">
        <is>
          <t>Wonga: DWH Project Monthly Retrospective Sessions **Internal Meeting**</t>
        </is>
      </c>
      <c r="F9" t="inlineStr">
        <is>
          <t>Wonga: DWH Project Monthly Retrospective Sessions **Internal Meeting**</t>
        </is>
      </c>
      <c r="G9" t="inlineStr">
        <is>
          <t>SnowPro Core Certification</t>
        </is>
      </c>
      <c r="H9" t="inlineStr">
        <is>
          <t>Wonga: DWH Project Monthly Retrospective Sessions **Internal Meeting**</t>
        </is>
      </c>
      <c r="I9" t="inlineStr">
        <is>
          <t>Wonga: DWH Project Monthly Retrospective Sessions **Internal Meeting**</t>
        </is>
      </c>
      <c r="J9" t="inlineStr">
        <is>
          <t>OM Work</t>
        </is>
      </c>
      <c r="K9" t="inlineStr">
        <is>
          <t>Wonga: DWH Project Monthly Retrospective Sessions **Internal Meeting**</t>
        </is>
      </c>
      <c r="L9" t="inlineStr">
        <is>
          <t>Wonga: DWH Project Monthly Retrospective Sessions **Internal Meeting**, 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>
        <is>
          <t>Wonga: DWH Project Monthly Retrospective Sessions **Internal Meeting**</t>
        </is>
      </c>
      <c r="C10" t="inlineStr">
        <is>
          <t>Wonga: DWH Project Monthly Retrospective Sessions **Internal Meeting**</t>
        </is>
      </c>
      <c r="D10" t="inlineStr">
        <is>
          <t>Wonga: DWH Project Monthly Retrospective Sessions **Internal Meeting**</t>
        </is>
      </c>
      <c r="E10" t="inlineStr">
        <is>
          <t>Wonga: DWH Project Monthly Retrospective Sessions **Internal Meeting**</t>
        </is>
      </c>
      <c r="F10" t="inlineStr">
        <is>
          <t>Wonga: DWH Project Monthly Retrospective Sessions **Internal Meeting**</t>
        </is>
      </c>
      <c r="G10" t="inlineStr">
        <is>
          <t>SnowPro Core Certification</t>
        </is>
      </c>
      <c r="H10" t="inlineStr">
        <is>
          <t>Wonga: DWH Project Monthly Retrospective Sessions **Internal Meeting**</t>
        </is>
      </c>
      <c r="I10" t="inlineStr">
        <is>
          <t>Wonga: DWH Project Monthly Retrospective Sessions **Internal Meeting**</t>
        </is>
      </c>
      <c r="J10" t="inlineStr"/>
      <c r="K10" t="inlineStr">
        <is>
          <t>Wonga: DWH Project Monthly Retrospective Sessions **Internal Meeting**</t>
        </is>
      </c>
      <c r="L10" t="inlineStr">
        <is>
          <t>Wonga: DWH Project Monthly Retrospective Sessions **Internal Meeting**, 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>
        <is>
          <t>Wonga: DWH Project Monthly Retrospective Sessions **Internal Meeting**</t>
        </is>
      </c>
      <c r="C11" t="inlineStr">
        <is>
          <t>Wonga: DWH Project Monthly Retrospective Sessions **Internal Meeting**</t>
        </is>
      </c>
      <c r="D11" t="inlineStr">
        <is>
          <t>Wonga: DWH Project Monthly Retrospective Sessions **Internal Meeting**</t>
        </is>
      </c>
      <c r="E11" t="inlineStr">
        <is>
          <t>Wonga: DWH Project Monthly Retrospective Sessions **Internal Meeting**</t>
        </is>
      </c>
      <c r="F11" t="inlineStr">
        <is>
          <t>Wonga: DWH Project Monthly Retrospective Sessions **Internal Meeting**</t>
        </is>
      </c>
      <c r="G11" t="inlineStr">
        <is>
          <t>SnowPro Core Certification</t>
        </is>
      </c>
      <c r="H11" t="inlineStr">
        <is>
          <t>Wonga: DWH Project Monthly Retrospective Sessions **Internal Meeting**</t>
        </is>
      </c>
      <c r="I11" t="inlineStr">
        <is>
          <t>Wonga: DWH Project Monthly Retrospective Sessions **Internal Meeting**</t>
        </is>
      </c>
      <c r="J11" t="inlineStr"/>
      <c r="K11" t="inlineStr">
        <is>
          <t>Wonga: DWH Project Monthly Retrospective Sessions **Internal Meeting**</t>
        </is>
      </c>
      <c r="L11" t="inlineStr">
        <is>
          <t>Wonga: DWH Project Monthly Retrospective Sessions **Internal Meeting**</t>
        </is>
      </c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OPS Exec Updates</t>
        </is>
      </c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Visit the Nurick's</t>
        </is>
      </c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Visit the Nurick's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Visit the Nurick's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>
        <is>
          <t>Product Management Sync</t>
        </is>
      </c>
      <c r="D5" t="inlineStr">
        <is>
          <t>Product Management Sync</t>
        </is>
      </c>
      <c r="E5" t="inlineStr"/>
      <c r="F5" t="inlineStr">
        <is>
          <t>Product Management Sync</t>
        </is>
      </c>
      <c r="G5" t="inlineStr"/>
      <c r="H5" t="inlineStr">
        <is>
          <t>Wonga Work</t>
        </is>
      </c>
      <c r="I5" t="inlineStr">
        <is>
          <t>Product Management Sync</t>
        </is>
      </c>
      <c r="J5" t="inlineStr">
        <is>
          <t>Product Management Sync, OM Work</t>
        </is>
      </c>
      <c r="K5" t="inlineStr"/>
      <c r="L5" t="inlineStr"/>
      <c r="M5" t="inlineStr">
        <is>
          <t>Product Management Sync</t>
        </is>
      </c>
      <c r="N5" t="inlineStr">
        <is>
          <t>Ongoing: Daily operational tasks DSY</t>
        </is>
      </c>
      <c r="O5" t="inlineStr">
        <is>
          <t>Product Management Sync</t>
        </is>
      </c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Focus time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Focus time</t>
        </is>
      </c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meeting, Wonga Project Plan + Budget Update +Emails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AgentForce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AgentForce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>
        <is>
          <t>Ben &lt;&gt; Nate - 1:1</t>
        </is>
      </c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>
        <is>
          <t>IP: SaaS - Asset Management progress update</t>
        </is>
      </c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Aza &lt;&gt; Nate - 1:1</t>
        </is>
      </c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Flora &lt;&gt; Nate - 1:1, 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Mark &lt;&gt; Nate - 1:1, 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Michael &lt;&gt; Nate - 1:1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huddle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huddle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S/Stream - EBU Cadence - Bi-Monthly, 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>
        <is>
          <t>Ntsako &lt;&gt; Nate - 1:1</t>
        </is>
      </c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>
        <is>
          <t>Thembani &lt;&gt; Nate - 1:1</t>
        </is>
      </c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Agentforce - Customer Success</t>
        </is>
      </c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Agentforce - Customer Success, OM Work</t>
        </is>
      </c>
      <c r="K7" t="inlineStr"/>
      <c r="L7" t="inlineStr">
        <is>
          <t>Resource Utilisation Review</t>
        </is>
      </c>
      <c r="M7" t="inlineStr"/>
      <c r="N7" t="inlineStr"/>
      <c r="O7" t="inlineStr">
        <is>
          <t>Agentforce - Customer Success</t>
        </is>
      </c>
    </row>
    <row r="8">
      <c r="A8" t="inlineStr">
        <is>
          <t>11:00</t>
        </is>
      </c>
      <c r="B8" t="inlineStr"/>
      <c r="C8" t="inlineStr"/>
      <c r="D8" t="inlineStr">
        <is>
          <t>Agentforce - Customer Success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Agentforce - Customer Success, 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Agentforce - Customer Success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Palesa &lt;&gt; Nate - 1:1</t>
        </is>
      </c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>
        <is>
          <t>One-One coaching - Ntsako</t>
        </is>
      </c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One-One coaching - Ntsako, 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>
        <is>
          <t xml:space="preserve">Riyad &lt;&gt; Nate - 1:1 </t>
        </is>
      </c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Slipstream Data – Meeting Confirmation for 10 February 2026</t>
        </is>
      </c>
      <c r="E14" t="inlineStr"/>
      <c r="F14" t="inlineStr"/>
      <c r="G14" t="inlineStr">
        <is>
          <t>AWS Solutions Architect Associate</t>
        </is>
      </c>
      <c r="H14" t="inlineStr">
        <is>
          <t>Robin &lt;&gt; Nate - 1:1</t>
        </is>
      </c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Slipstream Data – Meeting Confirmation for 10 February 2026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OM Work,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OM Work,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Advisor Recon (Manual Run), OM Work</t>
        </is>
      </c>
      <c r="K4" t="inlineStr"/>
      <c r="L4" t="inlineStr"/>
      <c r="M4" t="inlineStr"/>
      <c r="N4" t="inlineStr">
        <is>
          <t>DSY DW - Daily standup</t>
        </is>
      </c>
      <c r="O4" t="inlineStr">
        <is>
          <t>Advisor Recon Refresh Data Source</t>
        </is>
      </c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OM Advisor Recon (Manual Run), OM Work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>
        <is>
          <t>Advisor Recon Refresh Data Source</t>
        </is>
      </c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>
        <is>
          <t>Wonga: DWH Project Tech Team Weekly Various Topics Collaboration Session **Client Onsite Meeting**</t>
        </is>
      </c>
      <c r="E6" t="inlineStr">
        <is>
          <t>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/>
      <c r="H6" t="inlineStr">
        <is>
          <t>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OM Work</t>
        </is>
      </c>
      <c r="K6" t="inlineStr">
        <is>
          <t>Wonga: DWH Project Tech Team Weekly Various Topics Collaboration Session **Client Onsite Meeting**</t>
        </is>
      </c>
      <c r="L6" t="inlineStr">
        <is>
          <t>Investec PVT Bank 80 Hours Support Project Weekly Report , Wonga: DWH Project Tech Team Weekly Various Topics Collaboration Session **Client Onsite Meeting**</t>
        </is>
      </c>
      <c r="M6" t="inlineStr"/>
      <c r="N6" t="inlineStr">
        <is>
          <t>Ongoing: Daily operational tasks DSY</t>
        </is>
      </c>
      <c r="O6" t="inlineStr">
        <is>
          <t>Advisor Recon Refresh Data Source</t>
        </is>
      </c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>
        <is>
          <t>Advisor Recon Refresh Data Source</t>
        </is>
      </c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Suzanne &lt;&gt; Nate - 1:1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>
        <is>
          <t>one on one - Thando</t>
        </is>
      </c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>
        <is>
          <t>PMO Office Hours Sessions</t>
        </is>
      </c>
      <c r="D17" t="inlineStr">
        <is>
          <t>PMO Office Hours Sessions</t>
        </is>
      </c>
      <c r="E17" t="inlineStr"/>
      <c r="F17" t="inlineStr"/>
      <c r="G17" t="inlineStr"/>
      <c r="H17" t="inlineStr"/>
      <c r="I17" t="inlineStr"/>
      <c r="J17" t="inlineStr">
        <is>
          <t>OM Work, PMO Office Hours Sessions, Blocked Slipstream: AgentForce</t>
        </is>
      </c>
      <c r="K17" t="inlineStr">
        <is>
          <t>PMO Office Hours Sessions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Standup**Internal**, PMO Office Hours Sessions</t>
        </is>
      </c>
      <c r="D18" t="inlineStr">
        <is>
          <t>Wonga: DWH development &amp; migration on Snowflake Project Daily Standup**Internal**, PMO Office Hours Sessions, Data Cloud Implentation Questions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PMO Office Hours Sessions, Blocked Slipstream: AgentForce</t>
        </is>
      </c>
      <c r="K18" t="inlineStr">
        <is>
          <t>Wonga: DWH development &amp; migration on Snowflake Project Daily Standup**Internal**, PMO Office Hours Sessions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ARA-C01:SnowPro Advanced: Architect Certification Exam, Wonga: DWH development &amp; migration on Snowflake Project Daily Standup**With Client**</t>
        </is>
      </c>
      <c r="D5" t="inlineStr">
        <is>
          <t>Strategy and solution Day, 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ARA-C01:SnowPro Advanced: Architect Certification Exam, 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 xml:space="preserve">Shoprite Analytics|| Cloud BI Daily Stand Up, Canceled: Monthly SLA Review - Tableau/Alteryx/Snowflake b2b 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>
        <is>
          <t>ARA-C01:SnowPro Advanced: Architect Certification Exam</t>
        </is>
      </c>
      <c r="D7" t="inlineStr">
        <is>
          <t>Strategy and solution Day</t>
        </is>
      </c>
      <c r="E7" t="inlineStr">
        <is>
          <t>Taquanta: Projects Internal Standup</t>
        </is>
      </c>
      <c r="F7" t="inlineStr">
        <is>
          <t xml:space="preserve">Canceled: Monthly SLA Review - Tableau/Alteryx/Snowflake b2b </t>
        </is>
      </c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>
        <is>
          <t>ARA-C01:SnowPro Advanced: Architect Certification Exam</t>
        </is>
      </c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ScaleUp - Core Values</t>
        </is>
      </c>
      <c r="D6" t="inlineStr">
        <is>
          <t>ScaleUp - Core Values, 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>
        <is>
          <t>ScaleUp - Core Values</t>
        </is>
      </c>
      <c r="D7" t="inlineStr">
        <is>
          <t>ScaleUp - Core Values</t>
        </is>
      </c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>
        <is>
          <t>ScaleUp - Core Values</t>
        </is>
      </c>
      <c r="D8" t="inlineStr">
        <is>
          <t>ScaleUp - Core Values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>
        <is>
          <t>ScaleUp - Core Values</t>
        </is>
      </c>
      <c r="D9" t="inlineStr">
        <is>
          <t>ScaleUp - Core Values</t>
        </is>
      </c>
      <c r="E9" t="inlineStr"/>
      <c r="F9" t="inlineStr">
        <is>
          <t>Canceled: PM Alignment Meeting</t>
        </is>
      </c>
      <c r="G9" t="inlineStr">
        <is>
          <t>SnowPro Core Certification</t>
        </is>
      </c>
      <c r="H9" t="inlineStr"/>
      <c r="I9" t="inlineStr">
        <is>
          <t>Canceled: PM Alignment Meeting</t>
        </is>
      </c>
      <c r="J9" t="inlineStr"/>
      <c r="K9" t="inlineStr"/>
      <c r="L9" t="inlineStr">
        <is>
          <t xml:space="preserve">Wonga Project Plan + Budget Update +Emails, Resource Utilization Review </t>
        </is>
      </c>
      <c r="M9" t="inlineStr">
        <is>
          <t>Canceled: PM Alignment Meeting</t>
        </is>
      </c>
      <c r="N9" t="inlineStr"/>
      <c r="O9" t="inlineStr"/>
    </row>
    <row r="10">
      <c r="A10" t="inlineStr">
        <is>
          <t>12:00</t>
        </is>
      </c>
      <c r="B10" t="inlineStr"/>
      <c r="C10" t="inlineStr">
        <is>
          <t>ScaleUp - Core Values</t>
        </is>
      </c>
      <c r="D10" t="inlineStr">
        <is>
          <t>ScaleUp - Core Values, 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meeting, Wonga Project Plan + Budget Update +Emails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>
        <is>
          <t>ScaleUp - Core Values</t>
        </is>
      </c>
      <c r="D11" t="inlineStr">
        <is>
          <t>ScaleUp - Core Values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>
        <is>
          <t>ScaleUp - Core Values</t>
        </is>
      </c>
      <c r="D12" t="inlineStr">
        <is>
          <t>ScaleUp - Core Values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>
        <is>
          <t>Wonga: DWH development &amp; migration on Snowflake Project Sprint Planning Session</t>
        </is>
      </c>
      <c r="C13" t="inlineStr">
        <is>
          <t>ScaleUp - Core Values, Wonga: DWH development &amp; migration on Snowflake Project Sprint Planning Session</t>
        </is>
      </c>
      <c r="D13" t="inlineStr">
        <is>
          <t>ScaleUp - Core Values, Wonga: DWH development &amp; migration on Snowflake Project Sprint Planning Session</t>
        </is>
      </c>
      <c r="E13" t="inlineStr">
        <is>
          <t>Wonga: DWH development &amp; migration on Snowflake Project Sprint Planning Session</t>
        </is>
      </c>
      <c r="F13" t="inlineStr">
        <is>
          <t>Wonga: DWH development &amp; migration on Snowflake Project Sprint Planning Session</t>
        </is>
      </c>
      <c r="G13" t="inlineStr">
        <is>
          <t>AWS Solutions Architect Associate, Wonga: DWH development &amp; migration on Snowflake Project Sprint Planning Session</t>
        </is>
      </c>
      <c r="H13" t="inlineStr">
        <is>
          <t>Wonga: DWH development &amp; migration on Snowflake Project Sprint Planning Session</t>
        </is>
      </c>
      <c r="I13" t="inlineStr">
        <is>
          <t>Wonga: DWH development &amp; migration on Snowflake Project Sprint Planning Session</t>
        </is>
      </c>
      <c r="J13" t="inlineStr">
        <is>
          <t>Wonga: DWH development &amp; migration on Snowflake Project Sprint Planning Session</t>
        </is>
      </c>
      <c r="K13" t="inlineStr">
        <is>
          <t>Wonga: DWH development &amp; migration on Snowflake Project Sprint Planning Session</t>
        </is>
      </c>
      <c r="L13" t="inlineStr">
        <is>
          <t>Wonga: DWH development &amp; migration on Snowflake Project Sprint Planning Session, 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>
        <is>
          <t>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>
        <is>
          <t>AWS Solutions Architect Associate, Wonga: DWH development &amp; migration on Snowflake Project Sprint Planning Session</t>
        </is>
      </c>
      <c r="H14" t="inlineStr">
        <is>
          <t>Wonga: DWH development &amp; migration on Snowflake Project Sprint Planning Session</t>
        </is>
      </c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>
        <is>
          <t>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>
        <is>
          <t>AWS Solutions Architect Associate, Wonga: DWH development &amp; migration on Snowflake Project Sprint Planning Session</t>
        </is>
      </c>
      <c r="H15" t="inlineStr">
        <is>
          <t>Wonga: DWH development &amp; migration on Snowflake Project Sprint Planning Session</t>
        </is>
      </c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AgentForce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AgentForce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Cancel Vodacom SIM, 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>
        <is>
          <t>Tableau Tribe Development and Upskilling</t>
        </is>
      </c>
      <c r="D16" t="inlineStr">
        <is>
          <t>Tableau Tribe Development and Upskilling</t>
        </is>
      </c>
      <c r="E16" t="inlineStr"/>
      <c r="F16" t="inlineStr"/>
      <c r="G16" t="inlineStr">
        <is>
          <t>Tableau Tribe Development and Upskilling</t>
        </is>
      </c>
      <c r="H16" t="inlineStr">
        <is>
          <t>Tableau Tribe Development and Upskilling</t>
        </is>
      </c>
      <c r="I16" t="inlineStr"/>
      <c r="J16" t="inlineStr">
        <is>
          <t>Tableau Tribe Development and Upskilling, 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retro, Tech team planning</t>
        </is>
      </c>
      <c r="N16" t="inlineStr"/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>
        <is>
          <t>Tableau Tribe Development and Upskilling</t>
        </is>
      </c>
      <c r="D17" t="inlineStr">
        <is>
          <t>Tableau Tribe Development and Upskilling</t>
        </is>
      </c>
      <c r="E17" t="inlineStr"/>
      <c r="F17" t="inlineStr"/>
      <c r="G17" t="inlineStr">
        <is>
          <t>Tableau Tribe Development and Upskilling</t>
        </is>
      </c>
      <c r="H17" t="inlineStr">
        <is>
          <t>Tableau Tribe Development and Upskilling</t>
        </is>
      </c>
      <c r="I17" t="inlineStr"/>
      <c r="J17" t="inlineStr">
        <is>
          <t>Tableau Tribe Development and Upskilling, 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retro</t>
        </is>
      </c>
      <c r="N17" t="inlineStr"/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OM Work</t>
        </is>
      </c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OM Work,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OM Work,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Court, 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Court</t>
        </is>
      </c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Court, 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OM Work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Court, Wonga: DWH Project Tech Team Weekly Various Topics Collaboration Session **Client Onsite Meeting**</t>
        </is>
      </c>
      <c r="D6" t="inlineStr">
        <is>
          <t>Wonga: DWH Project Tech Team Weekly Various Topics Collaboration Session **Client Onsite Meeting**</t>
        </is>
      </c>
      <c r="E6" t="inlineStr">
        <is>
          <t>Canceled: Tech Team Planning , 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>
        <is>
          <t xml:space="preserve">Canceled: Tech Team Planning </t>
        </is>
      </c>
      <c r="H6" t="inlineStr">
        <is>
          <t>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OM Work</t>
        </is>
      </c>
      <c r="K6" t="inlineStr">
        <is>
          <t>Wonga: DWH Project Tech Team Weekly Various Topics Collaboration Session **Client Onsite Meeting**</t>
        </is>
      </c>
      <c r="L6" t="inlineStr">
        <is>
          <t>Investec PVT Bank 80 Hours Support Project Weekly Report , Wonga: DWH Project Tech Team Weekly Various Topics Collaboration Session **Client Onsite Meeting**</t>
        </is>
      </c>
      <c r="M6" t="inlineStr">
        <is>
          <t xml:space="preserve">Canceled: Tech Team Planning </t>
        </is>
      </c>
      <c r="N6" t="inlineStr">
        <is>
          <t>Canceled: Tech Team Planning , Ongoing: Daily operational tasks DSY</t>
        </is>
      </c>
      <c r="O6" t="inlineStr"/>
    </row>
    <row r="7">
      <c r="A7" t="inlineStr">
        <is>
          <t>10:30</t>
        </is>
      </c>
      <c r="B7" t="inlineStr"/>
      <c r="C7" t="inlineStr">
        <is>
          <t>Court</t>
        </is>
      </c>
      <c r="D7" t="inlineStr"/>
      <c r="E7" t="inlineStr">
        <is>
          <t>Canceled: Tech Team Planning , Taquanta: Projects Internal Standup</t>
        </is>
      </c>
      <c r="F7" t="inlineStr"/>
      <c r="G7" t="inlineStr">
        <is>
          <t xml:space="preserve">Canceled: Tech Team Planning </t>
        </is>
      </c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Canceled: Tech Team Planning , Taquanta: Projects Internal Standup</t>
        </is>
      </c>
      <c r="N7" t="inlineStr">
        <is>
          <t xml:space="preserve">Canceled: Tech Team Planning </t>
        </is>
      </c>
      <c r="O7" t="inlineStr"/>
    </row>
    <row r="8">
      <c r="A8" t="inlineStr">
        <is>
          <t>11:00</t>
        </is>
      </c>
      <c r="B8" t="inlineStr"/>
      <c r="C8" t="inlineStr">
        <is>
          <t>Court</t>
        </is>
      </c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>
        <is>
          <t>Court</t>
        </is>
      </c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>
        <is>
          <t>Canceled: Senior Tech Team: Insights Session</t>
        </is>
      </c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Court</t>
        </is>
      </c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>
        <is>
          <t>Court</t>
        </is>
      </c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Work, 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Work, 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Standup**Internal**, Data Cloud Implentation Questions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Strategy and solution Day, 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>
        <is>
          <t>What's New in Snowflake</t>
        </is>
      </c>
      <c r="G10" t="inlineStr">
        <is>
          <t>SnowPro Core Certification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>
        <is>
          <t>What's New in Snowflake</t>
        </is>
      </c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>
        <is>
          <t>What's New in Snowflake</t>
        </is>
      </c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Slipstream Data / WhereScape, Strategy and solution Day</t>
        </is>
      </c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Slipstream Data / WhereScape, Strategy and solution Day</t>
        </is>
      </c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>
        <is>
          <t xml:space="preserve">Invite: FY27 Partner Summit &amp; Kick-Off 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Invite: FY27 Partner Summit &amp; Kick-Off 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 xml:space="preserve">Invite: FY27 Partner Summit &amp; Kick-Off 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 xml:space="preserve">Invite: FY27 Partner Summit &amp; Kick-Off 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Invite: FY27 Partner Summit &amp; Kick-Off , 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 xml:space="preserve">Invite: FY27 Partner Summit &amp; Kick-Off </t>
        </is>
      </c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 xml:space="preserve">Invite: FY27 Partner Summit &amp; Kick-Off 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 xml:space="preserve">Invite: FY27 Partner Summit &amp; Kick-Off 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Invite: FY27 Partner Summit &amp; Kick-Off , 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meeting, Wonga Project Plan + Budget Update +Emails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>
        <is>
          <t xml:space="preserve">Invite: FY27 Partner Summit &amp; Kick-Off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Invite: FY27 Partner Summit &amp; Kick-Off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>
        <is>
          <t xml:space="preserve">Invite: FY27 Partner Summit &amp; Kick-Off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>
        <is>
          <t>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Invite: FY27 Partner Summit &amp; Kick-Off , 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>
        <is>
          <t>AWS Solutions Architect Associate, Wonga: DWH development &amp; migration on Snowflake Project Sprint Planning Session</t>
        </is>
      </c>
      <c r="H14" t="inlineStr">
        <is>
          <t>Wonga: DWH development &amp; migration on Snowflake Project Sprint Planning Session</t>
        </is>
      </c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>
        <is>
          <t>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Invite: FY27 Partner Summit &amp; Kick-Off , 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>
        <is>
          <t>AWS Solutions Architect Associate, Wonga: DWH development &amp; migration on Snowflake Project Sprint Planning Session</t>
        </is>
      </c>
      <c r="H15" t="inlineStr">
        <is>
          <t>Wonga: DWH development &amp; migration on Snowflake Project Sprint Planning Session</t>
        </is>
      </c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>
        <is>
          <t xml:space="preserve">Invite: FY27 Partner Summit &amp; Kick-Off </t>
        </is>
      </c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 xml:space="preserve">Invite: FY27 Partner Summit &amp; Kick-Off </t>
        </is>
      </c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Blocked Slipstream: AgentForce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Management, 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AgentForce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Blocked Slipstream: AgentForce</t>
        </is>
      </c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Blocked Slipstream: AgentForce</t>
        </is>
      </c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Blocked Slipstream: AgentForce</t>
        </is>
      </c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Blocked Slipstream: AgentForce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>
        <is>
          <t>Ben &lt;&gt; Nate - 1:1</t>
        </is>
      </c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>
        <is>
          <t>IP: SaaS - Asset Management progress update</t>
        </is>
      </c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Aza &lt;&gt; Nate - 1:1</t>
        </is>
      </c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Flora &lt;&gt; Nate - 1:1, 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Mark &lt;&gt; Nate - 1:1, 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Tech team retrospective</t>
        </is>
      </c>
      <c r="N14" t="inlineStr">
        <is>
          <t>Michael &lt;&gt; Nate - 1:1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Tech team retrospective</t>
        </is>
      </c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huddle, Tech team retrospective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huddle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/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S/Stream - EBU Cadence - Bi-Monthly, 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>
        <is>
          <t>Ntsako &lt;&gt; Nate - 1:1</t>
        </is>
      </c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>
        <is>
          <t>Thembani &lt;&gt; Nate - 1:1</t>
        </is>
      </c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Agentforce - Customer Success</t>
        </is>
      </c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Agentforce - Customer Success, OM Work</t>
        </is>
      </c>
      <c r="K7" t="inlineStr"/>
      <c r="L7" t="inlineStr">
        <is>
          <t>Resource Utilisation Review</t>
        </is>
      </c>
      <c r="M7" t="inlineStr"/>
      <c r="N7" t="inlineStr"/>
      <c r="O7" t="inlineStr">
        <is>
          <t>Agentforce - Customer Success</t>
        </is>
      </c>
    </row>
    <row r="8">
      <c r="A8" t="inlineStr">
        <is>
          <t>11:00</t>
        </is>
      </c>
      <c r="B8" t="inlineStr"/>
      <c r="C8" t="inlineStr"/>
      <c r="D8" t="inlineStr">
        <is>
          <t>Agentforce - Customer Success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Agentforce - Customer Success, 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Agentforce - Customer Success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Palesa &lt;&gt; Nate - 1:1</t>
        </is>
      </c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Wonga Project Plan + Budget Update +Emails, 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>
        <is>
          <t xml:space="preserve">Riyad &lt;&gt; Nate - 1:1 </t>
        </is>
      </c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>
        <is>
          <t>Robin &lt;&gt; Nate - 1:1</t>
        </is>
      </c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OM Work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OM Work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Wonga: DWH Project Tech Team Weekly Various Topics Collaboration Session **Client Onsite Meeting**</t>
        </is>
      </c>
      <c r="F5" t="inlineStr">
        <is>
          <t>Wonga: DWH Project Tech Team Weekly Various Topics Collaboration Session **Client Onsite Meeting**</t>
        </is>
      </c>
      <c r="G5" t="inlineStr"/>
      <c r="H5" t="inlineStr">
        <is>
          <t>Wonga Work, Wonga: DWH Project Tech Team Weekly Various Topics Collaboration Session **Client Onsite Meeting**</t>
        </is>
      </c>
      <c r="I5" t="inlineStr">
        <is>
          <t>Wonga: DWH Project Tech Team Weekly Various Topics Collaboration Session **Client Onsite Meeting**</t>
        </is>
      </c>
      <c r="J5" t="inlineStr">
        <is>
          <t>OM Work</t>
        </is>
      </c>
      <c r="K5" t="inlineStr">
        <is>
          <t>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>
        <is>
          <t>Wonga: DWH Project Tech Team Weekly Various Topics Collaboration Session **Client Onsite Meeting**</t>
        </is>
      </c>
      <c r="E6" t="inlineStr">
        <is>
          <t>Wonga: DWH Project Tech Team Weekly Various Topics Collaboration Session **Client Onsite Meeting**</t>
        </is>
      </c>
      <c r="F6" t="inlineStr">
        <is>
          <t>Shoprite Analytics|| Cloud BI Daily Stand Up, Wonga: DWH Project Tech Team Weekly Various Topics Collaboration Session **Client Onsite Meeting**</t>
        </is>
      </c>
      <c r="G6" t="inlineStr"/>
      <c r="H6" t="inlineStr">
        <is>
          <t>Wonga Work, Wonga: DWH Project Tech Team Weekly Various Topics Collaboration Session **Client Onsite Meeting**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OM Work</t>
        </is>
      </c>
      <c r="K6" t="inlineStr">
        <is>
          <t>Wonga: DWH Project Tech Team Weekly Various Topics Collaboration Session **Client Onsite Meeting**</t>
        </is>
      </c>
      <c r="L6" t="inlineStr">
        <is>
          <t>Investec PVT Bank 80 Hours Support Project Weekly Report , Wonga: DWH Project Tech Team Weekly Various Topics Collaboration Session **Client Onsite Meeting**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Suzanne &lt;&gt; Nate - 1:1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>
        <is>
          <t>one on one - Thando</t>
        </is>
      </c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WhereScape/Slipstream - monthly catch up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>
        <is>
          <t>PMO Office Hours Sessions</t>
        </is>
      </c>
      <c r="D17" t="inlineStr">
        <is>
          <t>PMO Office Hours Sessions</t>
        </is>
      </c>
      <c r="E17" t="inlineStr"/>
      <c r="F17" t="inlineStr"/>
      <c r="G17" t="inlineStr"/>
      <c r="H17" t="inlineStr"/>
      <c r="I17" t="inlineStr"/>
      <c r="J17" t="inlineStr">
        <is>
          <t>OM Work, PMO Office Hours Sessions</t>
        </is>
      </c>
      <c r="K17" t="inlineStr">
        <is>
          <t>PMO Office Hours Sessions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WhereScape/Slipstream - monthly catch up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Standup**Internal**, PMO Office Hours Sessions</t>
        </is>
      </c>
      <c r="D18" t="inlineStr">
        <is>
          <t>Wonga: DWH development &amp; migration on Snowflake Project Daily Standup**Internal**, PMO Office Hours Sessions, Data Cloud Implentation Questions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Management, PMO Office Hours Sessions</t>
        </is>
      </c>
      <c r="K18" t="inlineStr">
        <is>
          <t>Wonga: DWH development &amp; migration on Snowflake Project Daily Standup**Internal**, PMO Office Hours Sessions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Strategy and solution Day, 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Wonga: DWH development &amp; migration on Snowflake Project Daily Standup**With Client**</t>
        </is>
      </c>
      <c r="H5" t="inlineStr">
        <is>
          <t>Wonga Work, Wonga: DWH development &amp; migration on Snowflake Project Daily Standup**With Client**</t>
        </is>
      </c>
      <c r="I5" t="inlineStr">
        <is>
          <t>Wonga: DWH development &amp; migration on Snowflake Project Daily Standup**With Client**</t>
        </is>
      </c>
      <c r="J5" t="inlineStr">
        <is>
          <t>OM Work, Wonga: DWH development &amp; migration on Snowflake Project Daily Standup**With Client**, GRCA Portfolio | Team Stand-up</t>
        </is>
      </c>
      <c r="K5" t="inlineStr">
        <is>
          <t>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>
        <is>
          <t>Wonga Work</t>
        </is>
      </c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>Wonga: DWH Project Monthly Retrospective Sessions **Internal Meeting**</t>
        </is>
      </c>
      <c r="D12" t="inlineStr">
        <is>
          <t>Strategy and solution Day, Wonga: DWH Project Monthly Retrospective Sessions **Internal Meeting**</t>
        </is>
      </c>
      <c r="E12" t="inlineStr">
        <is>
          <t>Wonga: DWH Project Monthly Retrospective Sessions **Internal Meeting**</t>
        </is>
      </c>
      <c r="F12" t="inlineStr"/>
      <c r="G12" t="inlineStr">
        <is>
          <t>Wonga: DWH Project Monthly Retrospective Sessions **Internal Meeting**, SnowPro Core Certification</t>
        </is>
      </c>
      <c r="H12" t="inlineStr">
        <is>
          <t>Wonga: DWH Project Monthly Retrospective Sessions **Internal Meeting**</t>
        </is>
      </c>
      <c r="I12" t="inlineStr">
        <is>
          <t>Wonga: DWH Project Monthly Retrospective Sessions **Internal Meeting**</t>
        </is>
      </c>
      <c r="J12" t="inlineStr">
        <is>
          <t>Wonga: DWH Project Monthly Retrospective Sessions **Internal Meeting**</t>
        </is>
      </c>
      <c r="K12" t="inlineStr">
        <is>
          <t>Wonga: DWH Project Monthly Retrospective Sessions **Internal Meeting**</t>
        </is>
      </c>
      <c r="L12" t="inlineStr">
        <is>
          <t>Wonga: DWH Project Monthly Retrospective Sessions **Internal Meeting**, 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>Wonga: DWH Project Monthly Retrospective Sessions **Internal Meeting**</t>
        </is>
      </c>
      <c r="D13" t="inlineStr">
        <is>
          <t>Strategy and solution Day, Wonga: DWH Project Monthly Retrospective Sessions **Internal Meeting**</t>
        </is>
      </c>
      <c r="E13" t="inlineStr">
        <is>
          <t>Wonga: DWH Project Monthly Retrospective Sessions **Internal Meeting**</t>
        </is>
      </c>
      <c r="F13" t="inlineStr"/>
      <c r="G13" t="inlineStr">
        <is>
          <t>Wonga: DWH Project Monthly Retrospective Sessions **Internal Meeting**, AWS Solutions Architect Associate</t>
        </is>
      </c>
      <c r="H13" t="inlineStr">
        <is>
          <t>Wonga: DWH Project Monthly Retrospective Sessions **Internal Meeting**</t>
        </is>
      </c>
      <c r="I13" t="inlineStr">
        <is>
          <t>Wonga: DWH Project Monthly Retrospective Sessions **Internal Meeting**</t>
        </is>
      </c>
      <c r="J13" t="inlineStr">
        <is>
          <t>Wonga: DWH Project Monthly Retrospective Sessions **Internal Meeting**</t>
        </is>
      </c>
      <c r="K13" t="inlineStr">
        <is>
          <t>Wonga: DWH Project Monthly Retrospective Sessions **Internal Meeting**</t>
        </is>
      </c>
      <c r="L13" t="inlineStr">
        <is>
          <t>Wonga: DWH Project Monthly Retrospective Sessions **Internal Meeting**, 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>
        <is>
          <t>Wonga: DWH Project Monthly Retrospective Sessions **Internal Meeting**</t>
        </is>
      </c>
      <c r="D14" t="inlineStr">
        <is>
          <t>Strategy and solution Day, Wonga: DWH Project Monthly Retrospective Sessions **Internal Meeting**</t>
        </is>
      </c>
      <c r="E14" t="inlineStr">
        <is>
          <t>Wonga: DWH Project Monthly Retrospective Sessions **Internal Meeting**</t>
        </is>
      </c>
      <c r="F14" t="inlineStr"/>
      <c r="G14" t="inlineStr">
        <is>
          <t>Wonga: DWH Project Monthly Retrospective Sessions **Internal Meeting**, AWS Solutions Architect Associate</t>
        </is>
      </c>
      <c r="H14" t="inlineStr">
        <is>
          <t>Wonga: DWH Project Monthly Retrospective Sessions **Internal Meeting**, Monthly Client Support Reports Process Implementation - Feedback Sessions</t>
        </is>
      </c>
      <c r="I14" t="inlineStr">
        <is>
          <t>Wonga: DWH Project Monthly Retrospective Sessions **Internal Meeting**</t>
        </is>
      </c>
      <c r="J14" t="inlineStr">
        <is>
          <t>Wonga: DWH Project Monthly Retrospective Sessions **Internal Meeting**</t>
        </is>
      </c>
      <c r="K14" t="inlineStr">
        <is>
          <t>Wonga: DWH Project Monthly Retrospective Sessions **Internal Meeting**</t>
        </is>
      </c>
      <c r="L14" t="inlineStr">
        <is>
          <t>Wonga: DWH Project Monthly Retrospective Sessions **Internal Meeting**, 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>
        <is>
          <t>Wonga: DWH Project Monthly Retrospective Sessions **Internal Meeting**</t>
        </is>
      </c>
      <c r="D15" t="inlineStr">
        <is>
          <t>Strategy and solution Day, Wonga: DWH Project Monthly Retrospective Sessions **Internal Meeting**</t>
        </is>
      </c>
      <c r="E15" t="inlineStr">
        <is>
          <t>Wonga: DWH Project Monthly Retrospective Sessions **Internal Meeting**</t>
        </is>
      </c>
      <c r="F15" t="inlineStr"/>
      <c r="G15" t="inlineStr">
        <is>
          <t>Wonga: DWH Project Monthly Retrospective Sessions **Internal Meeting**, AWS Solutions Architect Associate</t>
        </is>
      </c>
      <c r="H15" t="inlineStr">
        <is>
          <t>Wonga: DWH Project Monthly Retrospective Sessions **Internal Meeting**</t>
        </is>
      </c>
      <c r="I15" t="inlineStr">
        <is>
          <t>Wonga: DWH Project Monthly Retrospective Sessions **Internal Meeting**</t>
        </is>
      </c>
      <c r="J15" t="inlineStr">
        <is>
          <t>Wonga: DWH Project Monthly Retrospective Sessions **Internal Meeting**</t>
        </is>
      </c>
      <c r="K15" t="inlineStr">
        <is>
          <t>Wonga: DWH Project Monthly Retrospective Sessions **Internal Meeting**</t>
        </is>
      </c>
      <c r="L15" t="inlineStr">
        <is>
          <t>Wonga: DWH Project Monthly Retrospective Sessions **Internal Meeting**, 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>
        <is>
          <t>Wonga Work</t>
        </is>
      </c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 xml:space="preserve">Monthly Management Meeting </t>
        </is>
      </c>
      <c r="E5" t="inlineStr"/>
      <c r="F5" t="inlineStr"/>
      <c r="G5" t="inlineStr"/>
      <c r="H5" t="inlineStr">
        <is>
          <t>Wonga Work</t>
        </is>
      </c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 xml:space="preserve">Weekly Sync: Nate &lt;&gt; Andrew, Monthly Management Meeting </t>
        </is>
      </c>
      <c r="E6" t="inlineStr"/>
      <c r="F6" t="inlineStr">
        <is>
          <t>Shoprite Analytics|| Cloud BI Daily Stand Up</t>
        </is>
      </c>
      <c r="G6" t="inlineStr"/>
      <c r="H6" t="inlineStr">
        <is>
          <t>Wonga Work</t>
        </is>
      </c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 xml:space="preserve">Monthly Management Meeting </t>
        </is>
      </c>
      <c r="E7" t="inlineStr"/>
      <c r="F7" t="inlineStr"/>
      <c r="G7" t="inlineStr"/>
      <c r="H7" t="inlineStr">
        <is>
          <t>Wonga Work</t>
        </is>
      </c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 xml:space="preserve">Monthly Management Meeting 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 xml:space="preserve">Monthly Management Meeting 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 xml:space="preserve">DW: Weekly round-up meeting, Monthly Management Meeting 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meeting, Wonga Project Plan + Budget Update +Emails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>
        <is>
          <t xml:space="preserve">Monthly Management Meeting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Monthly Management Meeting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Wonga: DWH development &amp; migration on Snowflake Project Daily Standup**Internal**</t>
        </is>
      </c>
      <c r="F18" t="inlineStr">
        <is>
          <t>Wonga: DWH development &amp; migration on Snowflake Project Daily Standup**Internal**</t>
        </is>
      </c>
      <c r="G18" t="inlineStr">
        <is>
          <t>Check Internal Work</t>
        </is>
      </c>
      <c r="H18" t="inlineStr">
        <is>
          <t>Upskilling, Wonga: DWH development &amp; migration on Snowflake Project Daily Standup**Internal**</t>
        </is>
      </c>
      <c r="I18" t="inlineStr">
        <is>
          <t>Wonga: DWH development &amp; migration on Snowflake Project Daily Standup**Internal**</t>
        </is>
      </c>
      <c r="J18" t="inlineStr">
        <is>
          <t>Product Management</t>
        </is>
      </c>
      <c r="K18" t="inlineStr">
        <is>
          <t>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>
        <is>
          <t>Upskilling</t>
        </is>
      </c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2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>
        <is>
          <t xml:space="preserve">Shoprite SLA Internal Review </t>
        </is>
      </c>
      <c r="D8" t="inlineStr">
        <is>
          <t xml:space="preserve">Shoprite SLA Internal Review </t>
        </is>
      </c>
      <c r="E8" t="inlineStr"/>
      <c r="F8" t="inlineStr"/>
      <c r="G8" t="inlineStr">
        <is>
          <t>SnowPro Core Certification</t>
        </is>
      </c>
      <c r="H8" t="inlineStr">
        <is>
          <t xml:space="preserve">Shoprite SLA Internal Review </t>
        </is>
      </c>
      <c r="I8" t="inlineStr">
        <is>
          <t xml:space="preserve">Shoprite SLA Internal Review </t>
        </is>
      </c>
      <c r="J8" t="inlineStr">
        <is>
          <t>OM Work</t>
        </is>
      </c>
      <c r="K8" t="inlineStr"/>
      <c r="L8" t="inlineStr"/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>
        <is>
          <t xml:space="preserve">Shoprite SLA Internal Review </t>
        </is>
      </c>
      <c r="D9" t="inlineStr">
        <is>
          <t xml:space="preserve">Shoprite SLA Internal Review </t>
        </is>
      </c>
      <c r="E9" t="inlineStr"/>
      <c r="F9" t="inlineStr"/>
      <c r="G9" t="inlineStr">
        <is>
          <t>SnowPro Core Certification</t>
        </is>
      </c>
      <c r="H9" t="inlineStr">
        <is>
          <t xml:space="preserve">Shoprite SLA Internal Review </t>
        </is>
      </c>
      <c r="I9" t="inlineStr">
        <is>
          <t xml:space="preserve">Shoprite SLA Internal Review </t>
        </is>
      </c>
      <c r="J9" t="inlineStr">
        <is>
          <t>OM Work</t>
        </is>
      </c>
      <c r="K9" t="inlineStr"/>
      <c r="L9" t="inlineStr"/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PM Forum, ScaleUp Homework sessions </t>
        </is>
      </c>
      <c r="D13" t="inlineStr">
        <is>
          <t xml:space="preserve">ScaleUp Homework sessions </t>
        </is>
      </c>
      <c r="E13" t="inlineStr"/>
      <c r="F13" t="inlineStr">
        <is>
          <t>PM Forum</t>
        </is>
      </c>
      <c r="G13" t="inlineStr">
        <is>
          <t>AWS Solutions Architect Associate</t>
        </is>
      </c>
      <c r="H13" t="inlineStr"/>
      <c r="I13" t="inlineStr">
        <is>
          <t>PM Forum</t>
        </is>
      </c>
      <c r="J13" t="inlineStr">
        <is>
          <t>PM Forum</t>
        </is>
      </c>
      <c r="K13" t="inlineStr"/>
      <c r="L13" t="inlineStr">
        <is>
          <t>Monthly Tech Team Leave Discussion , Shoprite Plan Update + Emails</t>
        </is>
      </c>
      <c r="M13" t="inlineStr">
        <is>
          <t>PM Forum</t>
        </is>
      </c>
      <c r="N13" t="inlineStr">
        <is>
          <t>Internal Study time(PDP)</t>
        </is>
      </c>
      <c r="O13" t="inlineStr">
        <is>
          <t>PM Forum</t>
        </is>
      </c>
    </row>
    <row r="14">
      <c r="A14" t="inlineStr">
        <is>
          <t>14:00</t>
        </is>
      </c>
      <c r="B14" t="inlineStr"/>
      <c r="C14" t="inlineStr">
        <is>
          <t>PM Forum</t>
        </is>
      </c>
      <c r="D14" t="inlineStr"/>
      <c r="E14" t="inlineStr"/>
      <c r="F14" t="inlineStr">
        <is>
          <t>PM Forum</t>
        </is>
      </c>
      <c r="G14" t="inlineStr">
        <is>
          <t>AWS Solutions Architect Associate</t>
        </is>
      </c>
      <c r="H14" t="inlineStr"/>
      <c r="I14" t="inlineStr">
        <is>
          <t>PM Forum</t>
        </is>
      </c>
      <c r="J14" t="inlineStr">
        <is>
          <t>PM Forum, 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PM Forum</t>
        </is>
      </c>
      <c r="N14" t="inlineStr"/>
      <c r="O14" t="inlineStr">
        <is>
          <t>PM Forum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>
        <is>
          <t>Tableau Tribe Development and Upskilling</t>
        </is>
      </c>
      <c r="D16" t="inlineStr">
        <is>
          <t>Tableau Tribe Development and Upskilling</t>
        </is>
      </c>
      <c r="E16" t="inlineStr"/>
      <c r="F16" t="inlineStr"/>
      <c r="G16" t="inlineStr">
        <is>
          <t>Tableau Tribe Development and Upskilling</t>
        </is>
      </c>
      <c r="H16" t="inlineStr">
        <is>
          <t>Tableau Tribe Development and Upskilling</t>
        </is>
      </c>
      <c r="I16" t="inlineStr"/>
      <c r="J16" t="inlineStr">
        <is>
          <t>Tableau Tribe Development and Upskilling, 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retro, Tech team planning</t>
        </is>
      </c>
      <c r="N16" t="inlineStr"/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>
        <is>
          <t>Tableau Tribe Development and Upskilling</t>
        </is>
      </c>
      <c r="D17" t="inlineStr">
        <is>
          <t>Tableau Tribe Development and Upskilling</t>
        </is>
      </c>
      <c r="E17" t="inlineStr"/>
      <c r="F17" t="inlineStr"/>
      <c r="G17" t="inlineStr">
        <is>
          <t>Tableau Tribe Development and Upskilling</t>
        </is>
      </c>
      <c r="H17" t="inlineStr">
        <is>
          <t>Tableau Tribe Development and Upskilling</t>
        </is>
      </c>
      <c r="I17" t="inlineStr"/>
      <c r="J17" t="inlineStr">
        <is>
          <t>Tableau Tribe Development and Upskilling, 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retro</t>
        </is>
      </c>
      <c r="N17" t="inlineStr"/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>
        <is>
          <t>Canceled event: S/Stream - EBU Cadence - Bi-Monthly @ Monthly from 09:00 to 09:30 on the first Tuesday (SAST) (suzanne.edlmann@slipstreamdata.co.za)</t>
        </is>
      </c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>
        <is>
          <t>prep session for Shoprite SLA's</t>
        </is>
      </c>
      <c r="D7" t="inlineStr">
        <is>
          <t>prep session for Shoprite SLA's</t>
        </is>
      </c>
      <c r="E7" t="inlineStr">
        <is>
          <t>prep session for Shoprite SLA's</t>
        </is>
      </c>
      <c r="F7" t="inlineStr">
        <is>
          <t>prep session for Shoprite SLA's</t>
        </is>
      </c>
      <c r="G7" t="inlineStr"/>
      <c r="H7" t="inlineStr">
        <is>
          <t>prep session for Shoprite SLA's</t>
        </is>
      </c>
      <c r="I7" t="inlineStr">
        <is>
          <t>prep session for Shoprite SLA's</t>
        </is>
      </c>
      <c r="J7" t="inlineStr">
        <is>
          <t>OM Work</t>
        </is>
      </c>
      <c r="K7" t="inlineStr"/>
      <c r="L7" t="inlineStr">
        <is>
          <t>Resource Utilisation Review, prep session for Shoprite SLA's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>
        <is>
          <t>prep session for Shoprite SLA's</t>
        </is>
      </c>
      <c r="D8" t="inlineStr">
        <is>
          <t>prep session for Shoprite SLA's</t>
        </is>
      </c>
      <c r="E8" t="inlineStr">
        <is>
          <t>prep session for Shoprite SLA's</t>
        </is>
      </c>
      <c r="F8" t="inlineStr">
        <is>
          <t>prep session for Shoprite SLA's</t>
        </is>
      </c>
      <c r="G8" t="inlineStr">
        <is>
          <t>SnowPro Core Certification</t>
        </is>
      </c>
      <c r="H8" t="inlineStr">
        <is>
          <t>prep session for Shoprite SLA's</t>
        </is>
      </c>
      <c r="I8" t="inlineStr">
        <is>
          <t>prep session for Shoprite SLA's</t>
        </is>
      </c>
      <c r="J8" t="inlineStr">
        <is>
          <t>OM Work</t>
        </is>
      </c>
      <c r="K8" t="inlineStr"/>
      <c r="L8" t="inlineStr">
        <is>
          <t>prep session for Shoprite SLA's</t>
        </is>
      </c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Canceled: ShopRite SLA Report Monthly Prep (Tableau, Alteryx, B2B), 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OM Work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OM Work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 xml:space="preserve">Canceled: Tech Team Planning </t>
        </is>
      </c>
      <c r="F6" t="inlineStr">
        <is>
          <t>Shoprite Analytics|| Cloud BI Daily Stand Up</t>
        </is>
      </c>
      <c r="G6" t="inlineStr">
        <is>
          <t xml:space="preserve">Canceled: Tech Team Planning </t>
        </is>
      </c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 xml:space="preserve">Investec PVT Bank 80 Hours Support Project Weekly Report </t>
        </is>
      </c>
      <c r="M6" t="inlineStr">
        <is>
          <t xml:space="preserve">Canceled: Tech Team Planning </t>
        </is>
      </c>
      <c r="N6" t="inlineStr">
        <is>
          <t>Canceled: Tech Team Planning , 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Canceled: Tech Team Planning , Taquanta: Projects Internal Standup</t>
        </is>
      </c>
      <c r="F7" t="inlineStr"/>
      <c r="G7" t="inlineStr">
        <is>
          <t xml:space="preserve">Canceled: Tech Team Planning </t>
        </is>
      </c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Canceled: Tech Team Planning , Taquanta: Projects Internal Standup</t>
        </is>
      </c>
      <c r="N7" t="inlineStr">
        <is>
          <t xml:space="preserve">Canceled: Tech Team Planning 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>
        <is>
          <t>Data Cloud Implentation Questions</t>
        </is>
      </c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9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>Strategy and solution Day</t>
        </is>
      </c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Day, OPS Exec Updates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4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>
        <is>
          <t xml:space="preserve">ScaleUp - Market Strategy </t>
        </is>
      </c>
      <c r="D2" t="inlineStr">
        <is>
          <t xml:space="preserve">ScaleUp - Market Strategy 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ScaleUp - Market Strategy , Daily Stand Up</t>
        </is>
      </c>
      <c r="D3" t="inlineStr">
        <is>
          <t>ScaleUp - Market Strategy 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 xml:space="preserve">ScaleUp - Market Strategy </t>
        </is>
      </c>
      <c r="D4" t="inlineStr">
        <is>
          <t xml:space="preserve">ScaleUp - Market Strategy 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>
        <is>
          <t xml:space="preserve">ScaleUp - Market Strategy </t>
        </is>
      </c>
      <c r="D5" t="inlineStr">
        <is>
          <t xml:space="preserve">ScaleUp - Market Strategy 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 xml:space="preserve">ScaleUp - Market Strategy </t>
        </is>
      </c>
      <c r="D6" t="inlineStr">
        <is>
          <t>ScaleUp - Market Strategy , 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>
        <is>
          <t xml:space="preserve">ScaleUp - Market Strategy </t>
        </is>
      </c>
      <c r="D7" t="inlineStr">
        <is>
          <t xml:space="preserve">ScaleUp - Market Strategy </t>
        </is>
      </c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>
        <is>
          <t xml:space="preserve">ScaleUp - Market Strategy </t>
        </is>
      </c>
      <c r="D8" t="inlineStr">
        <is>
          <t xml:space="preserve">ScaleUp - Market Strategy 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>
        <is>
          <t xml:space="preserve">ScaleUp - Market Strategy </t>
        </is>
      </c>
      <c r="D9" t="inlineStr">
        <is>
          <t xml:space="preserve">ScaleUp - Market Strategy 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 xml:space="preserve">ScaleUp - Market Strategy </t>
        </is>
      </c>
      <c r="D10" t="inlineStr">
        <is>
          <t>ScaleUp - Market Strategy , 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- Market Strategy </t>
        </is>
      </c>
      <c r="D11" t="inlineStr">
        <is>
          <t xml:space="preserve">ScaleUp - Market Strategy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>
        <is>
          <t xml:space="preserve">ScaleUp - Market Strategy </t>
        </is>
      </c>
      <c r="D12" t="inlineStr">
        <is>
          <t xml:space="preserve">ScaleUp - Market Strategy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>
        <is>
          <t xml:space="preserve">ScaleUp - Market Strategy </t>
        </is>
      </c>
      <c r="D13" t="inlineStr">
        <is>
          <t xml:space="preserve">ScaleUp - Market Strategy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>
        <is>
          <t xml:space="preserve">ScaleUp - Market Strategy </t>
        </is>
      </c>
      <c r="D14" t="inlineStr">
        <is>
          <t xml:space="preserve">ScaleUp - Market Strategy </t>
        </is>
      </c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>
        <is>
          <t xml:space="preserve">ScaleUp - Market Strategy </t>
        </is>
      </c>
      <c r="D15" t="inlineStr">
        <is>
          <t xml:space="preserve">ScaleUp - Market Strategy 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>
        <is>
          <t xml:space="preserve">ScaleUp - Market Strategy </t>
        </is>
      </c>
      <c r="D16" t="inlineStr">
        <is>
          <t xml:space="preserve">ScaleUp - Market Strategy 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>
        <is>
          <t xml:space="preserve">ScaleUp - Market Strategy </t>
        </is>
      </c>
      <c r="D17" t="inlineStr">
        <is>
          <t xml:space="preserve">ScaleUp - Market Strategy 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8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>
        <is>
          <t>Ben &lt;&gt; Nate - 1:1</t>
        </is>
      </c>
      <c r="J9" t="inlineStr">
        <is>
          <t>OM Work</t>
        </is>
      </c>
      <c r="K9" t="inlineStr"/>
      <c r="L9" t="inlineStr"/>
      <c r="M9" t="inlineStr">
        <is>
          <t>IP: SaaS - Asset Management progress update</t>
        </is>
      </c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Aza &lt;&gt; Nate - 1:1</t>
        </is>
      </c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Flora &lt;&gt; Nate - 1:1, 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Mark &lt;&gt; Nate - 1:1, 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Michael &lt;&gt; Nate - 1:1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huddle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huddle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S/Stream - EBU Cadence - Bi-Monthly, 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>
        <is>
          <t>Ntsako &lt;&gt; Nate - 1:1</t>
        </is>
      </c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>
        <is>
          <t>Thembani &lt;&gt; Nate - 1:1</t>
        </is>
      </c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Agentforce - Customer Success</t>
        </is>
      </c>
      <c r="E7" t="inlineStr"/>
      <c r="F7" t="inlineStr"/>
      <c r="G7" t="inlineStr"/>
      <c r="H7" t="inlineStr"/>
      <c r="I7" t="inlineStr"/>
      <c r="J7" t="inlineStr">
        <is>
          <t>Agentforce - Customer Success, OM Work</t>
        </is>
      </c>
      <c r="K7" t="inlineStr"/>
      <c r="L7" t="inlineStr">
        <is>
          <t>Resource Utilisation Review</t>
        </is>
      </c>
      <c r="M7" t="inlineStr"/>
      <c r="N7" t="inlineStr"/>
      <c r="O7" t="inlineStr">
        <is>
          <t>Agentforce - Customer Success</t>
        </is>
      </c>
    </row>
    <row r="8">
      <c r="A8" t="inlineStr">
        <is>
          <t>11:00</t>
        </is>
      </c>
      <c r="B8" t="inlineStr"/>
      <c r="C8" t="inlineStr"/>
      <c r="D8" t="inlineStr">
        <is>
          <t>Agentforce - Customer Success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Agentforce - Customer Success, OM Work</t>
        </is>
      </c>
      <c r="K8" t="inlineStr"/>
      <c r="L8" t="inlineStr"/>
      <c r="M8" t="inlineStr"/>
      <c r="N8" t="inlineStr"/>
      <c r="O8" t="inlineStr">
        <is>
          <t>Agentforce - Customer Success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Palesa &lt;&gt; Nate - 1:1</t>
        </is>
      </c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>
        <is>
          <t>One-One coaching - Ntsako</t>
        </is>
      </c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Taquanta: Weekly SLA &amp; Projects update (Client meeting)</t>
        </is>
      </c>
      <c r="M10" t="inlineStr">
        <is>
          <t>One-One coaching - Ntsako, 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>
        <is>
          <t xml:space="preserve">Riyad &lt;&gt; Nate - 1:1 </t>
        </is>
      </c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>
        <is>
          <t>Robin &lt;&gt; Nate - 1:1</t>
        </is>
      </c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OM Work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OM Work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Advisor Recon (Manual Run), OM Work</t>
        </is>
      </c>
      <c r="K4" t="inlineStr"/>
      <c r="L4" t="inlineStr"/>
      <c r="M4" t="inlineStr"/>
      <c r="N4" t="inlineStr">
        <is>
          <t>DSY DW - Daily standup</t>
        </is>
      </c>
      <c r="O4" t="inlineStr">
        <is>
          <t>Advisor Recon Refresh Data Source</t>
        </is>
      </c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Advisor Recon (Manual Run), 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>
        <is>
          <t>Advisor Recon Refresh Data Source</t>
        </is>
      </c>
    </row>
    <row r="6">
      <c r="A6" t="inlineStr">
        <is>
          <t>10:00</t>
        </is>
      </c>
      <c r="B6" t="inlineStr"/>
      <c r="C6" t="inlineStr"/>
      <c r="D6" t="inlineStr"/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 xml:space="preserve">Investec PVT Bank 80 Hours Support Project Weekly Report </t>
        </is>
      </c>
      <c r="M6" t="inlineStr"/>
      <c r="N6" t="inlineStr">
        <is>
          <t>Ongoing: Daily operational tasks DSY</t>
        </is>
      </c>
      <c r="O6" t="inlineStr">
        <is>
          <t>Advisor Recon Refresh Data Source</t>
        </is>
      </c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>
        <is>
          <t>Advisor Recon Refresh Data Source</t>
        </is>
      </c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>
        <is>
          <t>Suzanne &lt;&gt; Nate - 1:1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>
        <is>
          <t>one on one - Thando</t>
        </is>
      </c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>
        <is>
          <t>PMO Office Hours Sessions</t>
        </is>
      </c>
      <c r="D17" t="inlineStr">
        <is>
          <t>PMO Office Hours Sessions</t>
        </is>
      </c>
      <c r="E17" t="inlineStr"/>
      <c r="F17" t="inlineStr"/>
      <c r="G17" t="inlineStr"/>
      <c r="H17" t="inlineStr"/>
      <c r="I17" t="inlineStr"/>
      <c r="J17" t="inlineStr">
        <is>
          <t>OM Work, PMO Office Hours Sessions</t>
        </is>
      </c>
      <c r="K17" t="inlineStr">
        <is>
          <t>PMO Office Hours Sessions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>
        <is>
          <t>PMO Office Hours Sessions</t>
        </is>
      </c>
      <c r="D18" t="inlineStr">
        <is>
          <t>PMO Office Hours Sessions, Data Cloud Implentation Questions</t>
        </is>
      </c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Management, PMO Office Hours Sessions</t>
        </is>
      </c>
      <c r="K18" t="inlineStr">
        <is>
          <t>PMO Office Hours Sessions</t>
        </is>
      </c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9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>Strategy and solution Day</t>
        </is>
      </c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Canceled: PM Alignment Meeting</t>
        </is>
      </c>
      <c r="G9" t="inlineStr">
        <is>
          <t>SnowPro Core Certification</t>
        </is>
      </c>
      <c r="H9" t="inlineStr"/>
      <c r="I9" t="inlineStr">
        <is>
          <t>Canceled: PM Alignment Meeting</t>
        </is>
      </c>
      <c r="J9" t="inlineStr"/>
      <c r="K9" t="inlineStr"/>
      <c r="L9" t="inlineStr">
        <is>
          <t xml:space="preserve">Resource Utilization Review </t>
        </is>
      </c>
      <c r="M9" t="inlineStr">
        <is>
          <t>Canceled: PM Alignment Meeting</t>
        </is>
      </c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2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>
        <is>
          <t>Tableau Tribe Development and Upskilling</t>
        </is>
      </c>
      <c r="D16" t="inlineStr">
        <is>
          <t>Tableau Tribe Development and Upskilling</t>
        </is>
      </c>
      <c r="E16" t="inlineStr"/>
      <c r="F16" t="inlineStr"/>
      <c r="G16" t="inlineStr">
        <is>
          <t>Tableau Tribe Development and Upskilling</t>
        </is>
      </c>
      <c r="H16" t="inlineStr">
        <is>
          <t>Tableau Tribe Development and Upskilling</t>
        </is>
      </c>
      <c r="I16" t="inlineStr"/>
      <c r="J16" t="inlineStr">
        <is>
          <t>Tableau Tribe Development and Upskilling, 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retro, Tech team planning</t>
        </is>
      </c>
      <c r="N16" t="inlineStr"/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>
        <is>
          <t>Tableau Tribe Development and Upskilling</t>
        </is>
      </c>
      <c r="D17" t="inlineStr">
        <is>
          <t>Tableau Tribe Development and Upskilling</t>
        </is>
      </c>
      <c r="E17" t="inlineStr"/>
      <c r="F17" t="inlineStr"/>
      <c r="G17" t="inlineStr">
        <is>
          <t>Tableau Tribe Development and Upskilling</t>
        </is>
      </c>
      <c r="H17" t="inlineStr">
        <is>
          <t>Tableau Tribe Development and Upskilling</t>
        </is>
      </c>
      <c r="I17" t="inlineStr"/>
      <c r="J17" t="inlineStr">
        <is>
          <t>Tableau Tribe Development and Upskilling, 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retro</t>
        </is>
      </c>
      <c r="N17" t="inlineStr"/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>
        <is>
          <t>SnowPro Core Certification</t>
        </is>
      </c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OM Work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OM Work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46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 xml:space="preserve">Canceled: Tech Team Planning </t>
        </is>
      </c>
      <c r="F6" t="inlineStr">
        <is>
          <t>Shoprite Analytics|| Cloud BI Daily Stand Up</t>
        </is>
      </c>
      <c r="G6" t="inlineStr">
        <is>
          <t xml:space="preserve">Canceled: Tech Team Planning </t>
        </is>
      </c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>
        <is>
          <t xml:space="preserve">Canceled: Tech Team Planning </t>
        </is>
      </c>
      <c r="N6" t="inlineStr">
        <is>
          <t>Canceled: Tech Team Planning , 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Canceled: Tech Team Planning , Taquanta: Projects Internal Standup</t>
        </is>
      </c>
      <c r="F7" t="inlineStr"/>
      <c r="G7" t="inlineStr">
        <is>
          <t xml:space="preserve">Canceled: Tech Team Planning </t>
        </is>
      </c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Canceled: Tech Team Planning , Taquanta: Projects Internal Standup</t>
        </is>
      </c>
      <c r="N7" t="inlineStr">
        <is>
          <t xml:space="preserve">Canceled: Tech Team Planning 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>
        <is>
          <t>Canceled: Senior Tech Team: Insights Session</t>
        </is>
      </c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>
        <is>
          <t>Data Cloud Implentation Questions</t>
        </is>
      </c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9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>Strategy and solution Day</t>
        </is>
      </c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>
        <is>
          <t>SnowPro Core Certification</t>
        </is>
      </c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>
        <is>
          <t>AWS Solutions Architect Associate</t>
        </is>
      </c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/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DW: Weekly round-up meeting</t>
        </is>
      </c>
      <c r="E10" t="inlineStr"/>
      <c r="F10" t="inlineStr"/>
      <c r="G10" t="inlineStr">
        <is>
          <t>SnowPro Core Certification</t>
        </is>
      </c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SnowPro Core Certification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8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>
        <is>
          <t>SnowPro Core Certification</t>
        </is>
      </c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>
        <is>
          <t>SnowPro Core Certification</t>
        </is>
      </c>
      <c r="H9" t="inlineStr"/>
      <c r="I9" t="inlineStr">
        <is>
          <t>Ben &lt;&gt; Nate - 1:1</t>
        </is>
      </c>
      <c r="J9" t="inlineStr">
        <is>
          <t>OM Work</t>
        </is>
      </c>
      <c r="K9" t="inlineStr"/>
      <c r="L9" t="inlineStr"/>
      <c r="M9" t="inlineStr">
        <is>
          <t>IP: SaaS - Asset Management progress update</t>
        </is>
      </c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Aza &lt;&gt; Nate - 1:1</t>
        </is>
      </c>
      <c r="F10" t="inlineStr"/>
      <c r="G10" t="inlineStr">
        <is>
          <t>SnowPro Core Certification</t>
        </is>
      </c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>
        <is>
          <t>SnowPro Core Certification</t>
        </is>
      </c>
      <c r="H11" t="inlineStr"/>
      <c r="I11" t="inlineStr"/>
      <c r="J11" t="inlineStr">
        <is>
          <t>Flora &lt;&gt; Nate - 1:1, 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>
        <is>
          <t>SnowPro Core Certification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Mark &lt;&gt; Nate - 1:1, 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>
        <is>
          <t>AWS Solutions Architect Associate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AWS Solutions Architect Associate</t>
        </is>
      </c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Tech team retrospective</t>
        </is>
      </c>
      <c r="N14" t="inlineStr">
        <is>
          <t>Michael &lt;&gt; Nate - 1:1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AWS Solutions Architect Associate</t>
        </is>
      </c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Tech team retrospective</t>
        </is>
      </c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huddle, Tech team retrospective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huddle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>
        <is>
          <t>Check Internal Work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>
        <is>
          <t>Check Internal Work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S/Stream - EBU Cadence - Bi-Monthly, 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>
        <is>
          <t>Ntsako &lt;&gt; Nate - 1:1</t>
        </is>
      </c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>
        <is>
          <t>Thembani &lt;&gt; Nate - 1:1</t>
        </is>
      </c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>
        <is>
          <t>Palesa &lt;&gt; Nate - 1:1</t>
        </is>
      </c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/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 xml:space="preserve">Riyad &lt;&gt; Nate - 1:1 </t>
        </is>
      </c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>
        <is>
          <t>Robin &lt;&gt; Nate - 1:1</t>
        </is>
      </c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OM Work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OM Work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>
        <is>
          <t>Suzanne &lt;&gt; Nate - 1:1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>
        <is>
          <t>one on one - Thando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WhereScape/Slipstream - monthly catch up</t>
        </is>
      </c>
      <c r="N16" t="inlineStr"/>
      <c r="O16" t="inlineStr"/>
    </row>
    <row r="17">
      <c r="A17" t="inlineStr">
        <is>
          <t>15:30</t>
        </is>
      </c>
      <c r="B17" t="inlineStr"/>
      <c r="C17" t="inlineStr">
        <is>
          <t>PMO Office Hours Sessions</t>
        </is>
      </c>
      <c r="D17" t="inlineStr">
        <is>
          <t>PMO Office Hours Sessions</t>
        </is>
      </c>
      <c r="E17" t="inlineStr"/>
      <c r="F17" t="inlineStr"/>
      <c r="G17" t="inlineStr"/>
      <c r="H17" t="inlineStr"/>
      <c r="I17" t="inlineStr"/>
      <c r="J17" t="inlineStr">
        <is>
          <t>OM Work, PMO Office Hours Sessions</t>
        </is>
      </c>
      <c r="K17" t="inlineStr">
        <is>
          <t>PMO Office Hours Sessions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WhereScape/Slipstream - monthly catch up</t>
        </is>
      </c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>
        <is>
          <t>PMO Office Hours Sessions</t>
        </is>
      </c>
      <c r="D18" t="inlineStr">
        <is>
          <t>PMO Office Hours Sessions, Data Cloud Implentation Questions</t>
        </is>
      </c>
      <c r="E18" t="inlineStr"/>
      <c r="F18" t="inlineStr"/>
      <c r="G18" t="inlineStr"/>
      <c r="H18" t="inlineStr"/>
      <c r="I18" t="inlineStr"/>
      <c r="J18" t="inlineStr">
        <is>
          <t>Product Management, PMO Office Hours Sessions</t>
        </is>
      </c>
      <c r="K18" t="inlineStr">
        <is>
          <t>PMO Office Hours Sessions</t>
        </is>
      </c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/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>Strategy and solution Day</t>
        </is>
      </c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>Wonga: DWH Project Monthly Retrospective Sessions **Internal Meeting**</t>
        </is>
      </c>
      <c r="D12" t="inlineStr">
        <is>
          <t>Strategy and solution Day, Wonga: DWH Project Monthly Retrospective Sessions **Internal Meeting**</t>
        </is>
      </c>
      <c r="E12" t="inlineStr">
        <is>
          <t>Wonga: DWH Project Monthly Retrospective Sessions **Internal Meeting**</t>
        </is>
      </c>
      <c r="F12" t="inlineStr"/>
      <c r="G12" t="inlineStr">
        <is>
          <t>Wonga: DWH Project Monthly Retrospective Sessions **Internal Meeting**</t>
        </is>
      </c>
      <c r="H12" t="inlineStr">
        <is>
          <t>Wonga: DWH Project Monthly Retrospective Sessions **Internal Meeting**</t>
        </is>
      </c>
      <c r="I12" t="inlineStr">
        <is>
          <t>Wonga: DWH Project Monthly Retrospective Sessions **Internal Meeting**</t>
        </is>
      </c>
      <c r="J12" t="inlineStr">
        <is>
          <t>Wonga: DWH Project Monthly Retrospective Sessions **Internal Meeting**</t>
        </is>
      </c>
      <c r="K12" t="inlineStr">
        <is>
          <t>Wonga: DWH Project Monthly Retrospective Sessions **Internal Meeting**</t>
        </is>
      </c>
      <c r="L12" t="inlineStr">
        <is>
          <t>Wonga: DWH Project Monthly Retrospective Sessions **Internal Meeting**, 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>Wonga: DWH Project Monthly Retrospective Sessions **Internal Meeting**</t>
        </is>
      </c>
      <c r="D13" t="inlineStr">
        <is>
          <t>Strategy and solution Day, Wonga: DWH Project Monthly Retrospective Sessions **Internal Meeting**</t>
        </is>
      </c>
      <c r="E13" t="inlineStr">
        <is>
          <t>Wonga: DWH Project Monthly Retrospective Sessions **Internal Meeting**</t>
        </is>
      </c>
      <c r="F13" t="inlineStr"/>
      <c r="G13" t="inlineStr">
        <is>
          <t>Wonga: DWH Project Monthly Retrospective Sessions **Internal Meeting**</t>
        </is>
      </c>
      <c r="H13" t="inlineStr">
        <is>
          <t>Wonga: DWH Project Monthly Retrospective Sessions **Internal Meeting**</t>
        </is>
      </c>
      <c r="I13" t="inlineStr">
        <is>
          <t>Wonga: DWH Project Monthly Retrospective Sessions **Internal Meeting**</t>
        </is>
      </c>
      <c r="J13" t="inlineStr">
        <is>
          <t>Wonga: DWH Project Monthly Retrospective Sessions **Internal Meeting**</t>
        </is>
      </c>
      <c r="K13" t="inlineStr">
        <is>
          <t>Wonga: DWH Project Monthly Retrospective Sessions **Internal Meeting**</t>
        </is>
      </c>
      <c r="L13" t="inlineStr">
        <is>
          <t>Wonga: DWH Project Monthly Retrospective Sessions **Internal Meeting**, 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>
        <is>
          <t>Wonga: DWH Project Monthly Retrospective Sessions **Internal Meeting**</t>
        </is>
      </c>
      <c r="D14" t="inlineStr">
        <is>
          <t>Strategy and solution Day, Wonga: DWH Project Monthly Retrospective Sessions **Internal Meeting**</t>
        </is>
      </c>
      <c r="E14" t="inlineStr">
        <is>
          <t>Wonga: DWH Project Monthly Retrospective Sessions **Internal Meeting**</t>
        </is>
      </c>
      <c r="F14" t="inlineStr"/>
      <c r="G14" t="inlineStr">
        <is>
          <t>Wonga: DWH Project Monthly Retrospective Sessions **Internal Meeting**</t>
        </is>
      </c>
      <c r="H14" t="inlineStr">
        <is>
          <t>Wonga: DWH Project Monthly Retrospective Sessions **Internal Meeting**, Monthly Client Support Reports Process Implementation - Feedback Sessions</t>
        </is>
      </c>
      <c r="I14" t="inlineStr">
        <is>
          <t>Wonga: DWH Project Monthly Retrospective Sessions **Internal Meeting**</t>
        </is>
      </c>
      <c r="J14" t="inlineStr">
        <is>
          <t>Wonga: DWH Project Monthly Retrospective Sessions **Internal Meeting**</t>
        </is>
      </c>
      <c r="K14" t="inlineStr">
        <is>
          <t>Wonga: DWH Project Monthly Retrospective Sessions **Internal Meeting**</t>
        </is>
      </c>
      <c r="L14" t="inlineStr">
        <is>
          <t>Wonga: DWH Project Monthly Retrospective Sessions **Internal Meeting**, 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>
        <is>
          <t>Wonga: DWH Project Monthly Retrospective Sessions **Internal Meeting**</t>
        </is>
      </c>
      <c r="D15" t="inlineStr">
        <is>
          <t>Strategy and solution Day, Wonga: DWH Project Monthly Retrospective Sessions **Internal Meeting**</t>
        </is>
      </c>
      <c r="E15" t="inlineStr">
        <is>
          <t>Wonga: DWH Project Monthly Retrospective Sessions **Internal Meeting**</t>
        </is>
      </c>
      <c r="F15" t="inlineStr"/>
      <c r="G15" t="inlineStr">
        <is>
          <t>Wonga: DWH Project Monthly Retrospective Sessions **Internal Meeting**</t>
        </is>
      </c>
      <c r="H15" t="inlineStr">
        <is>
          <t>Wonga: DWH Project Monthly Retrospective Sessions **Internal Meeting**</t>
        </is>
      </c>
      <c r="I15" t="inlineStr">
        <is>
          <t>Wonga: DWH Project Monthly Retrospective Sessions **Internal Meeting**</t>
        </is>
      </c>
      <c r="J15" t="inlineStr">
        <is>
          <t>Wonga: DWH Project Monthly Retrospective Sessions **Internal Meeting**</t>
        </is>
      </c>
      <c r="K15" t="inlineStr">
        <is>
          <t>Wonga: DWH Project Monthly Retrospective Sessions **Internal Meeting**</t>
        </is>
      </c>
      <c r="L15" t="inlineStr">
        <is>
          <t>Wonga: DWH Project Monthly Retrospective Sessions **Internal Meeting**, 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 xml:space="preserve">Monthly Management Meeting 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 xml:space="preserve">Weekly Sync: Nate &lt;&gt; Andrew, Monthly Management Meeting 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 xml:space="preserve">Monthly Management Meeting </t>
        </is>
      </c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 xml:space="preserve">Monthly Management Meeting 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 xml:space="preserve">Monthly Management Meeting 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 xml:space="preserve">DW: Weekly round-up meeting, Monthly Management Meeting 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DW: Weekly round-up meeting</t>
        </is>
      </c>
      <c r="L10" t="inlineStr">
        <is>
          <t>DW: Weekly round-up meeting</t>
        </is>
      </c>
      <c r="M10" t="inlineStr"/>
      <c r="N10" t="inlineStr">
        <is>
          <t>Weekly round-up-meeting, DW: Weekly round-up meeting</t>
        </is>
      </c>
      <c r="O10" t="inlineStr"/>
    </row>
    <row r="11">
      <c r="A11" t="inlineStr">
        <is>
          <t>12:30</t>
        </is>
      </c>
      <c r="B11" t="inlineStr"/>
      <c r="C11" t="inlineStr"/>
      <c r="D11" t="inlineStr">
        <is>
          <t xml:space="preserve">Monthly Management Meeting 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Monthly Management Meeting 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Product Management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Product Management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35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42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Reminder: Update and Submit Timesheets, 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Reminder: Update and Submit Timesheets, Daily Stand Up</t>
        </is>
      </c>
      <c r="N3" t="inlineStr">
        <is>
          <t>Reminder: Update and Submit Timesheets, 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Weekly sales meeting</t>
        </is>
      </c>
      <c r="D4" t="inlineStr">
        <is>
          <t>Weekly sales meeting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Weekly sales meeting</t>
        </is>
      </c>
      <c r="D5" t="inlineStr">
        <is>
          <t>Weekly sales meeting</t>
        </is>
      </c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>
        <is>
          <t>Weekly sales meeting</t>
        </is>
      </c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Weekly sales meeting</t>
        </is>
      </c>
      <c r="D6" t="inlineStr">
        <is>
          <t>Weekly sales meeting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>
        <is>
          <t>Weekly sales meeting</t>
        </is>
      </c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>
        <is>
          <t xml:space="preserve">DWH Transform load Monitoring  </t>
        </is>
      </c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>
        <is>
          <t xml:space="preserve">DWH Transform load Monitoring  </t>
        </is>
      </c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>
        <is>
          <t>Internal Study time(PDP), Coffee chat</t>
        </is>
      </c>
      <c r="O10" t="inlineStr"/>
    </row>
    <row r="11">
      <c r="A11" t="inlineStr">
        <is>
          <t>12:30</t>
        </is>
      </c>
      <c r="B11" t="inlineStr"/>
      <c r="C11" t="inlineStr">
        <is>
          <t xml:space="preserve">ScaleUp Homework sessions </t>
        </is>
      </c>
      <c r="D11" t="inlineStr">
        <is>
          <t xml:space="preserve">ScaleUp Homework sessions </t>
        </is>
      </c>
      <c r="E11" t="inlineStr"/>
      <c r="F11" t="inlineStr"/>
      <c r="G11" t="inlineStr"/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>
        <is>
          <t>Internal Study time(PDP)</t>
        </is>
      </c>
      <c r="O11" t="inlineStr"/>
    </row>
    <row r="12">
      <c r="A12" t="inlineStr">
        <is>
          <t>13:00</t>
        </is>
      </c>
      <c r="B12" t="inlineStr">
        <is>
          <t>Lunch</t>
        </is>
      </c>
      <c r="C12" t="inlineStr">
        <is>
          <t xml:space="preserve">ScaleUp Homework sessions </t>
        </is>
      </c>
      <c r="D12" t="inlineStr">
        <is>
          <t xml:space="preserve">ScaleUp Homework sessions 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Internal Study time(PDP)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>
        <is>
          <t xml:space="preserve">ScaleUp Homework sessions </t>
        </is>
      </c>
      <c r="D13" t="inlineStr">
        <is>
          <t xml:space="preserve">ScaleUp Homework sessions 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Internal Study time(PDP)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>
        <is>
          <t>Canceled: Tech Team retro, Tech team planning</t>
        </is>
      </c>
      <c r="N15" t="inlineStr"/>
      <c r="O15" t="inlineStr"/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>
        <is>
          <t>Tableau Tribe Development and Upskilling</t>
        </is>
      </c>
      <c r="D16" t="inlineStr">
        <is>
          <t>Tableau Tribe Development and Upskilling</t>
        </is>
      </c>
      <c r="E16" t="inlineStr"/>
      <c r="F16" t="inlineStr"/>
      <c r="G16" t="inlineStr">
        <is>
          <t>Tableau Tribe Development and Upskilling</t>
        </is>
      </c>
      <c r="H16" t="inlineStr">
        <is>
          <t>Tableau Tribe Development and Upskilling</t>
        </is>
      </c>
      <c r="I16" t="inlineStr"/>
      <c r="J16" t="inlineStr">
        <is>
          <t>Tableau Tribe Development and Upskilling, 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Tech Team retro, Tech team planning</t>
        </is>
      </c>
      <c r="N16" t="inlineStr"/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>
        <is>
          <t>Tableau Tribe Development and Upskilling</t>
        </is>
      </c>
      <c r="D17" t="inlineStr">
        <is>
          <t>Tableau Tribe Development and Upskilling</t>
        </is>
      </c>
      <c r="E17" t="inlineStr"/>
      <c r="F17" t="inlineStr"/>
      <c r="G17" t="inlineStr">
        <is>
          <t>Tableau Tribe Development and Upskilling</t>
        </is>
      </c>
      <c r="H17" t="inlineStr">
        <is>
          <t>Tableau Tribe Development and Upskilling</t>
        </is>
      </c>
      <c r="I17" t="inlineStr"/>
      <c r="J17" t="inlineStr">
        <is>
          <t>Tableau Tribe Development and Upskilling, 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Tech Team retro</t>
        </is>
      </c>
      <c r="N17" t="inlineStr"/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>
        <is>
          <t>Review Vodacom Contract</t>
        </is>
      </c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>
        <is>
          <t>Weekly Sync: Nate &lt;&gt; Andrew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>
        <is>
          <t>OM Work</t>
        </is>
      </c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Taquanta: Weekly SLA &amp; Projects update (Client meeting)</t>
        </is>
      </c>
      <c r="F10" t="inlineStr"/>
      <c r="G10" t="inlineStr"/>
      <c r="H10" t="inlineStr"/>
      <c r="I10" t="inlineStr">
        <is>
          <t>Taquanta: Weekly SLA &amp; Projects update (Client meeting)</t>
        </is>
      </c>
      <c r="J10" t="inlineStr">
        <is>
          <t>OM Work</t>
        </is>
      </c>
      <c r="K10" t="inlineStr"/>
      <c r="L10" t="inlineStr">
        <is>
          <t>Taquanta: Weekly SLA &amp; Projects update (Client meeting)</t>
        </is>
      </c>
      <c r="M10" t="inlineStr">
        <is>
          <t>Taquanta: Weekly SLA &amp; Projects update (Client meeting)</t>
        </is>
      </c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OM Work</t>
        </is>
      </c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OM Work</t>
        </is>
      </c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5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>
        <is>
          <t>OM Work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 xml:space="preserve">Canceled: Tech Team Planning </t>
        </is>
      </c>
      <c r="F6" t="inlineStr">
        <is>
          <t>Shoprite Analytics|| Cloud BI Daily Stand Up</t>
        </is>
      </c>
      <c r="G6" t="inlineStr">
        <is>
          <t xml:space="preserve">Canceled: Tech Team Planning </t>
        </is>
      </c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>
        <is>
          <t xml:space="preserve">Canceled: Tech Team Planning </t>
        </is>
      </c>
      <c r="N6" t="inlineStr">
        <is>
          <t>Canceled: Tech Team Planning , 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Canceled: Tech Team Planning , Taquanta: Projects Internal Standup</t>
        </is>
      </c>
      <c r="F7" t="inlineStr"/>
      <c r="G7" t="inlineStr">
        <is>
          <t xml:space="preserve">Canceled: Tech Team Planning </t>
        </is>
      </c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Canceled: Tech Team Planning , Taquanta: Projects Internal Standup</t>
        </is>
      </c>
      <c r="N7" t="inlineStr">
        <is>
          <t xml:space="preserve">Canceled: Tech Team Planning 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>
        <is>
          <t>OM Work</t>
        </is>
      </c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>
        <is>
          <t>OM Work</t>
        </is>
      </c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>
        <is>
          <t>OM Work</t>
        </is>
      </c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>
        <is>
          <t>OM Work</t>
        </is>
      </c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OM Work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>
        <is>
          <t>OM Work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>
        <is>
          <t>Data Cloud Implentation Questions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>
        <is>
          <t>Data Cloud Implentation Questions</t>
        </is>
      </c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>
        <is>
          <t>Data Cloud Implentation Questions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Data Cloud Implentation Questions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39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46" customWidth="1" min="9" max="9"/>
    <col width="50" customWidth="1" min="10" max="10"/>
    <col width="35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Thando Calana</t>
        </is>
      </c>
      <c r="C1" t="inlineStr">
        <is>
          <t>Mark</t>
        </is>
      </c>
      <c r="D1" t="inlineStr">
        <is>
          <t>Andrew</t>
        </is>
      </c>
      <c r="E1" t="inlineStr">
        <is>
          <t>Azabenathi Pupuma</t>
        </is>
      </c>
      <c r="F1" t="inlineStr">
        <is>
          <t>Palesa Maboeei</t>
        </is>
      </c>
      <c r="G1" t="inlineStr">
        <is>
          <t>Thembani Faleni</t>
        </is>
      </c>
      <c r="H1" t="inlineStr">
        <is>
          <t>Robin April</t>
        </is>
      </c>
      <c r="I1" t="inlineStr">
        <is>
          <t>Ben Brooker</t>
        </is>
      </c>
      <c r="J1" t="inlineStr">
        <is>
          <t>Flora Kundaeli</t>
        </is>
      </c>
      <c r="K1" t="inlineStr">
        <is>
          <t>Riyadh Leonard</t>
        </is>
      </c>
      <c r="L1" t="inlineStr">
        <is>
          <t>Sandisiwe Manquma</t>
        </is>
      </c>
      <c r="M1" t="inlineStr">
        <is>
          <t>Ntsako Mavuyangwa</t>
        </is>
      </c>
      <c r="N1" t="inlineStr">
        <is>
          <t>Michael Malia</t>
        </is>
      </c>
      <c r="O1" t="inlineStr">
        <is>
          <t>Suzanne Edlmann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SS Tech Team Daily check-in, 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>
        <is>
          <t>Strategy and solution Day</t>
        </is>
      </c>
      <c r="E4" t="inlineStr"/>
      <c r="F4" t="inlineStr"/>
      <c r="G4" t="inlineStr"/>
      <c r="H4" t="inlineStr"/>
      <c r="I4" t="inlineStr"/>
      <c r="J4" t="inlineStr">
        <is>
          <t>OM Work</t>
        </is>
      </c>
      <c r="K4" t="inlineStr"/>
      <c r="L4" t="inlineStr"/>
      <c r="M4" t="inlineStr"/>
      <c r="N4" t="inlineStr">
        <is>
          <t>DSY DW - Daily standup</t>
        </is>
      </c>
      <c r="O4" t="inlineStr"/>
    </row>
    <row r="5">
      <c r="A5" t="inlineStr">
        <is>
          <t>09:30</t>
        </is>
      </c>
      <c r="B5" t="inlineStr"/>
      <c r="C5" t="inlineStr"/>
      <c r="D5" t="inlineStr">
        <is>
          <t>Strategy and solution Day</t>
        </is>
      </c>
      <c r="E5" t="inlineStr"/>
      <c r="F5" t="inlineStr"/>
      <c r="G5" t="inlineStr"/>
      <c r="H5" t="inlineStr"/>
      <c r="I5" t="inlineStr"/>
      <c r="J5" t="inlineStr">
        <is>
          <t>OM Work, GRCA Portfolio | Team Stand-up</t>
        </is>
      </c>
      <c r="K5" t="inlineStr"/>
      <c r="L5" t="inlineStr"/>
      <c r="M5" t="inlineStr"/>
      <c r="N5" t="inlineStr">
        <is>
          <t>Ongoing: Daily operational tasks DSY</t>
        </is>
      </c>
      <c r="O5" t="inlineStr"/>
    </row>
    <row r="6">
      <c r="A6" t="inlineStr">
        <is>
          <t>10:00</t>
        </is>
      </c>
      <c r="B6" t="inlineStr"/>
      <c r="C6" t="inlineStr">
        <is>
          <t>FW: Weekly Check-In: Tableau Progress</t>
        </is>
      </c>
      <c r="D6" t="inlineStr">
        <is>
          <t>Strategy and solution Day, FW: Weekly Check-In: Tableau Progress</t>
        </is>
      </c>
      <c r="E6" t="inlineStr"/>
      <c r="F6" t="inlineStr">
        <is>
          <t>Shoprite Analytics|| Cloud BI Daily Stand Up</t>
        </is>
      </c>
      <c r="G6" t="inlineStr"/>
      <c r="H6" t="inlineStr"/>
      <c r="I6" t="inlineStr">
        <is>
          <t>Shoprite Analytics|| Cloud BI Daily Stand Up</t>
        </is>
      </c>
      <c r="J6" t="inlineStr">
        <is>
          <t>OM Work</t>
        </is>
      </c>
      <c r="K6" t="inlineStr"/>
      <c r="L6" t="inlineStr"/>
      <c r="M6" t="inlineStr"/>
      <c r="N6" t="inlineStr">
        <is>
          <t>Ongoing: Daily operational tasks DSY</t>
        </is>
      </c>
      <c r="O6" t="inlineStr"/>
    </row>
    <row r="7">
      <c r="A7" t="inlineStr">
        <is>
          <t>10:30</t>
        </is>
      </c>
      <c r="B7" t="inlineStr"/>
      <c r="C7" t="inlineStr"/>
      <c r="D7" t="inlineStr">
        <is>
          <t>Strategy and solution Day</t>
        </is>
      </c>
      <c r="E7" t="inlineStr">
        <is>
          <t>Taquanta: Projects Internal Standup</t>
        </is>
      </c>
      <c r="F7" t="inlineStr"/>
      <c r="G7" t="inlineStr"/>
      <c r="H7" t="inlineStr"/>
      <c r="I7" t="inlineStr">
        <is>
          <t>Taquanta: Projects Internal Standup</t>
        </is>
      </c>
      <c r="J7" t="inlineStr">
        <is>
          <t>OM Work</t>
        </is>
      </c>
      <c r="K7" t="inlineStr"/>
      <c r="L7" t="inlineStr">
        <is>
          <t>Taquanta: Projects Internal Standup</t>
        </is>
      </c>
      <c r="M7" t="inlineStr">
        <is>
          <t>Taquanta: Projects Internal Standup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>
        <is>
          <t>Strategy and solution Day</t>
        </is>
      </c>
      <c r="E8" t="inlineStr"/>
      <c r="F8" t="inlineStr"/>
      <c r="G8" t="inlineStr"/>
      <c r="H8" t="inlineStr"/>
      <c r="I8" t="inlineStr"/>
      <c r="J8" t="inlineStr">
        <is>
          <t>OM Work</t>
        </is>
      </c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>
        <is>
          <t>Strategy and solution Day</t>
        </is>
      </c>
      <c r="E9" t="inlineStr"/>
      <c r="F9" t="inlineStr"/>
      <c r="G9" t="inlineStr"/>
      <c r="H9" t="inlineStr"/>
      <c r="I9" t="inlineStr"/>
      <c r="J9" t="inlineStr">
        <is>
          <t>OM Work</t>
        </is>
      </c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>
        <is>
          <t>Strategy and solution Day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>
        <is>
          <t>Strategy and solution Day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Lunch</t>
        </is>
      </c>
      <c r="C12" t="inlineStr"/>
      <c r="D12" t="inlineStr">
        <is>
          <t>Strategy and solution Day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Development activities - Glue - code and data</t>
        </is>
      </c>
      <c r="O12" t="inlineStr"/>
    </row>
    <row r="13">
      <c r="A13" t="inlineStr">
        <is>
          <t>13:30</t>
        </is>
      </c>
      <c r="B13" t="inlineStr">
        <is>
          <t>Lunch</t>
        </is>
      </c>
      <c r="C13" t="inlineStr"/>
      <c r="D13" t="inlineStr">
        <is>
          <t>Strategy and solution Day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Development activities - Glue - code and data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>
        <is>
          <t>Strategy and solution Day</t>
        </is>
      </c>
      <c r="E14" t="inlineStr"/>
      <c r="F14" t="inlineStr"/>
      <c r="G14" t="inlineStr"/>
      <c r="H14" t="inlineStr">
        <is>
          <t>Monthly Client Support Reports Process Implementation - Feedback Sessions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>
        <is>
          <t>Development activities - Glue - code and data</t>
        </is>
      </c>
      <c r="O14" t="inlineStr"/>
    </row>
    <row r="15">
      <c r="A15" t="inlineStr">
        <is>
          <t>14:30</t>
        </is>
      </c>
      <c r="B15" t="inlineStr"/>
      <c r="C15" t="inlineStr"/>
      <c r="D15" t="inlineStr">
        <is>
          <t>Strategy and solution Day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Development activities - Glue - code and data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>
        <is>
          <t>Strategy and solution Day, OPS Exec Updates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>
        <is>
          <t>Strategy and solution Day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Upskilling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DSY DW - Daily standup</t>
        </is>
      </c>
      <c r="O18" t="inlineStr"/>
    </row>
    <row r="19">
      <c r="A19" t="inlineStr">
        <is>
          <t>16:30</t>
        </is>
      </c>
      <c r="B19" t="inlineStr">
        <is>
          <t>Upskilling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Mark Gelman</t>
        </is>
      </c>
      <c r="C27" t="inlineStr">
        <is>
          <t>Thembani Faleni</t>
        </is>
      </c>
      <c r="D27" t="inlineStr">
        <is>
          <t>Robin April</t>
        </is>
      </c>
      <c r="E27" t="inlineStr">
        <is>
          <t>Palesa Maboeei</t>
        </is>
      </c>
      <c r="F27" t="inlineStr">
        <is>
          <t>Azabenathi Pupuma</t>
        </is>
      </c>
      <c r="G27" t="inlineStr">
        <is>
          <t>Ben Brooker</t>
        </is>
      </c>
      <c r="H27" t="inlineStr">
        <is>
          <t>Thando Calana</t>
        </is>
      </c>
      <c r="I27" t="inlineStr">
        <is>
          <t>Flora Kundaeli</t>
        </is>
      </c>
      <c r="J27" t="inlineStr">
        <is>
          <t>Riyadh Leonard</t>
        </is>
      </c>
      <c r="K27" t="inlineStr">
        <is>
          <t>Sandisiwe Manquma</t>
        </is>
      </c>
      <c r="L27" t="inlineStr">
        <is>
          <t>Ntsako Mavuyangwa</t>
        </is>
      </c>
      <c r="M27" t="inlineStr">
        <is>
          <t>Michael Malia</t>
        </is>
      </c>
      <c r="N27" t="inlineStr">
        <is>
          <t>Suzanne Edlmann</t>
        </is>
      </c>
      <c r="O27" t="inlineStr">
        <is>
          <t>Unassigned</t>
        </is>
      </c>
    </row>
    <row r="28">
      <c r="A28" t="inlineStr"/>
      <c r="B28">
        <f>HYPERLINK("https://app.clickup.com/t/869a2knmy", "[slipstream - data warehouse solution - git (productization)] Create views as exploitation layer out of data lake")</f>
        <v/>
      </c>
      <c r="C28" t="inlineStr"/>
      <c r="D28">
        <f>HYPERLINK("https://app.clickup.com/t/869bbt350", "[freshdesk] 1428 SSO Intergations for data connections within Alteryx")</f>
        <v/>
      </c>
      <c r="E28">
        <f>HYPERLINK("https://app.clickup.com/t/869bd0zxj", "[freshdesk] 1430 Athena Connection Setup")</f>
        <v/>
      </c>
      <c r="F28">
        <f>HYPERLINK("https://app.clickup.com/t/869bxkcmb", "[freshdesk] 1459 ZARONIA calculator stopped working")</f>
        <v/>
      </c>
      <c r="G28">
        <f>HYPERLINK("https://app.clickup.com/t/86995td5m", "[slipstream - data warehouse solution - git (productization)] Build the data deployment pipelines for DEV to QA")</f>
        <v/>
      </c>
      <c r="H28">
        <f>HYPERLINK("https://app.clickup.com/t/869bg1tvz", "[internal workstream] Test Excel Prototype - Resource Scheduling")</f>
        <v/>
      </c>
      <c r="I28" t="inlineStr"/>
      <c r="J28">
        <f>HYPERLINK("https://app.clickup.com/t/8698jrq49", "[slipstream - data warehouse solution - git (productization)] Testing - data Audit processes")</f>
        <v/>
      </c>
      <c r="K28" t="inlineStr"/>
      <c r="L28">
        <f>HYPERLINK("https://app.clickup.com/t/869bxkcmb", "[freshdesk] 1459 ZARONIA calculator stopped working")</f>
        <v/>
      </c>
      <c r="M28">
        <f>HYPERLINK("https://app.clickup.com/t/869474qb4", "[internal projects] Commit code to GitHub")</f>
        <v/>
      </c>
      <c r="N28">
        <f>HYPERLINK("https://app.clickup.com/t/869474qb4", "[internal projects] Commit code to GitHub")</f>
        <v/>
      </c>
      <c r="O28">
        <f>HYPERLINK("https://app.clickup.com/t/869bv0v11", "[freshdesk] 1453 Report not populating")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 t="inlineStr"/>
      <c r="D29">
        <f>HYPERLINK("https://app.clickup.com/t/869a5344p", "[freshdesk] Documentation")</f>
        <v/>
      </c>
      <c r="E29">
        <f>HYPERLINK("https://app.clickup.com/t/8696q3a3m", "[internal projects] Team Skills")</f>
        <v/>
      </c>
      <c r="F29">
        <f>HYPERLINK("https://app.clickup.com/t/86995td5m", "[slipstream - data warehouse solution - git (productization)] Build the data deployment pipelines for DEV to QA")</f>
        <v/>
      </c>
      <c r="G29">
        <f>HYPERLINK("https://app.clickup.com/t/869474qb4", "[internal projects] Commit code to GitHub")</f>
        <v/>
      </c>
      <c r="H29">
        <f>HYPERLINK("https://app.clickup.com/t/869b7g46j", "[internal workstream] Pull in skilling data to also analyze who has which competencies")</f>
        <v/>
      </c>
      <c r="I29" t="inlineStr"/>
      <c r="J29">
        <f>HYPERLINK("https://app.clickup.com/t/8698jrq40", "[slipstream - data warehouse solution - git (productization)] Optimisation and Enhancemnets post testing")</f>
        <v/>
      </c>
      <c r="K29" t="inlineStr"/>
      <c r="L29">
        <f>HYPERLINK("https://app.clickup.com/t/869bvyd8g", "[freshdesk] 1455 SSRS CRIMS report to be activated")</f>
        <v/>
      </c>
      <c r="M29">
        <f>HYPERLINK("https://app.clickup.com/t/8696twz3v", "[discovery invest - dw maintenance] Glue - code and data")</f>
        <v/>
      </c>
      <c r="N29">
        <f>HYPERLINK("https://app.clickup.com/t/869a9nmh7", "[om: fatca 2.0 design implementation project (jira tasks)] CDC-2626 Setup Non-prod and Prod space on Alteryx Servers")</f>
        <v/>
      </c>
      <c r="O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HYPERLINK("https://app.clickup.com/t/8698jrxaj", "[slipstream - data warehouse solution - git (productization)] Snowflake Setup and Configuration")</f>
        <v/>
      </c>
      <c r="C30" t="inlineStr"/>
      <c r="D30">
        <f>HYPERLINK("https://app.clickup.com/t/8698juq5h", "[slipstream - data warehouse solution - git (productization)] Build the PowerBI reports for monitoring data Lake progress")</f>
        <v/>
      </c>
      <c r="E30">
        <f>HYPERLINK("https://app.clickup.com/t/8696kqh8k", "[internal projects] Tableau server Microsoft Teams app set up")</f>
        <v/>
      </c>
      <c r="F30">
        <f>HYPERLINK("https://app.clickup.com/t/8695qbamh", "[internal projects] Testing")</f>
        <v/>
      </c>
      <c r="G30">
        <f>HYPERLINK("https://app.clickup.com/t/8696twz3v", "[discovery invest - dw maintenance] Glue - code and data")</f>
        <v/>
      </c>
      <c r="H30">
        <f>HYPERLINK("https://app.clickup.com/t/869b7g432", "[internal workstream] Test model accuracy to see if it can detect team members' capacity")</f>
        <v/>
      </c>
      <c r="I30" t="inlineStr"/>
      <c r="J30">
        <f>HYPERLINK("https://app.clickup.com/t/8698jrq35", "[slipstream - data warehouse solution - git (productization)] Audit Tables and Process up to Data lake")</f>
        <v/>
      </c>
      <c r="K30" t="inlineStr"/>
      <c r="L30">
        <f>HYPERLINK("https://app.clickup.com/t/869bt2z2x", "[freshdesk] 1451 Two new Unit Trust Custom fields to add to CRIMS SOD: AGBDX and CTTQ")</f>
        <v/>
      </c>
      <c r="M30">
        <f>HYPERLINK("https://app.clickup.com/t/8696c93m9", "[discovery invest - dw maintenance] Change LAst_seed_Process = 2 for 7 tables")</f>
        <v/>
      </c>
      <c r="N30">
        <f>HYPERLINK("https://app.clickup.com/t/869a6vnq6", "[om: fatca 2.0 design implementation project (jira tasks)] CDC-2757 Market Conduct: Provide time estimates for deliverables")</f>
        <v/>
      </c>
      <c r="O30">
        <f>HYPERLINK("https://app.clickup.com/t/8698kwuqq", "[slipstream - data warehouse solution - git (productization)] Design and Build Costing reports in Snowflake")</f>
        <v/>
      </c>
    </row>
    <row r="31">
      <c r="A31" t="inlineStr"/>
      <c r="B31">
        <f>HYPERLINK("https://app.clickup.com/t/8698jrq40", "[slipstream - data warehouse solution - git (productization)] Optimisation and Enhancemnets post testing")</f>
        <v/>
      </c>
      <c r="C31" t="inlineStr"/>
      <c r="D31">
        <f>HYPERLINK("https://app.clickup.com/t/8698jupt0", "[slipstream - data warehouse solution - git (productization)] Build the PowerBI reports for monitoring data Stage progress")</f>
        <v/>
      </c>
      <c r="E31">
        <f>HYPERLINK("https://app.clickup.com/t/869474qb4", "[internal projects] Commit code to GitHub")</f>
        <v/>
      </c>
      <c r="F31">
        <f>HYPERLINK("https://app.clickup.com/t/869474qb4", "[internal projects] Commit code to GitHub")</f>
        <v/>
      </c>
      <c r="G31">
        <f>HYPERLINK("https://app.clickup.com/t/8696twxhf", "[discovery invest - dw maintenance] Handover of All reports")</f>
        <v/>
      </c>
      <c r="H31">
        <f>HYPERLINK("https://app.clickup.com/t/869b7g3ut", "[internal workstream] Train model on team's Outlook Calendar data")</f>
        <v/>
      </c>
      <c r="I31" t="inlineStr"/>
      <c r="J31">
        <f>HYPERLINK("https://app.clickup.com/t/869474qb4", "[internal projects] Commit code to GitHub")</f>
        <v/>
      </c>
      <c r="K31" t="inlineStr"/>
      <c r="L31">
        <f>HYPERLINK("https://app.clickup.com/t/869brt91j", "[freshdesk] 1447 PW vs Cashflow method issues - exclude NOEFFECT transactions from Titan")</f>
        <v/>
      </c>
      <c r="M31" t="inlineStr"/>
      <c r="N31">
        <f>HYPERLINK("https://app.clickup.com/t/869a1x6nk", "[om: fatca 2.0 design implementation project (jira tasks)] CDC-2062 Highlight where field values do not map to static reference tables in the raw schema")</f>
        <v/>
      </c>
      <c r="O31">
        <f>HYPERLINK("https://app.clickup.com/t/8698jrq4e", "[slipstream - data warehouse solution - git (productization)] Support. Includes platform optimisation, query optimisation etc.")</f>
        <v/>
      </c>
    </row>
    <row r="32">
      <c r="A32" t="inlineStr"/>
      <c r="B32">
        <f>HYPERLINK("https://app.clickup.com/t/869bvua8p", "[odo internal] January 2025 MG")</f>
        <v/>
      </c>
      <c r="C32" t="inlineStr"/>
      <c r="D32">
        <f>HYPERLINK("https://app.clickup.com/t/8698jrq3g", "[slipstream - data warehouse solution - git (productization)] Orchestration")</f>
        <v/>
      </c>
      <c r="E32">
        <f>HYPERLINK("https://app.clickup.com/t/8698rmb2r", "[certification] AWS Certified Solutions Architect - Associate")</f>
        <v/>
      </c>
      <c r="F32">
        <f>HYPERLINK("https://app.clickup.com/t/862k18nwr", "[internal projects] SLA performance for each customer")</f>
        <v/>
      </c>
      <c r="G32">
        <f>HYPERLINK("https://app.clickup.com/t/869b1x9ng", "[architecture refactor - python reports] Create github actions pipeline for merge into prod")</f>
        <v/>
      </c>
      <c r="H32">
        <f>HYPERLINK("https://app.clickup.com/t/869brawz7", "[wonga: data warehouse development &amp; migration onto snowflake project] Productionize code")</f>
        <v/>
      </c>
      <c r="I32" t="inlineStr"/>
      <c r="J32">
        <f>HYPERLINK("https://app.clickup.com/t/86971xvd4", "[discovery invest - dw maintenance] Run the file extracts")</f>
        <v/>
      </c>
      <c r="K32" t="inlineStr"/>
      <c r="L32">
        <f>HYPERLINK("https://app.clickup.com/t/869bmx27k", "[freshdesk] 1433 TITAN script fix for TAM Funds take-on values reverted for 31 Jan 2023")</f>
        <v/>
      </c>
      <c r="M32" t="inlineStr"/>
      <c r="N32">
        <f>HYPERLINK("https://app.clickup.com/t/869a1bu7g", "[om: fatca 2.0 design implementation project (jira tasks)] CDC-2563 Business Rule - Tax Free investments")</f>
        <v/>
      </c>
      <c r="O32">
        <f>HYPERLINK("https://app.clickup.com/t/8698jrq49", "[slipstream - data warehouse solution - git (productization)] Testing - data Audit processes")</f>
        <v/>
      </c>
    </row>
    <row r="33">
      <c r="A33" t="inlineStr"/>
      <c r="B33">
        <f>HYPERLINK("https://app.clickup.com/t/869474qb4", "[internal projects] Commit code to GitHub")</f>
        <v/>
      </c>
      <c r="C33" t="inlineStr"/>
      <c r="D33">
        <f>HYPERLINK("https://app.clickup.com/t/869brawz7", "[wonga: data warehouse development &amp; migration onto snowflake project] Productionize code")</f>
        <v/>
      </c>
      <c r="E33">
        <f>HYPERLINK("https://app.clickup.com/t/869bvbghv", "[wonga: data warehouse development &amp; migration onto snowflake project] Validations - FinMart_DebtorsAgeing")</f>
        <v/>
      </c>
      <c r="F33">
        <f>HYPERLINK("https://app.clickup.com/t/869btbuwk", "[certification] SnowPro Advanced: Data Engineer")</f>
        <v/>
      </c>
      <c r="G33">
        <f>HYPERLINK("https://app.clickup.com/t/869b1x8cc", "[architecture refactor - python reports] Set up protection ruleset for dev")</f>
        <v/>
      </c>
      <c r="H33">
        <f>HYPERLINK("https://app.clickup.com/t/869b1ap2v", "[wonga: data warehouse development &amp; migration onto snowflake project] Import Lookup Tables")</f>
        <v/>
      </c>
      <c r="I33" t="inlineStr"/>
      <c r="J33">
        <f>HYPERLINK("https://app.clickup.com/t/86971xv4x", "[discovery invest - dw maintenance] Validating the marts")</f>
        <v/>
      </c>
      <c r="K33" t="inlineStr"/>
      <c r="L33">
        <f>HYPERLINK("https://app.clickup.com/t/869474qb4", "[internal projects] Commit code to GitHub")</f>
        <v/>
      </c>
      <c r="M33" t="inlineStr"/>
      <c r="N33">
        <f>HYPERLINK("https://app.clickup.com/t/869a01gfm", "[om: fatca 2.0 design implementation project (jira tasks)] CDC-2509 Investigate subset where controlling person and entity has different entity_ids")</f>
        <v/>
      </c>
      <c r="O33">
        <f>HYPERLINK("https://app.clickup.com/t/8698jrq3g", "[slipstream - data warehouse solution - git (productization)] Orchestration")</f>
        <v/>
      </c>
    </row>
    <row r="34">
      <c r="A34" t="inlineStr"/>
      <c r="B34">
        <f>HYPERLINK("https://app.clickup.com/t/86931cq56", "[certification] Snowflake")</f>
        <v/>
      </c>
      <c r="C34" t="inlineStr"/>
      <c r="D34">
        <f>HYPERLINK("https://app.clickup.com/t/869brav56", "[wonga: data warehouse development &amp; migration onto snowflake project] ODS Mapping Document")</f>
        <v/>
      </c>
      <c r="E34">
        <f>HYPERLINK("https://app.clickup.com/t/869bvbg1b", "[wonga: data warehouse development &amp; migration onto snowflake project] Validation - FinMart_Collections_Dashboard")</f>
        <v/>
      </c>
      <c r="F34">
        <f>HYPERLINK("https://app.clickup.com/t/869ahmf7u", "[certification] Salesforce Certified Agentforce Specialist")</f>
        <v/>
      </c>
      <c r="G34">
        <f>HYPERLINK("https://app.clickup.com/t/869b1x6vz", "[architecture refactor - python reports] Create review process for merge into dev")</f>
        <v/>
      </c>
      <c r="H34">
        <f>HYPERLINK("https://app.clickup.com/t/869b1akr1", "[wonga: data warehouse development &amp; migration onto snowflake project] FinMart_DT_Billing")</f>
        <v/>
      </c>
      <c r="I34" t="inlineStr"/>
      <c r="J34">
        <f>HYPERLINK("https://app.clickup.com/t/86971xv04", "[discovery invest - dw maintenance] Run mart code")</f>
        <v/>
      </c>
      <c r="K34" t="inlineStr"/>
      <c r="L34" t="inlineStr"/>
      <c r="M34" t="inlineStr"/>
      <c r="N34">
        <f>HYPERLINK("https://app.clickup.com/t/8699yvvh7", "[om: fatca 2.0 design implementation project (jira tasks)] CDC-2560 SARS TPAH Template Update the rule to avoid referencing the database table")</f>
        <v/>
      </c>
      <c r="O34">
        <f>HYPERLINK("https://app.clickup.com/t/8698jrq35", "[slipstream - data warehouse solution - git (productization)] Audit Tables and Process up to Data lake")</f>
        <v/>
      </c>
    </row>
    <row r="35">
      <c r="A35" t="inlineStr"/>
      <c r="B35" t="inlineStr"/>
      <c r="C35" t="inlineStr"/>
      <c r="D35">
        <f>HYPERLINK("https://app.clickup.com/t/869bq2yhp", "[wonga: data warehouse development &amp; migration onto snowflake project] Reporting and Analytics")</f>
        <v/>
      </c>
      <c r="E35">
        <f>HYPERLINK("https://app.clickup.com/t/869bvbdpk", "[wonga: data warehouse development &amp; migration onto snowflake project] Validation - FinMart_CreditBalances")</f>
        <v/>
      </c>
      <c r="F35">
        <f>HYPERLINK("https://app.clickup.com/t/869ab1fx3", "[certification] AWS Data Engineer - Associate")</f>
        <v/>
      </c>
      <c r="G35">
        <f>HYPERLINK("https://app.clickup.com/t/8698aqyt9", "[architecture refactor - python reports] Test each script runs successfully on Subaru (Dev)")</f>
        <v/>
      </c>
      <c r="H35">
        <f>HYPERLINK("https://app.clickup.com/t/869a2n32w", "[wonga: data warehouse development &amp; migration onto snowflake project] Configure tests per WH tables")</f>
        <v/>
      </c>
      <c r="I35" t="inlineStr"/>
      <c r="J35">
        <f>HYPERLINK("https://app.clickup.com/t/86971xur8", "[discovery invest - dw maintenance] Run implied deletes code")</f>
        <v/>
      </c>
      <c r="K35" t="inlineStr"/>
      <c r="L35" t="inlineStr"/>
      <c r="M35" t="inlineStr"/>
      <c r="N35">
        <f>HYPERLINK("https://app.clickup.com/t/8699yvveh", "[om: fatca 2.0 design implementation project (jira tasks)] CDC-2559 SARS TPAH Template Remove all spaces and special characters")</f>
        <v/>
      </c>
      <c r="O35">
        <f>HYPERLINK("https://app.clickup.com/t/869buftrn", "[internal projects] Databricks Course")</f>
        <v/>
      </c>
    </row>
    <row r="36">
      <c r="A36" t="inlineStr"/>
      <c r="B36" t="inlineStr"/>
      <c r="C36" t="inlineStr"/>
      <c r="D36">
        <f>HYPERLINK("https://app.clickup.com/t/869bpfgwx", "[wonga: data warehouse development &amp; migration onto snowflake project] Validation of Outputs")</f>
        <v/>
      </c>
      <c r="E36">
        <f>HYPERLINK("https://app.clickup.com/t/869bq2vhn", "[wonga: data warehouse development &amp; migration onto snowflake project] Solution Design Documentation")</f>
        <v/>
      </c>
      <c r="F36">
        <f>HYPERLINK("https://app.clickup.com/t/8694x2b1k", "[certification] Alteryx Designer Advanced")</f>
        <v/>
      </c>
      <c r="G36">
        <f>HYPERLINK("https://app.clickup.com/t/8698aqwqc", "[architecture refactor - python reports] Test complete process for scripts")</f>
        <v/>
      </c>
      <c r="H36">
        <f>HYPERLINK("https://app.clickup.com/t/869a2myq0", "[wonga: data warehouse development &amp; migration onto snowflake project] Setup and configure testing framework")</f>
        <v/>
      </c>
      <c r="I36" t="inlineStr"/>
      <c r="J36">
        <f>HYPERLINK("https://app.clickup.com/t/86971xtt3", "[discovery invest - dw maintenance] Validating the DWH")</f>
        <v/>
      </c>
      <c r="K36" t="inlineStr"/>
      <c r="L36" t="inlineStr"/>
      <c r="M36" t="inlineStr"/>
      <c r="N36">
        <f>HYPERLINK("https://app.clickup.com/t/8699yvv6w", "[om: fatca 2.0 design implementation project (jira tasks)] CDC-2556 For active entities on the Indicia Template, the "CRS Type" should be CRS103")</f>
        <v/>
      </c>
      <c r="O36">
        <f>HYPERLINK("https://app.clickup.com/t/869474qb4", "[internal projects] Commit code to GitHub")</f>
        <v/>
      </c>
    </row>
    <row r="37">
      <c r="A37" t="inlineStr"/>
      <c r="B37" t="inlineStr"/>
      <c r="C37" t="inlineStr"/>
      <c r="D37">
        <f>HYPERLINK("https://app.clickup.com/t/869b9t7yd", "[wonga: data warehouse development &amp; migration onto snowflake project] PowerBI Documentation for reporting")</f>
        <v/>
      </c>
      <c r="E37" t="inlineStr"/>
      <c r="F37">
        <f>HYPERLINK("https://app.clickup.com/t/869bvbg1b", "[wonga: data warehouse development &amp; migration onto snowflake project] Validation - FinMart_Collections_Dashboard")</f>
        <v/>
      </c>
      <c r="G37">
        <f>HYPERLINK("https://app.clickup.com/t/869894fku", "[architecture refactor - python reports] Configure the GIT repository process")</f>
        <v/>
      </c>
      <c r="H37">
        <f>HYPERLINK("https://app.clickup.com/t/8698jrq3x", "[wonga: data warehouse development &amp; migration onto snowflake project] MART Process")</f>
        <v/>
      </c>
      <c r="I37" t="inlineStr"/>
      <c r="J37">
        <f>HYPERLINK("https://app.clickup.com/t/8696twzjv", "[discovery invest - dw maintenance] Marts - code and data")</f>
        <v/>
      </c>
      <c r="K37" t="inlineStr"/>
      <c r="L37" t="inlineStr"/>
      <c r="M37" t="inlineStr"/>
      <c r="N37">
        <f>HYPERLINK("https://app.clickup.com/t/8699yvuqh", "[om: fatca 2.0 design implementation project (jira tasks)] CDC-2555 Entities former COB")</f>
        <v/>
      </c>
      <c r="O37">
        <f>HYPERLINK("https://app.clickup.com/t/862k4g368", "[internal projects] Integrate data to Tableau report")</f>
        <v/>
      </c>
    </row>
    <row r="38">
      <c r="A38" t="inlineStr"/>
      <c r="B38" t="inlineStr"/>
      <c r="C38" t="inlineStr"/>
      <c r="D38">
        <f>HYPERLINK("https://app.clickup.com/t/869b38k0w", "[wonga: data warehouse development &amp; migration onto snowflake project] 4.5 - Debicheck Report")</f>
        <v/>
      </c>
      <c r="E38" t="inlineStr"/>
      <c r="F38">
        <f>HYPERLINK("https://app.clickup.com/t/869brawz7", "[wonga: data warehouse development &amp; migration onto snowflake project] Productionize code")</f>
        <v/>
      </c>
      <c r="G38">
        <f>HYPERLINK("https://app.clickup.com/t/869bvjq13", "[wonga: data warehouse development &amp; migration onto snowflake project] Merge staging into Prod")</f>
        <v/>
      </c>
      <c r="H38" t="inlineStr"/>
      <c r="I38" t="inlineStr"/>
      <c r="J38">
        <f>HYPERLINK("https://app.clickup.com/t/8696twrv7", "[discovery invest - dw maintenance] Extract Sign-Off Document")</f>
        <v/>
      </c>
      <c r="K38" t="inlineStr"/>
      <c r="L38" t="inlineStr"/>
      <c r="M38" t="inlineStr"/>
      <c r="N38">
        <f>HYPERLINK("https://app.clickup.com/t/8699yvtjg", "[om: fatca 2.0 design implementation project (jira tasks)] CDC-2553 Flexcube SARS Templates - rename the RFI to source system code at scheme level")</f>
        <v/>
      </c>
      <c r="O38">
        <f>HYPERLINK("https://app.clickup.com/t/869agp147", "[certification] Snowflake Sales Professional")</f>
        <v/>
      </c>
    </row>
    <row r="39">
      <c r="A39" t="inlineStr"/>
      <c r="B39" t="inlineStr"/>
      <c r="C39" t="inlineStr"/>
      <c r="D39">
        <f>HYPERLINK("https://app.clickup.com/t/869b38jz8", "[wonga: data warehouse development &amp; migration onto snowflake project] 4.4 - Daily Collections")</f>
        <v/>
      </c>
      <c r="E39" t="inlineStr"/>
      <c r="F39">
        <f>HYPERLINK("https://app.clickup.com/t/869b1ap2v", "[wonga: data warehouse development &amp; migration onto snowflake project] Import Lookup Tables")</f>
        <v/>
      </c>
      <c r="G39">
        <f>HYPERLINK("https://app.clickup.com/t/869bu295j", "[wonga: data warehouse development &amp; migration onto snowflake project] Schedule runs")</f>
        <v/>
      </c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 t="inlineStr"/>
      <c r="L39" t="inlineStr"/>
      <c r="M39" t="inlineStr"/>
      <c r="N39">
        <f>HYPERLINK("https://app.clickup.com/t/8699yvruw", "[om: fatca 2.0 design implementation project (jira tasks)] CDC-2561 Diminmus rules to be applied at scheme level and not at OMUT level")</f>
        <v/>
      </c>
      <c r="O39">
        <f>HYPERLINK("https://app.clickup.com/t/869agp0uz", "[certification] Snowflake Technical Sales Professional")</f>
        <v/>
      </c>
    </row>
    <row r="40">
      <c r="A40" t="inlineStr"/>
      <c r="B40" t="inlineStr"/>
      <c r="C40" t="inlineStr"/>
      <c r="D40">
        <f>HYPERLINK("https://app.clickup.com/t/869avzbxv", "[wonga: data warehouse development &amp; migration onto snowflake project] Handover of Operational Reports")</f>
        <v/>
      </c>
      <c r="E40" t="inlineStr"/>
      <c r="F40">
        <f>HYPERLINK("https://app.clickup.com/t/869b1am05", "[wonga: data warehouse development &amp; migration onto snowflake project] FinMart_DebtorsAgeing")</f>
        <v/>
      </c>
      <c r="G40">
        <f>HYPERLINK("https://app.clickup.com/t/869brawz7", "[wonga: data warehouse development &amp; migration onto snowflake project] Productionize code")</f>
        <v/>
      </c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 t="inlineStr"/>
      <c r="L40" t="inlineStr"/>
      <c r="M40" t="inlineStr"/>
      <c r="N40">
        <f>HYPERLINK("https://app.clickup.com/t/8699yvra6", "[om: fatca 2.0 design implementation project (jira tasks)] CDC-2554 Entities COB")</f>
        <v/>
      </c>
      <c r="O40">
        <f>HYPERLINK("https://app.clickup.com/t/869af83c0", "[certification] Alteryx Designer Core")</f>
        <v/>
      </c>
    </row>
    <row r="41">
      <c r="A41" t="inlineStr"/>
      <c r="B41" t="inlineStr"/>
      <c r="C41" t="inlineStr"/>
      <c r="D41">
        <f>HYPERLINK("https://app.clickup.com/t/869aq4tr8", "[wonga: data warehouse development &amp; migration onto snowflake project] PowerBI - Operational Reports")</f>
        <v/>
      </c>
      <c r="E41" t="inlineStr"/>
      <c r="F41">
        <f>HYPERLINK("https://app.clickup.com/t/869b1ak44", "[wonga: data warehouse development &amp; migration onto snowflake project] FinMart_Collections_Dashboard")</f>
        <v/>
      </c>
      <c r="G41">
        <f>HYPERLINK("https://app.clickup.com/t/869b1ap2v", "[wonga: data warehouse development &amp; migration onto snowflake project] Import Lookup Tables")</f>
        <v/>
      </c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 t="inlineStr"/>
      <c r="L41" t="inlineStr"/>
      <c r="M41" t="inlineStr"/>
      <c r="N41" t="inlineStr"/>
      <c r="O41">
        <f>HYPERLINK("https://app.clickup.com/t/869af829t", "[certification] Salesforce Certified Agentforce Specialist")</f>
        <v/>
      </c>
    </row>
    <row r="42">
      <c r="A42" t="inlineStr"/>
      <c r="B42" t="inlineStr"/>
      <c r="C42" t="inlineStr"/>
      <c r="D42" t="inlineStr"/>
      <c r="E42" t="inlineStr"/>
      <c r="F42">
        <f>HYPERLINK("https://app.clickup.com/t/869b1ajq3", "[wonga: data warehouse development &amp; migration onto snowflake project] FinMart_CreditBalances")</f>
        <v/>
      </c>
      <c r="G42">
        <f>HYPERLINK("https://app.clickup.com/t/8698jrq3x", "[wonga: data warehouse development &amp; migration onto snowflake project] MART Process")</f>
        <v/>
      </c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 t="inlineStr"/>
      <c r="L42" t="inlineStr"/>
      <c r="M42" t="inlineStr"/>
      <c r="N42" t="inlineStr"/>
      <c r="O42">
        <f>HYPERLINK("https://app.clickup.com/t/869af7nme", "[certification] AWS Certified Solutions Architect - Associate")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 t="inlineStr"/>
      <c r="L43" t="inlineStr"/>
      <c r="M43" t="inlineStr"/>
      <c r="N43" t="inlineStr"/>
      <c r="O43">
        <f>HYPERLINK("https://app.clickup.com/t/869ab9g7u", "[certification] AWS Data Engineer - Associate")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 t="inlineStr"/>
      <c r="L44" t="inlineStr"/>
      <c r="M44" t="inlineStr"/>
      <c r="N44" t="inlineStr"/>
      <c r="O44">
        <f>HYPERLINK("https://app.clickup.com/t/86931cq82", "[certification] Alteryx")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 t="inlineStr"/>
      <c r="L45" t="inlineStr"/>
      <c r="M45" t="inlineStr"/>
      <c r="N45" t="inlineStr"/>
      <c r="O45">
        <f>HYPERLINK("https://app.clickup.com/t/8698cw2xw", "[discovery invest - dw maintenance] Productionise")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 t="inlineStr"/>
      <c r="L46" t="inlineStr"/>
      <c r="M46" t="inlineStr"/>
      <c r="N46" t="inlineStr"/>
      <c r="O46">
        <f>HYPERLINK("https://app.clickup.com/t/8698cw2xj", "[discovery invest - dw maintenance] Fix reports to desired state")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>
        <f>HYPERLINK("https://app.clickup.com/t/8696twxhf", "[discovery invest - dw maintenance] Handover of All reports")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HYPERLINK("https://app.clickup.com/t/869b6v0gh", "[om: fatca 2.0 design implementation project (jira tasks)] CDC-2562 Develop a Foreigners List dashboard")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HYPERLINK("https://app.clickup.com/t/869ax6j44", "[om: fatca 2.0 design implementation project (jira tasks)] Titanium Reports")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HYPERLINK("https://app.clickup.com/t/869ax6j0z", "[om: fatca 2.0 design implementation project (jira tasks)] CDC-3034-aws-s3-bucket-investigation")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HYPERLINK("https://app.clickup.com/t/869avjm5f", "[om: fatca 2.0 design implementation project (jira tasks)] CBR Quarterly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HYPERLINK("https://app.clickup.com/t/869auvvmp", "[om: fatca 2.0 design implementation project (jira tasks)] Advisor Recon Report Manual Run")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HYPERLINK("https://app.clickup.com/t/869arkz3a", "[om: fatca 2.0 design implementation project (jira tasks)] CDC-2914 Create Test Cases Cura Reg Change (Framework) Dashboard")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HYPERLINK("https://app.clickup.com/t/869am7mt7", "[om: fatca 2.0 design implementation project (jira tasks)] CDC-2913 Cura Reg Change Dashboard Modifications")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HYPERLINK("https://app.clickup.com/t/869bu295j", "[wonga: data warehouse development &amp; migration onto snowflake project] Schedule runs")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HYPERLINK("https://app.clickup.com/t/869brav56", "[wonga: data warehouse development &amp; migration onto snowflake project] ODS Mapping Document")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HYPERLINK("https://app.clickup.com/t/869bpfgwx", "[wonga: data warehouse development &amp; migration onto snowflake project] Validation of Outputs")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HYPERLINK("https://app.clickup.com/t/869b9t7yd", "[wonga: data warehouse development &amp; migration onto snowflake project] PowerBI Documentation for reporting")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HYPERLINK("https://app.clickup.com/t/869arp3f6", "[wonga: data warehouse development &amp; migration onto snowflake project] PowerBI - Financial Reports (DWH)")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HYPERLINK("https://app.clickup.com/t/869aq4tr8", "[wonga: data warehouse development &amp; migration onto snowflake project] PowerBI - Operational Reports")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HYPERLINK("https://app.clickup.com/t/869a0btaq", "[wonga: data warehouse development &amp; migration onto snowflake project] Physical model design Sign-Off")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2026-01-27T14:38:21Z</dcterms:created>
  <dcterms:modified xsi:type="dcterms:W3CDTF">2026-01-27T14:43:03Z</dcterms:modified>
</cp:coreProperties>
</file>