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slipstreamconsulting-my.sharepoint.com/personal/thando_calana_slipstreamdata_co_za/Documents/Documents/Slipstream/resource_scheduling/Schedule/"/>
    </mc:Choice>
  </mc:AlternateContent>
  <xr:revisionPtr revIDLastSave="1" documentId="11_C2787503AB3A1AE8E6D354980EB092FD4CE9D196" xr6:coauthVersionLast="47" xr6:coauthVersionMax="47" xr10:uidLastSave="{C20A4762-CE60-4513-A915-766352BEF9AD}"/>
  <bookViews>
    <workbookView xWindow="28680" yWindow="-120" windowWidth="29040" windowHeight="15720" xr2:uid="{00000000-000D-0000-FFFF-FFFF00000000}"/>
  </bookViews>
  <sheets>
    <sheet name="Sunday 2026-02-01" sheetId="1" r:id="rId1"/>
    <sheet name="Monday 2026-02-02" sheetId="2" r:id="rId2"/>
    <sheet name="Tuesday 2026-02-03" sheetId="3" r:id="rId3"/>
    <sheet name="Wednesday 2026-02-04" sheetId="4" r:id="rId4"/>
    <sheet name="Thursday 2026-02-05" sheetId="5" r:id="rId5"/>
    <sheet name="Friday 2026-02-06" sheetId="6" r:id="rId6"/>
    <sheet name="Saturday 2026-02-07" sheetId="7" r:id="rId7"/>
    <sheet name="Sunday 2026-02-08" sheetId="8" r:id="rId8"/>
    <sheet name="Monday 2026-02-09" sheetId="9" r:id="rId9"/>
    <sheet name="Tuesday 2026-02-10" sheetId="10" r:id="rId10"/>
    <sheet name="Wednesday 2026-02-11" sheetId="11" r:id="rId11"/>
    <sheet name="Thursday 2026-02-12" sheetId="12" r:id="rId12"/>
    <sheet name="Friday 2026-02-13" sheetId="13" r:id="rId13"/>
    <sheet name="Saturday 2026-02-14" sheetId="14" r:id="rId14"/>
    <sheet name="Sunday 2026-02-15" sheetId="15" r:id="rId15"/>
    <sheet name="Monday 2026-02-16" sheetId="16" r:id="rId16"/>
    <sheet name="Tuesday 2026-02-17" sheetId="17" r:id="rId17"/>
    <sheet name="Wednesday 2026-02-18" sheetId="18" r:id="rId18"/>
    <sheet name="Thursday 2026-02-19" sheetId="19" r:id="rId19"/>
    <sheet name="Friday 2026-02-20" sheetId="20" r:id="rId20"/>
    <sheet name="Saturday 2026-02-21" sheetId="21" r:id="rId21"/>
    <sheet name="Sunday 2026-02-22" sheetId="22" r:id="rId22"/>
    <sheet name="Monday 2026-02-23" sheetId="23" r:id="rId23"/>
    <sheet name="Tuesday 2026-02-24" sheetId="24" r:id="rId24"/>
    <sheet name="Wednesday 2026-02-25" sheetId="25" r:id="rId25"/>
    <sheet name="Thursday 2026-02-26" sheetId="26" r:id="rId26"/>
    <sheet name="Friday 2026-02-27" sheetId="27" r:id="rId27"/>
    <sheet name="Saturday 2026-02-28" sheetId="28" r:id="rId28"/>
    <sheet name="Sunday 2026-03-01" sheetId="29" r:id="rId29"/>
    <sheet name="Monday 2026-03-02" sheetId="30" r:id="rId30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2" i="30" l="1"/>
  <c r="R51" i="30"/>
  <c r="R50" i="30"/>
  <c r="R49" i="30"/>
  <c r="R48" i="30"/>
  <c r="R47" i="30"/>
  <c r="R46" i="30"/>
  <c r="R45" i="30"/>
  <c r="R44" i="30"/>
  <c r="R43" i="30"/>
  <c r="R42" i="30"/>
  <c r="R41" i="30"/>
  <c r="R40" i="30"/>
  <c r="O40" i="30"/>
  <c r="R39" i="30"/>
  <c r="O39" i="30"/>
  <c r="R38" i="30"/>
  <c r="O38" i="30"/>
  <c r="R37" i="30"/>
  <c r="O37" i="30"/>
  <c r="R36" i="30"/>
  <c r="K36" i="30"/>
  <c r="R35" i="30"/>
  <c r="O35" i="30"/>
  <c r="K35" i="30"/>
  <c r="R34" i="30"/>
  <c r="O34" i="30"/>
  <c r="K34" i="30"/>
  <c r="R33" i="30"/>
  <c r="O33" i="30"/>
  <c r="K33" i="30"/>
  <c r="F33" i="30"/>
  <c r="R32" i="30"/>
  <c r="O32" i="30"/>
  <c r="K32" i="30"/>
  <c r="J32" i="30"/>
  <c r="F32" i="30"/>
  <c r="C32" i="30"/>
  <c r="R31" i="30"/>
  <c r="O31" i="30"/>
  <c r="L31" i="30"/>
  <c r="K31" i="30"/>
  <c r="J31" i="30"/>
  <c r="F31" i="30"/>
  <c r="C31" i="30"/>
  <c r="B31" i="30"/>
  <c r="R30" i="30"/>
  <c r="O30" i="30"/>
  <c r="L30" i="30"/>
  <c r="K30" i="30"/>
  <c r="J30" i="30"/>
  <c r="H30" i="30"/>
  <c r="F30" i="30"/>
  <c r="C30" i="30"/>
  <c r="B30" i="30"/>
  <c r="R29" i="30"/>
  <c r="O29" i="30"/>
  <c r="L29" i="30"/>
  <c r="K29" i="30"/>
  <c r="J29" i="30"/>
  <c r="I29" i="30"/>
  <c r="H29" i="30"/>
  <c r="G29" i="30"/>
  <c r="F29" i="30"/>
  <c r="D29" i="30"/>
  <c r="C29" i="30"/>
  <c r="B29" i="30"/>
  <c r="R28" i="30"/>
  <c r="P28" i="30"/>
  <c r="O28" i="30"/>
  <c r="L28" i="30"/>
  <c r="K28" i="30"/>
  <c r="J28" i="30"/>
  <c r="I28" i="30"/>
  <c r="H28" i="30"/>
  <c r="G28" i="30"/>
  <c r="F28" i="30"/>
  <c r="D28" i="30"/>
  <c r="C28" i="30"/>
  <c r="B28" i="30"/>
  <c r="Q24" i="30"/>
  <c r="P24" i="30"/>
  <c r="O24" i="30"/>
  <c r="N24" i="30"/>
  <c r="M24" i="30"/>
  <c r="L24" i="30"/>
  <c r="K24" i="30"/>
  <c r="J24" i="30"/>
  <c r="I24" i="30"/>
  <c r="H24" i="30"/>
  <c r="G24" i="30"/>
  <c r="F24" i="30"/>
  <c r="E24" i="30"/>
  <c r="D24" i="30"/>
  <c r="C24" i="30"/>
  <c r="B24" i="30"/>
  <c r="R52" i="29"/>
  <c r="R51" i="29"/>
  <c r="R50" i="29"/>
  <c r="R49" i="29"/>
  <c r="R48" i="29"/>
  <c r="R47" i="29"/>
  <c r="R46" i="29"/>
  <c r="R45" i="29"/>
  <c r="R44" i="29"/>
  <c r="R43" i="29"/>
  <c r="R42" i="29"/>
  <c r="R41" i="29"/>
  <c r="R40" i="29"/>
  <c r="O40" i="29"/>
  <c r="R39" i="29"/>
  <c r="O39" i="29"/>
  <c r="R38" i="29"/>
  <c r="O38" i="29"/>
  <c r="R37" i="29"/>
  <c r="O37" i="29"/>
  <c r="R36" i="29"/>
  <c r="K36" i="29"/>
  <c r="R35" i="29"/>
  <c r="O35" i="29"/>
  <c r="K35" i="29"/>
  <c r="R34" i="29"/>
  <c r="O34" i="29"/>
  <c r="K34" i="29"/>
  <c r="R33" i="29"/>
  <c r="O33" i="29"/>
  <c r="K33" i="29"/>
  <c r="F33" i="29"/>
  <c r="R32" i="29"/>
  <c r="O32" i="29"/>
  <c r="K32" i="29"/>
  <c r="J32" i="29"/>
  <c r="F32" i="29"/>
  <c r="C32" i="29"/>
  <c r="R31" i="29"/>
  <c r="O31" i="29"/>
  <c r="L31" i="29"/>
  <c r="K31" i="29"/>
  <c r="J31" i="29"/>
  <c r="F31" i="29"/>
  <c r="C31" i="29"/>
  <c r="B31" i="29"/>
  <c r="R30" i="29"/>
  <c r="O30" i="29"/>
  <c r="L30" i="29"/>
  <c r="K30" i="29"/>
  <c r="J30" i="29"/>
  <c r="H30" i="29"/>
  <c r="F30" i="29"/>
  <c r="C30" i="29"/>
  <c r="B30" i="29"/>
  <c r="R29" i="29"/>
  <c r="O29" i="29"/>
  <c r="L29" i="29"/>
  <c r="K29" i="29"/>
  <c r="J29" i="29"/>
  <c r="I29" i="29"/>
  <c r="H29" i="29"/>
  <c r="G29" i="29"/>
  <c r="F29" i="29"/>
  <c r="D29" i="29"/>
  <c r="C29" i="29"/>
  <c r="B29" i="29"/>
  <c r="R28" i="29"/>
  <c r="P28" i="29"/>
  <c r="O28" i="29"/>
  <c r="L28" i="29"/>
  <c r="K28" i="29"/>
  <c r="J28" i="29"/>
  <c r="I28" i="29"/>
  <c r="H28" i="29"/>
  <c r="G28" i="29"/>
  <c r="F28" i="29"/>
  <c r="D28" i="29"/>
  <c r="C28" i="29"/>
  <c r="B28" i="29"/>
  <c r="Q24" i="29"/>
  <c r="P24" i="29"/>
  <c r="O24" i="29"/>
  <c r="N24" i="29"/>
  <c r="M24" i="29"/>
  <c r="L24" i="29"/>
  <c r="K24" i="29"/>
  <c r="J24" i="29"/>
  <c r="I24" i="29"/>
  <c r="H24" i="29"/>
  <c r="G24" i="29"/>
  <c r="F24" i="29"/>
  <c r="E24" i="29"/>
  <c r="D24" i="29"/>
  <c r="C24" i="29"/>
  <c r="B24" i="29"/>
  <c r="R52" i="28"/>
  <c r="R51" i="28"/>
  <c r="R50" i="28"/>
  <c r="R49" i="28"/>
  <c r="R48" i="28"/>
  <c r="R47" i="28"/>
  <c r="R46" i="28"/>
  <c r="R45" i="28"/>
  <c r="R44" i="28"/>
  <c r="R43" i="28"/>
  <c r="R42" i="28"/>
  <c r="R41" i="28"/>
  <c r="R40" i="28"/>
  <c r="O40" i="28"/>
  <c r="R39" i="28"/>
  <c r="O39" i="28"/>
  <c r="R38" i="28"/>
  <c r="O38" i="28"/>
  <c r="R37" i="28"/>
  <c r="O37" i="28"/>
  <c r="R36" i="28"/>
  <c r="K36" i="28"/>
  <c r="R35" i="28"/>
  <c r="O35" i="28"/>
  <c r="K35" i="28"/>
  <c r="R34" i="28"/>
  <c r="O34" i="28"/>
  <c r="K34" i="28"/>
  <c r="R33" i="28"/>
  <c r="O33" i="28"/>
  <c r="K33" i="28"/>
  <c r="F33" i="28"/>
  <c r="R32" i="28"/>
  <c r="O32" i="28"/>
  <c r="K32" i="28"/>
  <c r="J32" i="28"/>
  <c r="F32" i="28"/>
  <c r="C32" i="28"/>
  <c r="R31" i="28"/>
  <c r="O31" i="28"/>
  <c r="L31" i="28"/>
  <c r="K31" i="28"/>
  <c r="J31" i="28"/>
  <c r="F31" i="28"/>
  <c r="C31" i="28"/>
  <c r="B31" i="28"/>
  <c r="R30" i="28"/>
  <c r="O30" i="28"/>
  <c r="L30" i="28"/>
  <c r="K30" i="28"/>
  <c r="J30" i="28"/>
  <c r="H30" i="28"/>
  <c r="F30" i="28"/>
  <c r="C30" i="28"/>
  <c r="B30" i="28"/>
  <c r="R29" i="28"/>
  <c r="O29" i="28"/>
  <c r="L29" i="28"/>
  <c r="K29" i="28"/>
  <c r="J29" i="28"/>
  <c r="I29" i="28"/>
  <c r="H29" i="28"/>
  <c r="G29" i="28"/>
  <c r="F29" i="28"/>
  <c r="D29" i="28"/>
  <c r="C29" i="28"/>
  <c r="B29" i="28"/>
  <c r="R28" i="28"/>
  <c r="P28" i="28"/>
  <c r="O28" i="28"/>
  <c r="L28" i="28"/>
  <c r="K28" i="28"/>
  <c r="J28" i="28"/>
  <c r="I28" i="28"/>
  <c r="H28" i="28"/>
  <c r="G28" i="28"/>
  <c r="F28" i="28"/>
  <c r="D28" i="28"/>
  <c r="C28" i="28"/>
  <c r="B28" i="28"/>
  <c r="Q24" i="28"/>
  <c r="P24" i="28"/>
  <c r="O24" i="28"/>
  <c r="N24" i="28"/>
  <c r="M24" i="28"/>
  <c r="L24" i="28"/>
  <c r="K24" i="28"/>
  <c r="J24" i="28"/>
  <c r="I24" i="28"/>
  <c r="H24" i="28"/>
  <c r="G24" i="28"/>
  <c r="F24" i="28"/>
  <c r="E24" i="28"/>
  <c r="D24" i="28"/>
  <c r="C24" i="28"/>
  <c r="B24" i="28"/>
  <c r="R52" i="27"/>
  <c r="R51" i="27"/>
  <c r="R50" i="27"/>
  <c r="R49" i="27"/>
  <c r="R48" i="27"/>
  <c r="R47" i="27"/>
  <c r="R46" i="27"/>
  <c r="R45" i="27"/>
  <c r="R44" i="27"/>
  <c r="R43" i="27"/>
  <c r="R42" i="27"/>
  <c r="R41" i="27"/>
  <c r="R40" i="27"/>
  <c r="O40" i="27"/>
  <c r="R39" i="27"/>
  <c r="O39" i="27"/>
  <c r="R38" i="27"/>
  <c r="O38" i="27"/>
  <c r="R37" i="27"/>
  <c r="O37" i="27"/>
  <c r="R36" i="27"/>
  <c r="K36" i="27"/>
  <c r="R35" i="27"/>
  <c r="O35" i="27"/>
  <c r="K35" i="27"/>
  <c r="R34" i="27"/>
  <c r="O34" i="27"/>
  <c r="K34" i="27"/>
  <c r="R33" i="27"/>
  <c r="O33" i="27"/>
  <c r="K33" i="27"/>
  <c r="F33" i="27"/>
  <c r="R32" i="27"/>
  <c r="O32" i="27"/>
  <c r="K32" i="27"/>
  <c r="J32" i="27"/>
  <c r="F32" i="27"/>
  <c r="C32" i="27"/>
  <c r="R31" i="27"/>
  <c r="O31" i="27"/>
  <c r="L31" i="27"/>
  <c r="K31" i="27"/>
  <c r="J31" i="27"/>
  <c r="F31" i="27"/>
  <c r="C31" i="27"/>
  <c r="B31" i="27"/>
  <c r="R30" i="27"/>
  <c r="O30" i="27"/>
  <c r="L30" i="27"/>
  <c r="K30" i="27"/>
  <c r="J30" i="27"/>
  <c r="H30" i="27"/>
  <c r="F30" i="27"/>
  <c r="C30" i="27"/>
  <c r="B30" i="27"/>
  <c r="R29" i="27"/>
  <c r="O29" i="27"/>
  <c r="L29" i="27"/>
  <c r="K29" i="27"/>
  <c r="J29" i="27"/>
  <c r="I29" i="27"/>
  <c r="H29" i="27"/>
  <c r="G29" i="27"/>
  <c r="F29" i="27"/>
  <c r="D29" i="27"/>
  <c r="C29" i="27"/>
  <c r="B29" i="27"/>
  <c r="R28" i="27"/>
  <c r="P28" i="27"/>
  <c r="O28" i="27"/>
  <c r="L28" i="27"/>
  <c r="K28" i="27"/>
  <c r="J28" i="27"/>
  <c r="I28" i="27"/>
  <c r="H28" i="27"/>
  <c r="G28" i="27"/>
  <c r="F28" i="27"/>
  <c r="D28" i="27"/>
  <c r="C28" i="27"/>
  <c r="B28" i="27"/>
  <c r="Q24" i="27"/>
  <c r="P24" i="27"/>
  <c r="O24" i="27"/>
  <c r="N24" i="27"/>
  <c r="M24" i="27"/>
  <c r="L24" i="27"/>
  <c r="K24" i="27"/>
  <c r="J24" i="27"/>
  <c r="I24" i="27"/>
  <c r="H24" i="27"/>
  <c r="G24" i="27"/>
  <c r="F24" i="27"/>
  <c r="E24" i="27"/>
  <c r="D24" i="27"/>
  <c r="C24" i="27"/>
  <c r="B24" i="27"/>
  <c r="R52" i="26"/>
  <c r="R51" i="26"/>
  <c r="R50" i="26"/>
  <c r="R49" i="26"/>
  <c r="R48" i="26"/>
  <c r="R47" i="26"/>
  <c r="R46" i="26"/>
  <c r="R45" i="26"/>
  <c r="R44" i="26"/>
  <c r="R43" i="26"/>
  <c r="R42" i="26"/>
  <c r="R41" i="26"/>
  <c r="R40" i="26"/>
  <c r="O40" i="26"/>
  <c r="R39" i="26"/>
  <c r="O39" i="26"/>
  <c r="R38" i="26"/>
  <c r="O38" i="26"/>
  <c r="R37" i="26"/>
  <c r="O37" i="26"/>
  <c r="R36" i="26"/>
  <c r="K36" i="26"/>
  <c r="R35" i="26"/>
  <c r="O35" i="26"/>
  <c r="K35" i="26"/>
  <c r="R34" i="26"/>
  <c r="O34" i="26"/>
  <c r="K34" i="26"/>
  <c r="R33" i="26"/>
  <c r="O33" i="26"/>
  <c r="K33" i="26"/>
  <c r="F33" i="26"/>
  <c r="R32" i="26"/>
  <c r="O32" i="26"/>
  <c r="K32" i="26"/>
  <c r="J32" i="26"/>
  <c r="F32" i="26"/>
  <c r="C32" i="26"/>
  <c r="R31" i="26"/>
  <c r="O31" i="26"/>
  <c r="L31" i="26"/>
  <c r="K31" i="26"/>
  <c r="J31" i="26"/>
  <c r="F31" i="26"/>
  <c r="C31" i="26"/>
  <c r="B31" i="26"/>
  <c r="R30" i="26"/>
  <c r="O30" i="26"/>
  <c r="L30" i="26"/>
  <c r="K30" i="26"/>
  <c r="J30" i="26"/>
  <c r="H30" i="26"/>
  <c r="F30" i="26"/>
  <c r="C30" i="26"/>
  <c r="B30" i="26"/>
  <c r="R29" i="26"/>
  <c r="O29" i="26"/>
  <c r="L29" i="26"/>
  <c r="K29" i="26"/>
  <c r="J29" i="26"/>
  <c r="I29" i="26"/>
  <c r="H29" i="26"/>
  <c r="G29" i="26"/>
  <c r="F29" i="26"/>
  <c r="D29" i="26"/>
  <c r="C29" i="26"/>
  <c r="B29" i="26"/>
  <c r="R28" i="26"/>
  <c r="P28" i="26"/>
  <c r="O28" i="26"/>
  <c r="L28" i="26"/>
  <c r="K28" i="26"/>
  <c r="J28" i="26"/>
  <c r="I28" i="26"/>
  <c r="H28" i="26"/>
  <c r="G28" i="26"/>
  <c r="F28" i="26"/>
  <c r="D28" i="26"/>
  <c r="C28" i="26"/>
  <c r="B28" i="26"/>
  <c r="Q24" i="26"/>
  <c r="P24" i="26"/>
  <c r="O24" i="26"/>
  <c r="N24" i="26"/>
  <c r="M24" i="26"/>
  <c r="L24" i="26"/>
  <c r="K24" i="26"/>
  <c r="J24" i="26"/>
  <c r="I24" i="26"/>
  <c r="H24" i="26"/>
  <c r="G24" i="26"/>
  <c r="F24" i="26"/>
  <c r="E24" i="26"/>
  <c r="D24" i="26"/>
  <c r="C24" i="26"/>
  <c r="B24" i="26"/>
  <c r="R52" i="25"/>
  <c r="R51" i="25"/>
  <c r="R50" i="25"/>
  <c r="R49" i="25"/>
  <c r="R48" i="25"/>
  <c r="R47" i="25"/>
  <c r="R46" i="25"/>
  <c r="R45" i="25"/>
  <c r="R44" i="25"/>
  <c r="R43" i="25"/>
  <c r="R42" i="25"/>
  <c r="R41" i="25"/>
  <c r="R40" i="25"/>
  <c r="O40" i="25"/>
  <c r="R39" i="25"/>
  <c r="O39" i="25"/>
  <c r="R38" i="25"/>
  <c r="O38" i="25"/>
  <c r="R37" i="25"/>
  <c r="O37" i="25"/>
  <c r="R36" i="25"/>
  <c r="K36" i="25"/>
  <c r="R35" i="25"/>
  <c r="O35" i="25"/>
  <c r="K35" i="25"/>
  <c r="R34" i="25"/>
  <c r="O34" i="25"/>
  <c r="K34" i="25"/>
  <c r="R33" i="25"/>
  <c r="O33" i="25"/>
  <c r="K33" i="25"/>
  <c r="F33" i="25"/>
  <c r="R32" i="25"/>
  <c r="O32" i="25"/>
  <c r="K32" i="25"/>
  <c r="J32" i="25"/>
  <c r="F32" i="25"/>
  <c r="C32" i="25"/>
  <c r="R31" i="25"/>
  <c r="O31" i="25"/>
  <c r="L31" i="25"/>
  <c r="K31" i="25"/>
  <c r="J31" i="25"/>
  <c r="F31" i="25"/>
  <c r="C31" i="25"/>
  <c r="B31" i="25"/>
  <c r="R30" i="25"/>
  <c r="O30" i="25"/>
  <c r="L30" i="25"/>
  <c r="K30" i="25"/>
  <c r="J30" i="25"/>
  <c r="H30" i="25"/>
  <c r="F30" i="25"/>
  <c r="C30" i="25"/>
  <c r="B30" i="25"/>
  <c r="R29" i="25"/>
  <c r="O29" i="25"/>
  <c r="L29" i="25"/>
  <c r="K29" i="25"/>
  <c r="J29" i="25"/>
  <c r="I29" i="25"/>
  <c r="H29" i="25"/>
  <c r="G29" i="25"/>
  <c r="F29" i="25"/>
  <c r="D29" i="25"/>
  <c r="C29" i="25"/>
  <c r="B29" i="25"/>
  <c r="R28" i="25"/>
  <c r="P28" i="25"/>
  <c r="O28" i="25"/>
  <c r="L28" i="25"/>
  <c r="K28" i="25"/>
  <c r="J28" i="25"/>
  <c r="I28" i="25"/>
  <c r="H28" i="25"/>
  <c r="G28" i="25"/>
  <c r="F28" i="25"/>
  <c r="D28" i="25"/>
  <c r="C28" i="25"/>
  <c r="B28" i="25"/>
  <c r="Q24" i="25"/>
  <c r="P24" i="25"/>
  <c r="O24" i="25"/>
  <c r="N24" i="25"/>
  <c r="M24" i="25"/>
  <c r="L24" i="25"/>
  <c r="K24" i="25"/>
  <c r="J24" i="25"/>
  <c r="I24" i="25"/>
  <c r="H24" i="25"/>
  <c r="G24" i="25"/>
  <c r="F24" i="25"/>
  <c r="E24" i="25"/>
  <c r="D24" i="25"/>
  <c r="C24" i="25"/>
  <c r="B24" i="25"/>
  <c r="R52" i="24"/>
  <c r="R51" i="24"/>
  <c r="R50" i="24"/>
  <c r="R49" i="24"/>
  <c r="R48" i="24"/>
  <c r="R47" i="24"/>
  <c r="R46" i="24"/>
  <c r="R45" i="24"/>
  <c r="R44" i="24"/>
  <c r="R43" i="24"/>
  <c r="R42" i="24"/>
  <c r="R41" i="24"/>
  <c r="R40" i="24"/>
  <c r="O40" i="24"/>
  <c r="R39" i="24"/>
  <c r="O39" i="24"/>
  <c r="R38" i="24"/>
  <c r="O38" i="24"/>
  <c r="R37" i="24"/>
  <c r="O37" i="24"/>
  <c r="R36" i="24"/>
  <c r="K36" i="24"/>
  <c r="R35" i="24"/>
  <c r="O35" i="24"/>
  <c r="K35" i="24"/>
  <c r="R34" i="24"/>
  <c r="O34" i="24"/>
  <c r="K34" i="24"/>
  <c r="R33" i="24"/>
  <c r="O33" i="24"/>
  <c r="K33" i="24"/>
  <c r="F33" i="24"/>
  <c r="R32" i="24"/>
  <c r="O32" i="24"/>
  <c r="K32" i="24"/>
  <c r="J32" i="24"/>
  <c r="F32" i="24"/>
  <c r="C32" i="24"/>
  <c r="R31" i="24"/>
  <c r="O31" i="24"/>
  <c r="L31" i="24"/>
  <c r="K31" i="24"/>
  <c r="J31" i="24"/>
  <c r="F31" i="24"/>
  <c r="C31" i="24"/>
  <c r="B31" i="24"/>
  <c r="R30" i="24"/>
  <c r="O30" i="24"/>
  <c r="L30" i="24"/>
  <c r="K30" i="24"/>
  <c r="J30" i="24"/>
  <c r="H30" i="24"/>
  <c r="F30" i="24"/>
  <c r="C30" i="24"/>
  <c r="B30" i="24"/>
  <c r="R29" i="24"/>
  <c r="O29" i="24"/>
  <c r="L29" i="24"/>
  <c r="K29" i="24"/>
  <c r="J29" i="24"/>
  <c r="I29" i="24"/>
  <c r="H29" i="24"/>
  <c r="G29" i="24"/>
  <c r="F29" i="24"/>
  <c r="D29" i="24"/>
  <c r="C29" i="24"/>
  <c r="B29" i="24"/>
  <c r="R28" i="24"/>
  <c r="P28" i="24"/>
  <c r="O28" i="24"/>
  <c r="L28" i="24"/>
  <c r="K28" i="24"/>
  <c r="J28" i="24"/>
  <c r="I28" i="24"/>
  <c r="H28" i="24"/>
  <c r="G28" i="24"/>
  <c r="F28" i="24"/>
  <c r="D28" i="24"/>
  <c r="C28" i="24"/>
  <c r="B28" i="24"/>
  <c r="Q24" i="24"/>
  <c r="P24" i="24"/>
  <c r="O24" i="24"/>
  <c r="N24" i="24"/>
  <c r="M24" i="24"/>
  <c r="L24" i="24"/>
  <c r="K24" i="24"/>
  <c r="J24" i="24"/>
  <c r="I24" i="24"/>
  <c r="H24" i="24"/>
  <c r="G24" i="24"/>
  <c r="F24" i="24"/>
  <c r="E24" i="24"/>
  <c r="D24" i="24"/>
  <c r="C24" i="24"/>
  <c r="B24" i="24"/>
  <c r="R52" i="23"/>
  <c r="R51" i="23"/>
  <c r="R50" i="23"/>
  <c r="R49" i="23"/>
  <c r="R48" i="23"/>
  <c r="R47" i="23"/>
  <c r="R46" i="23"/>
  <c r="R45" i="23"/>
  <c r="R44" i="23"/>
  <c r="R43" i="23"/>
  <c r="R42" i="23"/>
  <c r="R41" i="23"/>
  <c r="R40" i="23"/>
  <c r="O40" i="23"/>
  <c r="R39" i="23"/>
  <c r="O39" i="23"/>
  <c r="R38" i="23"/>
  <c r="O38" i="23"/>
  <c r="R37" i="23"/>
  <c r="O37" i="23"/>
  <c r="R36" i="23"/>
  <c r="K36" i="23"/>
  <c r="R35" i="23"/>
  <c r="O35" i="23"/>
  <c r="K35" i="23"/>
  <c r="R34" i="23"/>
  <c r="O34" i="23"/>
  <c r="K34" i="23"/>
  <c r="R33" i="23"/>
  <c r="O33" i="23"/>
  <c r="K33" i="23"/>
  <c r="F33" i="23"/>
  <c r="R32" i="23"/>
  <c r="O32" i="23"/>
  <c r="K32" i="23"/>
  <c r="J32" i="23"/>
  <c r="F32" i="23"/>
  <c r="C32" i="23"/>
  <c r="R31" i="23"/>
  <c r="O31" i="23"/>
  <c r="L31" i="23"/>
  <c r="K31" i="23"/>
  <c r="J31" i="23"/>
  <c r="F31" i="23"/>
  <c r="C31" i="23"/>
  <c r="B31" i="23"/>
  <c r="R30" i="23"/>
  <c r="O30" i="23"/>
  <c r="L30" i="23"/>
  <c r="K30" i="23"/>
  <c r="J30" i="23"/>
  <c r="H30" i="23"/>
  <c r="F30" i="23"/>
  <c r="C30" i="23"/>
  <c r="B30" i="23"/>
  <c r="R29" i="23"/>
  <c r="O29" i="23"/>
  <c r="L29" i="23"/>
  <c r="K29" i="23"/>
  <c r="J29" i="23"/>
  <c r="I29" i="23"/>
  <c r="H29" i="23"/>
  <c r="G29" i="23"/>
  <c r="F29" i="23"/>
  <c r="D29" i="23"/>
  <c r="C29" i="23"/>
  <c r="B29" i="23"/>
  <c r="R28" i="23"/>
  <c r="P28" i="23"/>
  <c r="O28" i="23"/>
  <c r="L28" i="23"/>
  <c r="K28" i="23"/>
  <c r="J28" i="23"/>
  <c r="I28" i="23"/>
  <c r="H28" i="23"/>
  <c r="G28" i="23"/>
  <c r="F28" i="23"/>
  <c r="D28" i="23"/>
  <c r="C28" i="23"/>
  <c r="B28" i="23"/>
  <c r="Q24" i="23"/>
  <c r="P24" i="23"/>
  <c r="O24" i="23"/>
  <c r="N24" i="23"/>
  <c r="M24" i="23"/>
  <c r="L24" i="23"/>
  <c r="K24" i="23"/>
  <c r="J24" i="23"/>
  <c r="I24" i="23"/>
  <c r="H24" i="23"/>
  <c r="G24" i="23"/>
  <c r="F24" i="23"/>
  <c r="E24" i="23"/>
  <c r="D24" i="23"/>
  <c r="C24" i="23"/>
  <c r="B24" i="23"/>
  <c r="R52" i="22"/>
  <c r="R51" i="22"/>
  <c r="R50" i="22"/>
  <c r="R49" i="22"/>
  <c r="R48" i="22"/>
  <c r="R47" i="22"/>
  <c r="R46" i="22"/>
  <c r="R45" i="22"/>
  <c r="R44" i="22"/>
  <c r="R43" i="22"/>
  <c r="R42" i="22"/>
  <c r="R41" i="22"/>
  <c r="R40" i="22"/>
  <c r="O40" i="22"/>
  <c r="R39" i="22"/>
  <c r="O39" i="22"/>
  <c r="R38" i="22"/>
  <c r="O38" i="22"/>
  <c r="R37" i="22"/>
  <c r="O37" i="22"/>
  <c r="R36" i="22"/>
  <c r="K36" i="22"/>
  <c r="R35" i="22"/>
  <c r="O35" i="22"/>
  <c r="K35" i="22"/>
  <c r="R34" i="22"/>
  <c r="O34" i="22"/>
  <c r="K34" i="22"/>
  <c r="R33" i="22"/>
  <c r="O33" i="22"/>
  <c r="K33" i="22"/>
  <c r="F33" i="22"/>
  <c r="R32" i="22"/>
  <c r="O32" i="22"/>
  <c r="K32" i="22"/>
  <c r="J32" i="22"/>
  <c r="F32" i="22"/>
  <c r="C32" i="22"/>
  <c r="R31" i="22"/>
  <c r="O31" i="22"/>
  <c r="L31" i="22"/>
  <c r="K31" i="22"/>
  <c r="J31" i="22"/>
  <c r="F31" i="22"/>
  <c r="C31" i="22"/>
  <c r="B31" i="22"/>
  <c r="R30" i="22"/>
  <c r="O30" i="22"/>
  <c r="L30" i="22"/>
  <c r="K30" i="22"/>
  <c r="J30" i="22"/>
  <c r="H30" i="22"/>
  <c r="F30" i="22"/>
  <c r="C30" i="22"/>
  <c r="B30" i="22"/>
  <c r="R29" i="22"/>
  <c r="O29" i="22"/>
  <c r="L29" i="22"/>
  <c r="K29" i="22"/>
  <c r="J29" i="22"/>
  <c r="I29" i="22"/>
  <c r="H29" i="22"/>
  <c r="G29" i="22"/>
  <c r="F29" i="22"/>
  <c r="D29" i="22"/>
  <c r="C29" i="22"/>
  <c r="B29" i="22"/>
  <c r="R28" i="22"/>
  <c r="P28" i="22"/>
  <c r="O28" i="22"/>
  <c r="L28" i="22"/>
  <c r="K28" i="22"/>
  <c r="J28" i="22"/>
  <c r="I28" i="22"/>
  <c r="H28" i="22"/>
  <c r="G28" i="22"/>
  <c r="F28" i="22"/>
  <c r="D28" i="22"/>
  <c r="C28" i="22"/>
  <c r="B28" i="22"/>
  <c r="Q24" i="22"/>
  <c r="P24" i="22"/>
  <c r="O24" i="22"/>
  <c r="N24" i="22"/>
  <c r="M24" i="22"/>
  <c r="L24" i="22"/>
  <c r="K24" i="22"/>
  <c r="J24" i="22"/>
  <c r="I24" i="22"/>
  <c r="H24" i="22"/>
  <c r="G24" i="22"/>
  <c r="F24" i="22"/>
  <c r="E24" i="22"/>
  <c r="D24" i="22"/>
  <c r="C24" i="22"/>
  <c r="B24" i="22"/>
  <c r="R52" i="21"/>
  <c r="R51" i="21"/>
  <c r="R50" i="21"/>
  <c r="R49" i="21"/>
  <c r="R48" i="21"/>
  <c r="R47" i="21"/>
  <c r="R46" i="21"/>
  <c r="R45" i="21"/>
  <c r="R44" i="21"/>
  <c r="R43" i="21"/>
  <c r="R42" i="21"/>
  <c r="R41" i="21"/>
  <c r="R40" i="21"/>
  <c r="O40" i="21"/>
  <c r="R39" i="21"/>
  <c r="O39" i="21"/>
  <c r="R38" i="21"/>
  <c r="O38" i="21"/>
  <c r="R37" i="21"/>
  <c r="O37" i="21"/>
  <c r="R36" i="21"/>
  <c r="K36" i="21"/>
  <c r="R35" i="21"/>
  <c r="O35" i="21"/>
  <c r="K35" i="21"/>
  <c r="R34" i="21"/>
  <c r="O34" i="21"/>
  <c r="K34" i="21"/>
  <c r="R33" i="21"/>
  <c r="O33" i="21"/>
  <c r="K33" i="21"/>
  <c r="F33" i="21"/>
  <c r="R32" i="21"/>
  <c r="O32" i="21"/>
  <c r="K32" i="21"/>
  <c r="J32" i="21"/>
  <c r="F32" i="21"/>
  <c r="C32" i="21"/>
  <c r="R31" i="21"/>
  <c r="O31" i="21"/>
  <c r="L31" i="21"/>
  <c r="K31" i="21"/>
  <c r="J31" i="21"/>
  <c r="F31" i="21"/>
  <c r="C31" i="21"/>
  <c r="B31" i="21"/>
  <c r="R30" i="21"/>
  <c r="O30" i="21"/>
  <c r="L30" i="21"/>
  <c r="K30" i="21"/>
  <c r="J30" i="21"/>
  <c r="H30" i="21"/>
  <c r="F30" i="21"/>
  <c r="C30" i="21"/>
  <c r="B30" i="21"/>
  <c r="R29" i="21"/>
  <c r="O29" i="21"/>
  <c r="L29" i="21"/>
  <c r="K29" i="21"/>
  <c r="J29" i="21"/>
  <c r="I29" i="21"/>
  <c r="H29" i="21"/>
  <c r="G29" i="21"/>
  <c r="F29" i="21"/>
  <c r="D29" i="21"/>
  <c r="C29" i="21"/>
  <c r="B29" i="21"/>
  <c r="R28" i="21"/>
  <c r="P28" i="21"/>
  <c r="O28" i="21"/>
  <c r="L28" i="21"/>
  <c r="K28" i="21"/>
  <c r="J28" i="21"/>
  <c r="I28" i="21"/>
  <c r="H28" i="21"/>
  <c r="G28" i="21"/>
  <c r="F28" i="21"/>
  <c r="D28" i="21"/>
  <c r="C28" i="21"/>
  <c r="B28" i="21"/>
  <c r="Q24" i="21"/>
  <c r="P24" i="21"/>
  <c r="O24" i="21"/>
  <c r="N24" i="21"/>
  <c r="M24" i="21"/>
  <c r="L24" i="21"/>
  <c r="K24" i="21"/>
  <c r="J24" i="21"/>
  <c r="I24" i="21"/>
  <c r="H24" i="21"/>
  <c r="G24" i="21"/>
  <c r="F24" i="21"/>
  <c r="E24" i="21"/>
  <c r="D24" i="21"/>
  <c r="C24" i="21"/>
  <c r="B24" i="21"/>
  <c r="R52" i="20"/>
  <c r="R51" i="20"/>
  <c r="R50" i="20"/>
  <c r="R49" i="20"/>
  <c r="R48" i="20"/>
  <c r="R47" i="20"/>
  <c r="R46" i="20"/>
  <c r="R45" i="20"/>
  <c r="R44" i="20"/>
  <c r="R43" i="20"/>
  <c r="R42" i="20"/>
  <c r="R41" i="20"/>
  <c r="R40" i="20"/>
  <c r="O40" i="20"/>
  <c r="R39" i="20"/>
  <c r="O39" i="20"/>
  <c r="R38" i="20"/>
  <c r="O38" i="20"/>
  <c r="R37" i="20"/>
  <c r="O37" i="20"/>
  <c r="R36" i="20"/>
  <c r="K36" i="20"/>
  <c r="R35" i="20"/>
  <c r="O35" i="20"/>
  <c r="K35" i="20"/>
  <c r="R34" i="20"/>
  <c r="O34" i="20"/>
  <c r="K34" i="20"/>
  <c r="R33" i="20"/>
  <c r="O33" i="20"/>
  <c r="K33" i="20"/>
  <c r="F33" i="20"/>
  <c r="R32" i="20"/>
  <c r="O32" i="20"/>
  <c r="K32" i="20"/>
  <c r="J32" i="20"/>
  <c r="F32" i="20"/>
  <c r="C32" i="20"/>
  <c r="R31" i="20"/>
  <c r="O31" i="20"/>
  <c r="L31" i="20"/>
  <c r="K31" i="20"/>
  <c r="J31" i="20"/>
  <c r="F31" i="20"/>
  <c r="C31" i="20"/>
  <c r="B31" i="20"/>
  <c r="R30" i="20"/>
  <c r="O30" i="20"/>
  <c r="L30" i="20"/>
  <c r="K30" i="20"/>
  <c r="J30" i="20"/>
  <c r="H30" i="20"/>
  <c r="F30" i="20"/>
  <c r="C30" i="20"/>
  <c r="B30" i="20"/>
  <c r="R29" i="20"/>
  <c r="O29" i="20"/>
  <c r="L29" i="20"/>
  <c r="K29" i="20"/>
  <c r="J29" i="20"/>
  <c r="I29" i="20"/>
  <c r="H29" i="20"/>
  <c r="G29" i="20"/>
  <c r="F29" i="20"/>
  <c r="D29" i="20"/>
  <c r="C29" i="20"/>
  <c r="B29" i="20"/>
  <c r="R28" i="20"/>
  <c r="P28" i="20"/>
  <c r="O28" i="20"/>
  <c r="L28" i="20"/>
  <c r="K28" i="20"/>
  <c r="J28" i="20"/>
  <c r="I28" i="20"/>
  <c r="H28" i="20"/>
  <c r="G28" i="20"/>
  <c r="F28" i="20"/>
  <c r="D28" i="20"/>
  <c r="C28" i="20"/>
  <c r="B28" i="20"/>
  <c r="Q24" i="20"/>
  <c r="P24" i="20"/>
  <c r="O24" i="20"/>
  <c r="N24" i="20"/>
  <c r="M24" i="20"/>
  <c r="L24" i="20"/>
  <c r="K24" i="20"/>
  <c r="J24" i="20"/>
  <c r="I24" i="20"/>
  <c r="H24" i="20"/>
  <c r="G24" i="20"/>
  <c r="F24" i="20"/>
  <c r="E24" i="20"/>
  <c r="D24" i="20"/>
  <c r="C24" i="20"/>
  <c r="B24" i="20"/>
  <c r="R52" i="19"/>
  <c r="R51" i="19"/>
  <c r="R50" i="19"/>
  <c r="R49" i="19"/>
  <c r="R48" i="19"/>
  <c r="R47" i="19"/>
  <c r="R46" i="19"/>
  <c r="R45" i="19"/>
  <c r="R44" i="19"/>
  <c r="R43" i="19"/>
  <c r="R42" i="19"/>
  <c r="R41" i="19"/>
  <c r="R40" i="19"/>
  <c r="O40" i="19"/>
  <c r="R39" i="19"/>
  <c r="O39" i="19"/>
  <c r="R38" i="19"/>
  <c r="O38" i="19"/>
  <c r="R37" i="19"/>
  <c r="O37" i="19"/>
  <c r="R36" i="19"/>
  <c r="K36" i="19"/>
  <c r="R35" i="19"/>
  <c r="O35" i="19"/>
  <c r="K35" i="19"/>
  <c r="R34" i="19"/>
  <c r="O34" i="19"/>
  <c r="K34" i="19"/>
  <c r="R33" i="19"/>
  <c r="O33" i="19"/>
  <c r="K33" i="19"/>
  <c r="F33" i="19"/>
  <c r="R32" i="19"/>
  <c r="O32" i="19"/>
  <c r="K32" i="19"/>
  <c r="J32" i="19"/>
  <c r="F32" i="19"/>
  <c r="C32" i="19"/>
  <c r="R31" i="19"/>
  <c r="O31" i="19"/>
  <c r="L31" i="19"/>
  <c r="K31" i="19"/>
  <c r="J31" i="19"/>
  <c r="F31" i="19"/>
  <c r="C31" i="19"/>
  <c r="B31" i="19"/>
  <c r="R30" i="19"/>
  <c r="O30" i="19"/>
  <c r="L30" i="19"/>
  <c r="K30" i="19"/>
  <c r="J30" i="19"/>
  <c r="H30" i="19"/>
  <c r="F30" i="19"/>
  <c r="C30" i="19"/>
  <c r="B30" i="19"/>
  <c r="R29" i="19"/>
  <c r="O29" i="19"/>
  <c r="L29" i="19"/>
  <c r="K29" i="19"/>
  <c r="J29" i="19"/>
  <c r="I29" i="19"/>
  <c r="H29" i="19"/>
  <c r="G29" i="19"/>
  <c r="F29" i="19"/>
  <c r="D29" i="19"/>
  <c r="C29" i="19"/>
  <c r="B29" i="19"/>
  <c r="R28" i="19"/>
  <c r="P28" i="19"/>
  <c r="O28" i="19"/>
  <c r="L28" i="19"/>
  <c r="K28" i="19"/>
  <c r="J28" i="19"/>
  <c r="I28" i="19"/>
  <c r="H28" i="19"/>
  <c r="G28" i="19"/>
  <c r="F28" i="19"/>
  <c r="D28" i="19"/>
  <c r="C28" i="19"/>
  <c r="B28" i="19"/>
  <c r="Q24" i="19"/>
  <c r="P24" i="19"/>
  <c r="O24" i="19"/>
  <c r="N24" i="19"/>
  <c r="M24" i="19"/>
  <c r="L24" i="19"/>
  <c r="K24" i="19"/>
  <c r="J24" i="19"/>
  <c r="I24" i="19"/>
  <c r="H24" i="19"/>
  <c r="G24" i="19"/>
  <c r="F24" i="19"/>
  <c r="E24" i="19"/>
  <c r="D24" i="19"/>
  <c r="C24" i="19"/>
  <c r="B24" i="19"/>
  <c r="R52" i="18"/>
  <c r="R51" i="18"/>
  <c r="R50" i="18"/>
  <c r="R49" i="18"/>
  <c r="R48" i="18"/>
  <c r="R47" i="18"/>
  <c r="R46" i="18"/>
  <c r="R45" i="18"/>
  <c r="R44" i="18"/>
  <c r="R43" i="18"/>
  <c r="R42" i="18"/>
  <c r="R41" i="18"/>
  <c r="R40" i="18"/>
  <c r="O40" i="18"/>
  <c r="R39" i="18"/>
  <c r="O39" i="18"/>
  <c r="R38" i="18"/>
  <c r="O38" i="18"/>
  <c r="R37" i="18"/>
  <c r="O37" i="18"/>
  <c r="R36" i="18"/>
  <c r="K36" i="18"/>
  <c r="R35" i="18"/>
  <c r="O35" i="18"/>
  <c r="K35" i="18"/>
  <c r="R34" i="18"/>
  <c r="O34" i="18"/>
  <c r="K34" i="18"/>
  <c r="R33" i="18"/>
  <c r="O33" i="18"/>
  <c r="K33" i="18"/>
  <c r="F33" i="18"/>
  <c r="R32" i="18"/>
  <c r="O32" i="18"/>
  <c r="K32" i="18"/>
  <c r="J32" i="18"/>
  <c r="F32" i="18"/>
  <c r="C32" i="18"/>
  <c r="R31" i="18"/>
  <c r="O31" i="18"/>
  <c r="L31" i="18"/>
  <c r="K31" i="18"/>
  <c r="J31" i="18"/>
  <c r="F31" i="18"/>
  <c r="C31" i="18"/>
  <c r="B31" i="18"/>
  <c r="R30" i="18"/>
  <c r="O30" i="18"/>
  <c r="L30" i="18"/>
  <c r="K30" i="18"/>
  <c r="J30" i="18"/>
  <c r="H30" i="18"/>
  <c r="F30" i="18"/>
  <c r="C30" i="18"/>
  <c r="B30" i="18"/>
  <c r="R29" i="18"/>
  <c r="O29" i="18"/>
  <c r="L29" i="18"/>
  <c r="K29" i="18"/>
  <c r="J29" i="18"/>
  <c r="I29" i="18"/>
  <c r="H29" i="18"/>
  <c r="G29" i="18"/>
  <c r="F29" i="18"/>
  <c r="D29" i="18"/>
  <c r="C29" i="18"/>
  <c r="B29" i="18"/>
  <c r="R28" i="18"/>
  <c r="P28" i="18"/>
  <c r="O28" i="18"/>
  <c r="L28" i="18"/>
  <c r="K28" i="18"/>
  <c r="J28" i="18"/>
  <c r="I28" i="18"/>
  <c r="H28" i="18"/>
  <c r="G28" i="18"/>
  <c r="F28" i="18"/>
  <c r="D28" i="18"/>
  <c r="C28" i="18"/>
  <c r="B28" i="18"/>
  <c r="Q24" i="18"/>
  <c r="P24" i="18"/>
  <c r="O24" i="18"/>
  <c r="N24" i="18"/>
  <c r="M24" i="18"/>
  <c r="L24" i="18"/>
  <c r="K24" i="18"/>
  <c r="J24" i="18"/>
  <c r="I24" i="18"/>
  <c r="H24" i="18"/>
  <c r="G24" i="18"/>
  <c r="F24" i="18"/>
  <c r="E24" i="18"/>
  <c r="D24" i="18"/>
  <c r="C24" i="18"/>
  <c r="B24" i="18"/>
  <c r="R52" i="17"/>
  <c r="R51" i="17"/>
  <c r="R50" i="17"/>
  <c r="R49" i="17"/>
  <c r="R48" i="17"/>
  <c r="R47" i="17"/>
  <c r="R46" i="17"/>
  <c r="R45" i="17"/>
  <c r="R44" i="17"/>
  <c r="R43" i="17"/>
  <c r="R42" i="17"/>
  <c r="R41" i="17"/>
  <c r="R40" i="17"/>
  <c r="O40" i="17"/>
  <c r="R39" i="17"/>
  <c r="O39" i="17"/>
  <c r="R38" i="17"/>
  <c r="O38" i="17"/>
  <c r="R37" i="17"/>
  <c r="O37" i="17"/>
  <c r="R36" i="17"/>
  <c r="K36" i="17"/>
  <c r="R35" i="17"/>
  <c r="O35" i="17"/>
  <c r="K35" i="17"/>
  <c r="R34" i="17"/>
  <c r="O34" i="17"/>
  <c r="K34" i="17"/>
  <c r="R33" i="17"/>
  <c r="O33" i="17"/>
  <c r="K33" i="17"/>
  <c r="F33" i="17"/>
  <c r="R32" i="17"/>
  <c r="O32" i="17"/>
  <c r="K32" i="17"/>
  <c r="J32" i="17"/>
  <c r="F32" i="17"/>
  <c r="C32" i="17"/>
  <c r="R31" i="17"/>
  <c r="O31" i="17"/>
  <c r="L31" i="17"/>
  <c r="K31" i="17"/>
  <c r="J31" i="17"/>
  <c r="F31" i="17"/>
  <c r="C31" i="17"/>
  <c r="B31" i="17"/>
  <c r="R30" i="17"/>
  <c r="O30" i="17"/>
  <c r="L30" i="17"/>
  <c r="K30" i="17"/>
  <c r="J30" i="17"/>
  <c r="H30" i="17"/>
  <c r="F30" i="17"/>
  <c r="C30" i="17"/>
  <c r="B30" i="17"/>
  <c r="R29" i="17"/>
  <c r="O29" i="17"/>
  <c r="L29" i="17"/>
  <c r="K29" i="17"/>
  <c r="J29" i="17"/>
  <c r="I29" i="17"/>
  <c r="H29" i="17"/>
  <c r="G29" i="17"/>
  <c r="F29" i="17"/>
  <c r="D29" i="17"/>
  <c r="C29" i="17"/>
  <c r="B29" i="17"/>
  <c r="R28" i="17"/>
  <c r="P28" i="17"/>
  <c r="O28" i="17"/>
  <c r="L28" i="17"/>
  <c r="K28" i="17"/>
  <c r="J28" i="17"/>
  <c r="I28" i="17"/>
  <c r="H28" i="17"/>
  <c r="G28" i="17"/>
  <c r="F28" i="17"/>
  <c r="D28" i="17"/>
  <c r="C28" i="17"/>
  <c r="B28" i="17"/>
  <c r="Q24" i="17"/>
  <c r="P24" i="17"/>
  <c r="O24" i="17"/>
  <c r="N24" i="17"/>
  <c r="M24" i="17"/>
  <c r="L24" i="17"/>
  <c r="K24" i="17"/>
  <c r="J24" i="17"/>
  <c r="I24" i="17"/>
  <c r="H24" i="17"/>
  <c r="G24" i="17"/>
  <c r="F24" i="17"/>
  <c r="E24" i="17"/>
  <c r="D24" i="17"/>
  <c r="C24" i="17"/>
  <c r="B24" i="17"/>
  <c r="R52" i="16"/>
  <c r="R51" i="16"/>
  <c r="R50" i="16"/>
  <c r="R49" i="16"/>
  <c r="R48" i="16"/>
  <c r="R47" i="16"/>
  <c r="R46" i="16"/>
  <c r="R45" i="16"/>
  <c r="R44" i="16"/>
  <c r="R43" i="16"/>
  <c r="R42" i="16"/>
  <c r="R41" i="16"/>
  <c r="R40" i="16"/>
  <c r="O40" i="16"/>
  <c r="R39" i="16"/>
  <c r="O39" i="16"/>
  <c r="R38" i="16"/>
  <c r="O38" i="16"/>
  <c r="R37" i="16"/>
  <c r="O37" i="16"/>
  <c r="R36" i="16"/>
  <c r="K36" i="16"/>
  <c r="R35" i="16"/>
  <c r="O35" i="16"/>
  <c r="K35" i="16"/>
  <c r="R34" i="16"/>
  <c r="O34" i="16"/>
  <c r="K34" i="16"/>
  <c r="R33" i="16"/>
  <c r="O33" i="16"/>
  <c r="K33" i="16"/>
  <c r="F33" i="16"/>
  <c r="R32" i="16"/>
  <c r="O32" i="16"/>
  <c r="K32" i="16"/>
  <c r="J32" i="16"/>
  <c r="F32" i="16"/>
  <c r="C32" i="16"/>
  <c r="R31" i="16"/>
  <c r="O31" i="16"/>
  <c r="L31" i="16"/>
  <c r="K31" i="16"/>
  <c r="J31" i="16"/>
  <c r="F31" i="16"/>
  <c r="C31" i="16"/>
  <c r="B31" i="16"/>
  <c r="R30" i="16"/>
  <c r="O30" i="16"/>
  <c r="L30" i="16"/>
  <c r="K30" i="16"/>
  <c r="J30" i="16"/>
  <c r="H30" i="16"/>
  <c r="F30" i="16"/>
  <c r="C30" i="16"/>
  <c r="B30" i="16"/>
  <c r="R29" i="16"/>
  <c r="O29" i="16"/>
  <c r="L29" i="16"/>
  <c r="K29" i="16"/>
  <c r="J29" i="16"/>
  <c r="I29" i="16"/>
  <c r="H29" i="16"/>
  <c r="G29" i="16"/>
  <c r="F29" i="16"/>
  <c r="D29" i="16"/>
  <c r="C29" i="16"/>
  <c r="B29" i="16"/>
  <c r="R28" i="16"/>
  <c r="P28" i="16"/>
  <c r="O28" i="16"/>
  <c r="L28" i="16"/>
  <c r="K28" i="16"/>
  <c r="J28" i="16"/>
  <c r="I28" i="16"/>
  <c r="H28" i="16"/>
  <c r="G28" i="16"/>
  <c r="F28" i="16"/>
  <c r="D28" i="16"/>
  <c r="C28" i="16"/>
  <c r="B28" i="16"/>
  <c r="Q24" i="16"/>
  <c r="P24" i="16"/>
  <c r="O24" i="16"/>
  <c r="N24" i="16"/>
  <c r="M24" i="16"/>
  <c r="L24" i="16"/>
  <c r="K24" i="16"/>
  <c r="J24" i="16"/>
  <c r="I24" i="16"/>
  <c r="H24" i="16"/>
  <c r="G24" i="16"/>
  <c r="F24" i="16"/>
  <c r="E24" i="16"/>
  <c r="D24" i="16"/>
  <c r="C24" i="16"/>
  <c r="B24" i="16"/>
  <c r="R52" i="15"/>
  <c r="R51" i="15"/>
  <c r="R50" i="15"/>
  <c r="R49" i="15"/>
  <c r="R48" i="15"/>
  <c r="R47" i="15"/>
  <c r="R46" i="15"/>
  <c r="R45" i="15"/>
  <c r="R44" i="15"/>
  <c r="R43" i="15"/>
  <c r="R42" i="15"/>
  <c r="R41" i="15"/>
  <c r="R40" i="15"/>
  <c r="O40" i="15"/>
  <c r="R39" i="15"/>
  <c r="O39" i="15"/>
  <c r="R38" i="15"/>
  <c r="O38" i="15"/>
  <c r="R37" i="15"/>
  <c r="O37" i="15"/>
  <c r="R36" i="15"/>
  <c r="K36" i="15"/>
  <c r="R35" i="15"/>
  <c r="O35" i="15"/>
  <c r="K35" i="15"/>
  <c r="R34" i="15"/>
  <c r="O34" i="15"/>
  <c r="K34" i="15"/>
  <c r="R33" i="15"/>
  <c r="O33" i="15"/>
  <c r="K33" i="15"/>
  <c r="F33" i="15"/>
  <c r="R32" i="15"/>
  <c r="O32" i="15"/>
  <c r="K32" i="15"/>
  <c r="J32" i="15"/>
  <c r="F32" i="15"/>
  <c r="C32" i="15"/>
  <c r="R31" i="15"/>
  <c r="O31" i="15"/>
  <c r="L31" i="15"/>
  <c r="K31" i="15"/>
  <c r="J31" i="15"/>
  <c r="F31" i="15"/>
  <c r="C31" i="15"/>
  <c r="B31" i="15"/>
  <c r="R30" i="15"/>
  <c r="O30" i="15"/>
  <c r="L30" i="15"/>
  <c r="K30" i="15"/>
  <c r="J30" i="15"/>
  <c r="H30" i="15"/>
  <c r="F30" i="15"/>
  <c r="C30" i="15"/>
  <c r="B30" i="15"/>
  <c r="R29" i="15"/>
  <c r="O29" i="15"/>
  <c r="L29" i="15"/>
  <c r="K29" i="15"/>
  <c r="J29" i="15"/>
  <c r="I29" i="15"/>
  <c r="H29" i="15"/>
  <c r="G29" i="15"/>
  <c r="F29" i="15"/>
  <c r="D29" i="15"/>
  <c r="C29" i="15"/>
  <c r="B29" i="15"/>
  <c r="R28" i="15"/>
  <c r="P28" i="15"/>
  <c r="O28" i="15"/>
  <c r="L28" i="15"/>
  <c r="K28" i="15"/>
  <c r="J28" i="15"/>
  <c r="I28" i="15"/>
  <c r="H28" i="15"/>
  <c r="G28" i="15"/>
  <c r="F28" i="15"/>
  <c r="D28" i="15"/>
  <c r="C28" i="15"/>
  <c r="B28" i="15"/>
  <c r="Q24" i="15"/>
  <c r="P24" i="15"/>
  <c r="O24" i="15"/>
  <c r="N24" i="15"/>
  <c r="M24" i="15"/>
  <c r="L24" i="15"/>
  <c r="K24" i="15"/>
  <c r="J24" i="15"/>
  <c r="I24" i="15"/>
  <c r="H24" i="15"/>
  <c r="G24" i="15"/>
  <c r="F24" i="15"/>
  <c r="E24" i="15"/>
  <c r="D24" i="15"/>
  <c r="C24" i="15"/>
  <c r="B24" i="15"/>
  <c r="R52" i="14"/>
  <c r="R51" i="14"/>
  <c r="R50" i="14"/>
  <c r="R49" i="14"/>
  <c r="R48" i="14"/>
  <c r="R47" i="14"/>
  <c r="R46" i="14"/>
  <c r="R45" i="14"/>
  <c r="R44" i="14"/>
  <c r="R43" i="14"/>
  <c r="R42" i="14"/>
  <c r="R41" i="14"/>
  <c r="R40" i="14"/>
  <c r="O40" i="14"/>
  <c r="R39" i="14"/>
  <c r="O39" i="14"/>
  <c r="R38" i="14"/>
  <c r="O38" i="14"/>
  <c r="R37" i="14"/>
  <c r="O37" i="14"/>
  <c r="R36" i="14"/>
  <c r="K36" i="14"/>
  <c r="R35" i="14"/>
  <c r="O35" i="14"/>
  <c r="K35" i="14"/>
  <c r="R34" i="14"/>
  <c r="O34" i="14"/>
  <c r="K34" i="14"/>
  <c r="R33" i="14"/>
  <c r="O33" i="14"/>
  <c r="K33" i="14"/>
  <c r="F33" i="14"/>
  <c r="R32" i="14"/>
  <c r="O32" i="14"/>
  <c r="K32" i="14"/>
  <c r="J32" i="14"/>
  <c r="F32" i="14"/>
  <c r="C32" i="14"/>
  <c r="R31" i="14"/>
  <c r="O31" i="14"/>
  <c r="L31" i="14"/>
  <c r="K31" i="14"/>
  <c r="J31" i="14"/>
  <c r="F31" i="14"/>
  <c r="C31" i="14"/>
  <c r="B31" i="14"/>
  <c r="R30" i="14"/>
  <c r="O30" i="14"/>
  <c r="L30" i="14"/>
  <c r="K30" i="14"/>
  <c r="J30" i="14"/>
  <c r="H30" i="14"/>
  <c r="F30" i="14"/>
  <c r="C30" i="14"/>
  <c r="B30" i="14"/>
  <c r="R29" i="14"/>
  <c r="O29" i="14"/>
  <c r="L29" i="14"/>
  <c r="K29" i="14"/>
  <c r="J29" i="14"/>
  <c r="I29" i="14"/>
  <c r="H29" i="14"/>
  <c r="G29" i="14"/>
  <c r="F29" i="14"/>
  <c r="D29" i="14"/>
  <c r="C29" i="14"/>
  <c r="B29" i="14"/>
  <c r="R28" i="14"/>
  <c r="P28" i="14"/>
  <c r="O28" i="14"/>
  <c r="L28" i="14"/>
  <c r="K28" i="14"/>
  <c r="J28" i="14"/>
  <c r="I28" i="14"/>
  <c r="H28" i="14"/>
  <c r="G28" i="14"/>
  <c r="F28" i="14"/>
  <c r="D28" i="14"/>
  <c r="C28" i="14"/>
  <c r="B28" i="14"/>
  <c r="Q24" i="14"/>
  <c r="P24" i="14"/>
  <c r="O24" i="14"/>
  <c r="N24" i="14"/>
  <c r="M24" i="14"/>
  <c r="L24" i="14"/>
  <c r="K24" i="14"/>
  <c r="J24" i="14"/>
  <c r="I24" i="14"/>
  <c r="H24" i="14"/>
  <c r="G24" i="14"/>
  <c r="F24" i="14"/>
  <c r="E24" i="14"/>
  <c r="D24" i="14"/>
  <c r="C24" i="14"/>
  <c r="B24" i="14"/>
  <c r="R52" i="13"/>
  <c r="R51" i="13"/>
  <c r="R50" i="13"/>
  <c r="R49" i="13"/>
  <c r="R48" i="13"/>
  <c r="R47" i="13"/>
  <c r="R46" i="13"/>
  <c r="R45" i="13"/>
  <c r="R44" i="13"/>
  <c r="R43" i="13"/>
  <c r="R42" i="13"/>
  <c r="R41" i="13"/>
  <c r="R40" i="13"/>
  <c r="O40" i="13"/>
  <c r="R39" i="13"/>
  <c r="O39" i="13"/>
  <c r="R38" i="13"/>
  <c r="O38" i="13"/>
  <c r="R37" i="13"/>
  <c r="O37" i="13"/>
  <c r="R36" i="13"/>
  <c r="K36" i="13"/>
  <c r="R35" i="13"/>
  <c r="O35" i="13"/>
  <c r="K35" i="13"/>
  <c r="R34" i="13"/>
  <c r="O34" i="13"/>
  <c r="K34" i="13"/>
  <c r="R33" i="13"/>
  <c r="O33" i="13"/>
  <c r="K33" i="13"/>
  <c r="F33" i="13"/>
  <c r="R32" i="13"/>
  <c r="O32" i="13"/>
  <c r="K32" i="13"/>
  <c r="J32" i="13"/>
  <c r="F32" i="13"/>
  <c r="C32" i="13"/>
  <c r="R31" i="13"/>
  <c r="O31" i="13"/>
  <c r="L31" i="13"/>
  <c r="K31" i="13"/>
  <c r="J31" i="13"/>
  <c r="F31" i="13"/>
  <c r="C31" i="13"/>
  <c r="B31" i="13"/>
  <c r="R30" i="13"/>
  <c r="O30" i="13"/>
  <c r="L30" i="13"/>
  <c r="K30" i="13"/>
  <c r="J30" i="13"/>
  <c r="H30" i="13"/>
  <c r="F30" i="13"/>
  <c r="C30" i="13"/>
  <c r="B30" i="13"/>
  <c r="R29" i="13"/>
  <c r="O29" i="13"/>
  <c r="L29" i="13"/>
  <c r="K29" i="13"/>
  <c r="J29" i="13"/>
  <c r="I29" i="13"/>
  <c r="H29" i="13"/>
  <c r="G29" i="13"/>
  <c r="F29" i="13"/>
  <c r="D29" i="13"/>
  <c r="C29" i="13"/>
  <c r="B29" i="13"/>
  <c r="R28" i="13"/>
  <c r="P28" i="13"/>
  <c r="O28" i="13"/>
  <c r="L28" i="13"/>
  <c r="K28" i="13"/>
  <c r="J28" i="13"/>
  <c r="I28" i="13"/>
  <c r="H28" i="13"/>
  <c r="G28" i="13"/>
  <c r="F28" i="13"/>
  <c r="D28" i="13"/>
  <c r="C28" i="13"/>
  <c r="B28" i="13"/>
  <c r="Q24" i="13"/>
  <c r="P24" i="13"/>
  <c r="O24" i="13"/>
  <c r="N24" i="13"/>
  <c r="M24" i="13"/>
  <c r="L24" i="13"/>
  <c r="K24" i="13"/>
  <c r="J24" i="13"/>
  <c r="I24" i="13"/>
  <c r="H24" i="13"/>
  <c r="G24" i="13"/>
  <c r="F24" i="13"/>
  <c r="E24" i="13"/>
  <c r="D24" i="13"/>
  <c r="C24" i="13"/>
  <c r="B24" i="13"/>
  <c r="R52" i="12"/>
  <c r="R51" i="12"/>
  <c r="R50" i="12"/>
  <c r="R49" i="12"/>
  <c r="R48" i="12"/>
  <c r="R47" i="12"/>
  <c r="R46" i="12"/>
  <c r="R45" i="12"/>
  <c r="R44" i="12"/>
  <c r="R43" i="12"/>
  <c r="R42" i="12"/>
  <c r="R41" i="12"/>
  <c r="R40" i="12"/>
  <c r="O40" i="12"/>
  <c r="R39" i="12"/>
  <c r="O39" i="12"/>
  <c r="R38" i="12"/>
  <c r="O38" i="12"/>
  <c r="R37" i="12"/>
  <c r="O37" i="12"/>
  <c r="R36" i="12"/>
  <c r="K36" i="12"/>
  <c r="R35" i="12"/>
  <c r="O35" i="12"/>
  <c r="K35" i="12"/>
  <c r="R34" i="12"/>
  <c r="O34" i="12"/>
  <c r="K34" i="12"/>
  <c r="R33" i="12"/>
  <c r="O33" i="12"/>
  <c r="K33" i="12"/>
  <c r="F33" i="12"/>
  <c r="R32" i="12"/>
  <c r="O32" i="12"/>
  <c r="K32" i="12"/>
  <c r="J32" i="12"/>
  <c r="F32" i="12"/>
  <c r="C32" i="12"/>
  <c r="R31" i="12"/>
  <c r="O31" i="12"/>
  <c r="L31" i="12"/>
  <c r="K31" i="12"/>
  <c r="J31" i="12"/>
  <c r="F31" i="12"/>
  <c r="C31" i="12"/>
  <c r="B31" i="12"/>
  <c r="R30" i="12"/>
  <c r="O30" i="12"/>
  <c r="L30" i="12"/>
  <c r="K30" i="12"/>
  <c r="J30" i="12"/>
  <c r="H30" i="12"/>
  <c r="F30" i="12"/>
  <c r="C30" i="12"/>
  <c r="B30" i="12"/>
  <c r="R29" i="12"/>
  <c r="O29" i="12"/>
  <c r="L29" i="12"/>
  <c r="K29" i="12"/>
  <c r="J29" i="12"/>
  <c r="I29" i="12"/>
  <c r="H29" i="12"/>
  <c r="G29" i="12"/>
  <c r="F29" i="12"/>
  <c r="D29" i="12"/>
  <c r="C29" i="12"/>
  <c r="B29" i="12"/>
  <c r="R28" i="12"/>
  <c r="P28" i="12"/>
  <c r="O28" i="12"/>
  <c r="L28" i="12"/>
  <c r="K28" i="12"/>
  <c r="J28" i="12"/>
  <c r="I28" i="12"/>
  <c r="H28" i="12"/>
  <c r="G28" i="12"/>
  <c r="F28" i="12"/>
  <c r="D28" i="12"/>
  <c r="C28" i="12"/>
  <c r="B28" i="12"/>
  <c r="Q24" i="12"/>
  <c r="P24" i="12"/>
  <c r="O24" i="12"/>
  <c r="N24" i="12"/>
  <c r="M24" i="12"/>
  <c r="L24" i="12"/>
  <c r="K24" i="12"/>
  <c r="J24" i="12"/>
  <c r="I24" i="12"/>
  <c r="H24" i="12"/>
  <c r="G24" i="12"/>
  <c r="F24" i="12"/>
  <c r="E24" i="12"/>
  <c r="D24" i="12"/>
  <c r="C24" i="12"/>
  <c r="B24" i="12"/>
  <c r="R52" i="11"/>
  <c r="R51" i="11"/>
  <c r="R50" i="11"/>
  <c r="R49" i="11"/>
  <c r="R48" i="11"/>
  <c r="R47" i="11"/>
  <c r="R46" i="11"/>
  <c r="R45" i="11"/>
  <c r="R44" i="11"/>
  <c r="R43" i="11"/>
  <c r="R42" i="11"/>
  <c r="R41" i="11"/>
  <c r="R40" i="11"/>
  <c r="O40" i="11"/>
  <c r="R39" i="11"/>
  <c r="O39" i="11"/>
  <c r="R38" i="11"/>
  <c r="O38" i="11"/>
  <c r="R37" i="11"/>
  <c r="O37" i="11"/>
  <c r="R36" i="11"/>
  <c r="K36" i="11"/>
  <c r="R35" i="11"/>
  <c r="O35" i="11"/>
  <c r="K35" i="11"/>
  <c r="R34" i="11"/>
  <c r="O34" i="11"/>
  <c r="K34" i="11"/>
  <c r="R33" i="11"/>
  <c r="O33" i="11"/>
  <c r="K33" i="11"/>
  <c r="F33" i="11"/>
  <c r="R32" i="11"/>
  <c r="O32" i="11"/>
  <c r="K32" i="11"/>
  <c r="J32" i="11"/>
  <c r="F32" i="11"/>
  <c r="C32" i="11"/>
  <c r="R31" i="11"/>
  <c r="O31" i="11"/>
  <c r="L31" i="11"/>
  <c r="K31" i="11"/>
  <c r="J31" i="11"/>
  <c r="F31" i="11"/>
  <c r="C31" i="11"/>
  <c r="B31" i="11"/>
  <c r="R30" i="11"/>
  <c r="O30" i="11"/>
  <c r="L30" i="11"/>
  <c r="K30" i="11"/>
  <c r="J30" i="11"/>
  <c r="H30" i="11"/>
  <c r="F30" i="11"/>
  <c r="C30" i="11"/>
  <c r="B30" i="11"/>
  <c r="R29" i="11"/>
  <c r="O29" i="11"/>
  <c r="L29" i="11"/>
  <c r="K29" i="11"/>
  <c r="J29" i="11"/>
  <c r="I29" i="11"/>
  <c r="H29" i="11"/>
  <c r="G29" i="11"/>
  <c r="F29" i="11"/>
  <c r="D29" i="11"/>
  <c r="C29" i="11"/>
  <c r="B29" i="11"/>
  <c r="R28" i="11"/>
  <c r="P28" i="11"/>
  <c r="O28" i="11"/>
  <c r="L28" i="11"/>
  <c r="K28" i="11"/>
  <c r="J28" i="11"/>
  <c r="I28" i="11"/>
  <c r="H28" i="11"/>
  <c r="G28" i="11"/>
  <c r="F28" i="11"/>
  <c r="D28" i="11"/>
  <c r="C28" i="11"/>
  <c r="B28" i="11"/>
  <c r="Q24" i="11"/>
  <c r="P24" i="11"/>
  <c r="O24" i="11"/>
  <c r="N24" i="11"/>
  <c r="M24" i="11"/>
  <c r="L24" i="11"/>
  <c r="K24" i="11"/>
  <c r="J24" i="11"/>
  <c r="I24" i="11"/>
  <c r="H24" i="11"/>
  <c r="G24" i="11"/>
  <c r="F24" i="11"/>
  <c r="E24" i="11"/>
  <c r="D24" i="11"/>
  <c r="C24" i="11"/>
  <c r="B24" i="11"/>
  <c r="R52" i="10"/>
  <c r="R51" i="10"/>
  <c r="R50" i="10"/>
  <c r="R49" i="10"/>
  <c r="R48" i="10"/>
  <c r="R47" i="10"/>
  <c r="R46" i="10"/>
  <c r="R45" i="10"/>
  <c r="R44" i="10"/>
  <c r="R43" i="10"/>
  <c r="R42" i="10"/>
  <c r="R41" i="10"/>
  <c r="R40" i="10"/>
  <c r="O40" i="10"/>
  <c r="R39" i="10"/>
  <c r="O39" i="10"/>
  <c r="R38" i="10"/>
  <c r="O38" i="10"/>
  <c r="R37" i="10"/>
  <c r="O37" i="10"/>
  <c r="R36" i="10"/>
  <c r="K36" i="10"/>
  <c r="R35" i="10"/>
  <c r="O35" i="10"/>
  <c r="K35" i="10"/>
  <c r="R34" i="10"/>
  <c r="O34" i="10"/>
  <c r="K34" i="10"/>
  <c r="R33" i="10"/>
  <c r="O33" i="10"/>
  <c r="K33" i="10"/>
  <c r="F33" i="10"/>
  <c r="R32" i="10"/>
  <c r="O32" i="10"/>
  <c r="K32" i="10"/>
  <c r="J32" i="10"/>
  <c r="F32" i="10"/>
  <c r="C32" i="10"/>
  <c r="R31" i="10"/>
  <c r="O31" i="10"/>
  <c r="L31" i="10"/>
  <c r="K31" i="10"/>
  <c r="J31" i="10"/>
  <c r="F31" i="10"/>
  <c r="C31" i="10"/>
  <c r="B31" i="10"/>
  <c r="R30" i="10"/>
  <c r="O30" i="10"/>
  <c r="L30" i="10"/>
  <c r="K30" i="10"/>
  <c r="J30" i="10"/>
  <c r="H30" i="10"/>
  <c r="F30" i="10"/>
  <c r="C30" i="10"/>
  <c r="B30" i="10"/>
  <c r="R29" i="10"/>
  <c r="O29" i="10"/>
  <c r="L29" i="10"/>
  <c r="K29" i="10"/>
  <c r="J29" i="10"/>
  <c r="I29" i="10"/>
  <c r="H29" i="10"/>
  <c r="G29" i="10"/>
  <c r="F29" i="10"/>
  <c r="D29" i="10"/>
  <c r="C29" i="10"/>
  <c r="B29" i="10"/>
  <c r="R28" i="10"/>
  <c r="P28" i="10"/>
  <c r="O28" i="10"/>
  <c r="L28" i="10"/>
  <c r="K28" i="10"/>
  <c r="J28" i="10"/>
  <c r="I28" i="10"/>
  <c r="H28" i="10"/>
  <c r="G28" i="10"/>
  <c r="F28" i="10"/>
  <c r="D28" i="10"/>
  <c r="C28" i="10"/>
  <c r="B28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D24" i="10"/>
  <c r="C24" i="10"/>
  <c r="B24" i="10"/>
  <c r="R52" i="9"/>
  <c r="R51" i="9"/>
  <c r="R50" i="9"/>
  <c r="R49" i="9"/>
  <c r="R48" i="9"/>
  <c r="R47" i="9"/>
  <c r="R46" i="9"/>
  <c r="R45" i="9"/>
  <c r="R44" i="9"/>
  <c r="R43" i="9"/>
  <c r="R42" i="9"/>
  <c r="R41" i="9"/>
  <c r="R40" i="9"/>
  <c r="O40" i="9"/>
  <c r="R39" i="9"/>
  <c r="O39" i="9"/>
  <c r="R38" i="9"/>
  <c r="O38" i="9"/>
  <c r="R37" i="9"/>
  <c r="O37" i="9"/>
  <c r="R36" i="9"/>
  <c r="K36" i="9"/>
  <c r="R35" i="9"/>
  <c r="O35" i="9"/>
  <c r="K35" i="9"/>
  <c r="R34" i="9"/>
  <c r="O34" i="9"/>
  <c r="K34" i="9"/>
  <c r="R33" i="9"/>
  <c r="O33" i="9"/>
  <c r="K33" i="9"/>
  <c r="F33" i="9"/>
  <c r="R32" i="9"/>
  <c r="O32" i="9"/>
  <c r="K32" i="9"/>
  <c r="J32" i="9"/>
  <c r="F32" i="9"/>
  <c r="C32" i="9"/>
  <c r="R31" i="9"/>
  <c r="O31" i="9"/>
  <c r="L31" i="9"/>
  <c r="K31" i="9"/>
  <c r="J31" i="9"/>
  <c r="F31" i="9"/>
  <c r="C31" i="9"/>
  <c r="B31" i="9"/>
  <c r="R30" i="9"/>
  <c r="O30" i="9"/>
  <c r="L30" i="9"/>
  <c r="K30" i="9"/>
  <c r="J30" i="9"/>
  <c r="H30" i="9"/>
  <c r="F30" i="9"/>
  <c r="C30" i="9"/>
  <c r="B30" i="9"/>
  <c r="R29" i="9"/>
  <c r="O29" i="9"/>
  <c r="L29" i="9"/>
  <c r="K29" i="9"/>
  <c r="J29" i="9"/>
  <c r="I29" i="9"/>
  <c r="H29" i="9"/>
  <c r="G29" i="9"/>
  <c r="F29" i="9"/>
  <c r="D29" i="9"/>
  <c r="C29" i="9"/>
  <c r="B29" i="9"/>
  <c r="R28" i="9"/>
  <c r="P28" i="9"/>
  <c r="O28" i="9"/>
  <c r="L28" i="9"/>
  <c r="K28" i="9"/>
  <c r="J28" i="9"/>
  <c r="I28" i="9"/>
  <c r="H28" i="9"/>
  <c r="G28" i="9"/>
  <c r="F28" i="9"/>
  <c r="D28" i="9"/>
  <c r="C28" i="9"/>
  <c r="B28" i="9"/>
  <c r="Q24" i="9"/>
  <c r="P24" i="9"/>
  <c r="O24" i="9"/>
  <c r="N24" i="9"/>
  <c r="M24" i="9"/>
  <c r="L24" i="9"/>
  <c r="K24" i="9"/>
  <c r="J24" i="9"/>
  <c r="I24" i="9"/>
  <c r="H24" i="9"/>
  <c r="G24" i="9"/>
  <c r="F24" i="9"/>
  <c r="E24" i="9"/>
  <c r="D24" i="9"/>
  <c r="C24" i="9"/>
  <c r="B24" i="9"/>
  <c r="R52" i="8"/>
  <c r="R51" i="8"/>
  <c r="R50" i="8"/>
  <c r="R49" i="8"/>
  <c r="R48" i="8"/>
  <c r="R47" i="8"/>
  <c r="R46" i="8"/>
  <c r="R45" i="8"/>
  <c r="R44" i="8"/>
  <c r="R43" i="8"/>
  <c r="R42" i="8"/>
  <c r="R41" i="8"/>
  <c r="R40" i="8"/>
  <c r="O40" i="8"/>
  <c r="R39" i="8"/>
  <c r="O39" i="8"/>
  <c r="R38" i="8"/>
  <c r="O38" i="8"/>
  <c r="R37" i="8"/>
  <c r="O37" i="8"/>
  <c r="R36" i="8"/>
  <c r="K36" i="8"/>
  <c r="R35" i="8"/>
  <c r="O35" i="8"/>
  <c r="K35" i="8"/>
  <c r="R34" i="8"/>
  <c r="O34" i="8"/>
  <c r="K34" i="8"/>
  <c r="R33" i="8"/>
  <c r="O33" i="8"/>
  <c r="K33" i="8"/>
  <c r="F33" i="8"/>
  <c r="R32" i="8"/>
  <c r="O32" i="8"/>
  <c r="K32" i="8"/>
  <c r="J32" i="8"/>
  <c r="F32" i="8"/>
  <c r="C32" i="8"/>
  <c r="R31" i="8"/>
  <c r="O31" i="8"/>
  <c r="L31" i="8"/>
  <c r="K31" i="8"/>
  <c r="J31" i="8"/>
  <c r="F31" i="8"/>
  <c r="C31" i="8"/>
  <c r="B31" i="8"/>
  <c r="R30" i="8"/>
  <c r="O30" i="8"/>
  <c r="L30" i="8"/>
  <c r="K30" i="8"/>
  <c r="J30" i="8"/>
  <c r="H30" i="8"/>
  <c r="F30" i="8"/>
  <c r="C30" i="8"/>
  <c r="B30" i="8"/>
  <c r="R29" i="8"/>
  <c r="O29" i="8"/>
  <c r="L29" i="8"/>
  <c r="K29" i="8"/>
  <c r="J29" i="8"/>
  <c r="I29" i="8"/>
  <c r="H29" i="8"/>
  <c r="G29" i="8"/>
  <c r="F29" i="8"/>
  <c r="D29" i="8"/>
  <c r="C29" i="8"/>
  <c r="B29" i="8"/>
  <c r="R28" i="8"/>
  <c r="P28" i="8"/>
  <c r="O28" i="8"/>
  <c r="L28" i="8"/>
  <c r="K28" i="8"/>
  <c r="J28" i="8"/>
  <c r="I28" i="8"/>
  <c r="H28" i="8"/>
  <c r="G28" i="8"/>
  <c r="F28" i="8"/>
  <c r="D28" i="8"/>
  <c r="C28" i="8"/>
  <c r="B28" i="8"/>
  <c r="Q24" i="8"/>
  <c r="P24" i="8"/>
  <c r="O24" i="8"/>
  <c r="N24" i="8"/>
  <c r="M24" i="8"/>
  <c r="L24" i="8"/>
  <c r="K24" i="8"/>
  <c r="J24" i="8"/>
  <c r="I24" i="8"/>
  <c r="H24" i="8"/>
  <c r="G24" i="8"/>
  <c r="F24" i="8"/>
  <c r="E24" i="8"/>
  <c r="D24" i="8"/>
  <c r="C24" i="8"/>
  <c r="B24" i="8"/>
  <c r="R52" i="7"/>
  <c r="R51" i="7"/>
  <c r="R50" i="7"/>
  <c r="R49" i="7"/>
  <c r="R48" i="7"/>
  <c r="R47" i="7"/>
  <c r="R46" i="7"/>
  <c r="R45" i="7"/>
  <c r="R44" i="7"/>
  <c r="R43" i="7"/>
  <c r="R42" i="7"/>
  <c r="R41" i="7"/>
  <c r="R40" i="7"/>
  <c r="O40" i="7"/>
  <c r="R39" i="7"/>
  <c r="O39" i="7"/>
  <c r="R38" i="7"/>
  <c r="O38" i="7"/>
  <c r="R37" i="7"/>
  <c r="O37" i="7"/>
  <c r="R36" i="7"/>
  <c r="K36" i="7"/>
  <c r="R35" i="7"/>
  <c r="O35" i="7"/>
  <c r="K35" i="7"/>
  <c r="R34" i="7"/>
  <c r="O34" i="7"/>
  <c r="K34" i="7"/>
  <c r="R33" i="7"/>
  <c r="O33" i="7"/>
  <c r="K33" i="7"/>
  <c r="F33" i="7"/>
  <c r="R32" i="7"/>
  <c r="O32" i="7"/>
  <c r="K32" i="7"/>
  <c r="J32" i="7"/>
  <c r="F32" i="7"/>
  <c r="C32" i="7"/>
  <c r="R31" i="7"/>
  <c r="O31" i="7"/>
  <c r="L31" i="7"/>
  <c r="K31" i="7"/>
  <c r="J31" i="7"/>
  <c r="F31" i="7"/>
  <c r="C31" i="7"/>
  <c r="B31" i="7"/>
  <c r="R30" i="7"/>
  <c r="O30" i="7"/>
  <c r="L30" i="7"/>
  <c r="K30" i="7"/>
  <c r="J30" i="7"/>
  <c r="H30" i="7"/>
  <c r="F30" i="7"/>
  <c r="C30" i="7"/>
  <c r="B30" i="7"/>
  <c r="R29" i="7"/>
  <c r="O29" i="7"/>
  <c r="L29" i="7"/>
  <c r="K29" i="7"/>
  <c r="J29" i="7"/>
  <c r="I29" i="7"/>
  <c r="H29" i="7"/>
  <c r="G29" i="7"/>
  <c r="F29" i="7"/>
  <c r="D29" i="7"/>
  <c r="C29" i="7"/>
  <c r="B29" i="7"/>
  <c r="R28" i="7"/>
  <c r="P28" i="7"/>
  <c r="O28" i="7"/>
  <c r="L28" i="7"/>
  <c r="K28" i="7"/>
  <c r="J28" i="7"/>
  <c r="I28" i="7"/>
  <c r="H28" i="7"/>
  <c r="G28" i="7"/>
  <c r="F28" i="7"/>
  <c r="D28" i="7"/>
  <c r="C28" i="7"/>
  <c r="B28" i="7"/>
  <c r="Q24" i="7"/>
  <c r="P24" i="7"/>
  <c r="O24" i="7"/>
  <c r="N24" i="7"/>
  <c r="M24" i="7"/>
  <c r="L24" i="7"/>
  <c r="K24" i="7"/>
  <c r="J24" i="7"/>
  <c r="I24" i="7"/>
  <c r="H24" i="7"/>
  <c r="G24" i="7"/>
  <c r="F24" i="7"/>
  <c r="E24" i="7"/>
  <c r="D24" i="7"/>
  <c r="C24" i="7"/>
  <c r="B24" i="7"/>
  <c r="R52" i="6"/>
  <c r="R51" i="6"/>
  <c r="R50" i="6"/>
  <c r="R49" i="6"/>
  <c r="R48" i="6"/>
  <c r="R47" i="6"/>
  <c r="R46" i="6"/>
  <c r="R45" i="6"/>
  <c r="R44" i="6"/>
  <c r="R43" i="6"/>
  <c r="R42" i="6"/>
  <c r="R41" i="6"/>
  <c r="R40" i="6"/>
  <c r="O40" i="6"/>
  <c r="R39" i="6"/>
  <c r="O39" i="6"/>
  <c r="R38" i="6"/>
  <c r="O38" i="6"/>
  <c r="R37" i="6"/>
  <c r="O37" i="6"/>
  <c r="R36" i="6"/>
  <c r="K36" i="6"/>
  <c r="R35" i="6"/>
  <c r="O35" i="6"/>
  <c r="K35" i="6"/>
  <c r="R34" i="6"/>
  <c r="O34" i="6"/>
  <c r="K34" i="6"/>
  <c r="R33" i="6"/>
  <c r="O33" i="6"/>
  <c r="K33" i="6"/>
  <c r="F33" i="6"/>
  <c r="R32" i="6"/>
  <c r="O32" i="6"/>
  <c r="K32" i="6"/>
  <c r="J32" i="6"/>
  <c r="F32" i="6"/>
  <c r="C32" i="6"/>
  <c r="R31" i="6"/>
  <c r="O31" i="6"/>
  <c r="L31" i="6"/>
  <c r="K31" i="6"/>
  <c r="J31" i="6"/>
  <c r="F31" i="6"/>
  <c r="C31" i="6"/>
  <c r="B31" i="6"/>
  <c r="R30" i="6"/>
  <c r="O30" i="6"/>
  <c r="L30" i="6"/>
  <c r="K30" i="6"/>
  <c r="J30" i="6"/>
  <c r="H30" i="6"/>
  <c r="F30" i="6"/>
  <c r="C30" i="6"/>
  <c r="B30" i="6"/>
  <c r="R29" i="6"/>
  <c r="O29" i="6"/>
  <c r="L29" i="6"/>
  <c r="K29" i="6"/>
  <c r="J29" i="6"/>
  <c r="I29" i="6"/>
  <c r="H29" i="6"/>
  <c r="G29" i="6"/>
  <c r="F29" i="6"/>
  <c r="D29" i="6"/>
  <c r="C29" i="6"/>
  <c r="B29" i="6"/>
  <c r="R28" i="6"/>
  <c r="P28" i="6"/>
  <c r="O28" i="6"/>
  <c r="L28" i="6"/>
  <c r="K28" i="6"/>
  <c r="J28" i="6"/>
  <c r="I28" i="6"/>
  <c r="H28" i="6"/>
  <c r="G28" i="6"/>
  <c r="F28" i="6"/>
  <c r="D28" i="6"/>
  <c r="C28" i="6"/>
  <c r="B28" i="6"/>
  <c r="Q24" i="6"/>
  <c r="P24" i="6"/>
  <c r="O24" i="6"/>
  <c r="N24" i="6"/>
  <c r="M24" i="6"/>
  <c r="L24" i="6"/>
  <c r="K24" i="6"/>
  <c r="J24" i="6"/>
  <c r="I24" i="6"/>
  <c r="H24" i="6"/>
  <c r="G24" i="6"/>
  <c r="F24" i="6"/>
  <c r="E24" i="6"/>
  <c r="D24" i="6"/>
  <c r="C24" i="6"/>
  <c r="B24" i="6"/>
  <c r="R52" i="5"/>
  <c r="R51" i="5"/>
  <c r="R50" i="5"/>
  <c r="R49" i="5"/>
  <c r="R48" i="5"/>
  <c r="R47" i="5"/>
  <c r="R46" i="5"/>
  <c r="R45" i="5"/>
  <c r="R44" i="5"/>
  <c r="R43" i="5"/>
  <c r="R42" i="5"/>
  <c r="R41" i="5"/>
  <c r="R40" i="5"/>
  <c r="O40" i="5"/>
  <c r="R39" i="5"/>
  <c r="O39" i="5"/>
  <c r="R38" i="5"/>
  <c r="O38" i="5"/>
  <c r="R37" i="5"/>
  <c r="O37" i="5"/>
  <c r="R36" i="5"/>
  <c r="K36" i="5"/>
  <c r="R35" i="5"/>
  <c r="O35" i="5"/>
  <c r="K35" i="5"/>
  <c r="R34" i="5"/>
  <c r="O34" i="5"/>
  <c r="K34" i="5"/>
  <c r="R33" i="5"/>
  <c r="O33" i="5"/>
  <c r="K33" i="5"/>
  <c r="F33" i="5"/>
  <c r="R32" i="5"/>
  <c r="O32" i="5"/>
  <c r="K32" i="5"/>
  <c r="J32" i="5"/>
  <c r="F32" i="5"/>
  <c r="C32" i="5"/>
  <c r="R31" i="5"/>
  <c r="O31" i="5"/>
  <c r="L31" i="5"/>
  <c r="K31" i="5"/>
  <c r="J31" i="5"/>
  <c r="F31" i="5"/>
  <c r="C31" i="5"/>
  <c r="B31" i="5"/>
  <c r="R30" i="5"/>
  <c r="O30" i="5"/>
  <c r="L30" i="5"/>
  <c r="K30" i="5"/>
  <c r="J30" i="5"/>
  <c r="H30" i="5"/>
  <c r="F30" i="5"/>
  <c r="C30" i="5"/>
  <c r="B30" i="5"/>
  <c r="R29" i="5"/>
  <c r="O29" i="5"/>
  <c r="L29" i="5"/>
  <c r="K29" i="5"/>
  <c r="J29" i="5"/>
  <c r="I29" i="5"/>
  <c r="H29" i="5"/>
  <c r="G29" i="5"/>
  <c r="F29" i="5"/>
  <c r="D29" i="5"/>
  <c r="C29" i="5"/>
  <c r="B29" i="5"/>
  <c r="R28" i="5"/>
  <c r="P28" i="5"/>
  <c r="O28" i="5"/>
  <c r="L28" i="5"/>
  <c r="K28" i="5"/>
  <c r="J28" i="5"/>
  <c r="I28" i="5"/>
  <c r="H28" i="5"/>
  <c r="G28" i="5"/>
  <c r="F28" i="5"/>
  <c r="D28" i="5"/>
  <c r="C28" i="5"/>
  <c r="B28" i="5"/>
  <c r="Q24" i="5"/>
  <c r="P24" i="5"/>
  <c r="O24" i="5"/>
  <c r="N24" i="5"/>
  <c r="M24" i="5"/>
  <c r="L24" i="5"/>
  <c r="K24" i="5"/>
  <c r="J24" i="5"/>
  <c r="I24" i="5"/>
  <c r="H24" i="5"/>
  <c r="G24" i="5"/>
  <c r="F24" i="5"/>
  <c r="E24" i="5"/>
  <c r="D24" i="5"/>
  <c r="C24" i="5"/>
  <c r="B24" i="5"/>
  <c r="R52" i="4"/>
  <c r="R51" i="4"/>
  <c r="R50" i="4"/>
  <c r="R49" i="4"/>
  <c r="R48" i="4"/>
  <c r="R47" i="4"/>
  <c r="R46" i="4"/>
  <c r="R45" i="4"/>
  <c r="R44" i="4"/>
  <c r="R43" i="4"/>
  <c r="R42" i="4"/>
  <c r="R41" i="4"/>
  <c r="R40" i="4"/>
  <c r="O40" i="4"/>
  <c r="R39" i="4"/>
  <c r="O39" i="4"/>
  <c r="R38" i="4"/>
  <c r="O38" i="4"/>
  <c r="R37" i="4"/>
  <c r="O37" i="4"/>
  <c r="R36" i="4"/>
  <c r="K36" i="4"/>
  <c r="R35" i="4"/>
  <c r="O35" i="4"/>
  <c r="K35" i="4"/>
  <c r="R34" i="4"/>
  <c r="O34" i="4"/>
  <c r="K34" i="4"/>
  <c r="R33" i="4"/>
  <c r="O33" i="4"/>
  <c r="K33" i="4"/>
  <c r="F33" i="4"/>
  <c r="R32" i="4"/>
  <c r="O32" i="4"/>
  <c r="K32" i="4"/>
  <c r="J32" i="4"/>
  <c r="F32" i="4"/>
  <c r="C32" i="4"/>
  <c r="R31" i="4"/>
  <c r="O31" i="4"/>
  <c r="L31" i="4"/>
  <c r="K31" i="4"/>
  <c r="J31" i="4"/>
  <c r="F31" i="4"/>
  <c r="C31" i="4"/>
  <c r="B31" i="4"/>
  <c r="R30" i="4"/>
  <c r="O30" i="4"/>
  <c r="L30" i="4"/>
  <c r="K30" i="4"/>
  <c r="J30" i="4"/>
  <c r="H30" i="4"/>
  <c r="F30" i="4"/>
  <c r="C30" i="4"/>
  <c r="B30" i="4"/>
  <c r="R29" i="4"/>
  <c r="O29" i="4"/>
  <c r="L29" i="4"/>
  <c r="K29" i="4"/>
  <c r="J29" i="4"/>
  <c r="I29" i="4"/>
  <c r="H29" i="4"/>
  <c r="G29" i="4"/>
  <c r="F29" i="4"/>
  <c r="D29" i="4"/>
  <c r="C29" i="4"/>
  <c r="B29" i="4"/>
  <c r="R28" i="4"/>
  <c r="P28" i="4"/>
  <c r="O28" i="4"/>
  <c r="L28" i="4"/>
  <c r="K28" i="4"/>
  <c r="J28" i="4"/>
  <c r="I28" i="4"/>
  <c r="H28" i="4"/>
  <c r="G28" i="4"/>
  <c r="F28" i="4"/>
  <c r="D28" i="4"/>
  <c r="C28" i="4"/>
  <c r="B28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R52" i="3"/>
  <c r="R51" i="3"/>
  <c r="R50" i="3"/>
  <c r="R49" i="3"/>
  <c r="R48" i="3"/>
  <c r="R47" i="3"/>
  <c r="R46" i="3"/>
  <c r="R45" i="3"/>
  <c r="R44" i="3"/>
  <c r="R43" i="3"/>
  <c r="R42" i="3"/>
  <c r="R41" i="3"/>
  <c r="R40" i="3"/>
  <c r="O40" i="3"/>
  <c r="R39" i="3"/>
  <c r="O39" i="3"/>
  <c r="R38" i="3"/>
  <c r="O38" i="3"/>
  <c r="R37" i="3"/>
  <c r="O37" i="3"/>
  <c r="R36" i="3"/>
  <c r="K36" i="3"/>
  <c r="R35" i="3"/>
  <c r="O35" i="3"/>
  <c r="K35" i="3"/>
  <c r="R34" i="3"/>
  <c r="O34" i="3"/>
  <c r="K34" i="3"/>
  <c r="R33" i="3"/>
  <c r="O33" i="3"/>
  <c r="K33" i="3"/>
  <c r="F33" i="3"/>
  <c r="R32" i="3"/>
  <c r="O32" i="3"/>
  <c r="K32" i="3"/>
  <c r="J32" i="3"/>
  <c r="F32" i="3"/>
  <c r="C32" i="3"/>
  <c r="R31" i="3"/>
  <c r="O31" i="3"/>
  <c r="L31" i="3"/>
  <c r="K31" i="3"/>
  <c r="J31" i="3"/>
  <c r="F31" i="3"/>
  <c r="C31" i="3"/>
  <c r="B31" i="3"/>
  <c r="R30" i="3"/>
  <c r="O30" i="3"/>
  <c r="L30" i="3"/>
  <c r="K30" i="3"/>
  <c r="J30" i="3"/>
  <c r="H30" i="3"/>
  <c r="F30" i="3"/>
  <c r="C30" i="3"/>
  <c r="B30" i="3"/>
  <c r="R29" i="3"/>
  <c r="O29" i="3"/>
  <c r="L29" i="3"/>
  <c r="K29" i="3"/>
  <c r="J29" i="3"/>
  <c r="I29" i="3"/>
  <c r="H29" i="3"/>
  <c r="G29" i="3"/>
  <c r="F29" i="3"/>
  <c r="D29" i="3"/>
  <c r="C29" i="3"/>
  <c r="B29" i="3"/>
  <c r="R28" i="3"/>
  <c r="P28" i="3"/>
  <c r="O28" i="3"/>
  <c r="L28" i="3"/>
  <c r="K28" i="3"/>
  <c r="J28" i="3"/>
  <c r="I28" i="3"/>
  <c r="H28" i="3"/>
  <c r="G28" i="3"/>
  <c r="F28" i="3"/>
  <c r="D28" i="3"/>
  <c r="C28" i="3"/>
  <c r="B28" i="3"/>
  <c r="Q24" i="3"/>
  <c r="P24" i="3"/>
  <c r="O24" i="3"/>
  <c r="N24" i="3"/>
  <c r="M24" i="3"/>
  <c r="L24" i="3"/>
  <c r="K24" i="3"/>
  <c r="J24" i="3"/>
  <c r="I24" i="3"/>
  <c r="H24" i="3"/>
  <c r="G24" i="3"/>
  <c r="F24" i="3"/>
  <c r="E24" i="3"/>
  <c r="D24" i="3"/>
  <c r="C24" i="3"/>
  <c r="B24" i="3"/>
  <c r="R52" i="2"/>
  <c r="R51" i="2"/>
  <c r="R50" i="2"/>
  <c r="R49" i="2"/>
  <c r="R48" i="2"/>
  <c r="R47" i="2"/>
  <c r="R46" i="2"/>
  <c r="R45" i="2"/>
  <c r="R44" i="2"/>
  <c r="R43" i="2"/>
  <c r="R42" i="2"/>
  <c r="R41" i="2"/>
  <c r="R40" i="2"/>
  <c r="O40" i="2"/>
  <c r="R39" i="2"/>
  <c r="O39" i="2"/>
  <c r="R38" i="2"/>
  <c r="O38" i="2"/>
  <c r="R37" i="2"/>
  <c r="O37" i="2"/>
  <c r="R36" i="2"/>
  <c r="K36" i="2"/>
  <c r="R35" i="2"/>
  <c r="O35" i="2"/>
  <c r="K35" i="2"/>
  <c r="R34" i="2"/>
  <c r="O34" i="2"/>
  <c r="K34" i="2"/>
  <c r="R33" i="2"/>
  <c r="O33" i="2"/>
  <c r="K33" i="2"/>
  <c r="F33" i="2"/>
  <c r="R32" i="2"/>
  <c r="O32" i="2"/>
  <c r="K32" i="2"/>
  <c r="J32" i="2"/>
  <c r="F32" i="2"/>
  <c r="C32" i="2"/>
  <c r="R31" i="2"/>
  <c r="O31" i="2"/>
  <c r="L31" i="2"/>
  <c r="K31" i="2"/>
  <c r="J31" i="2"/>
  <c r="F31" i="2"/>
  <c r="C31" i="2"/>
  <c r="B31" i="2"/>
  <c r="R30" i="2"/>
  <c r="O30" i="2"/>
  <c r="L30" i="2"/>
  <c r="K30" i="2"/>
  <c r="J30" i="2"/>
  <c r="H30" i="2"/>
  <c r="F30" i="2"/>
  <c r="C30" i="2"/>
  <c r="B30" i="2"/>
  <c r="R29" i="2"/>
  <c r="O29" i="2"/>
  <c r="L29" i="2"/>
  <c r="K29" i="2"/>
  <c r="J29" i="2"/>
  <c r="I29" i="2"/>
  <c r="H29" i="2"/>
  <c r="G29" i="2"/>
  <c r="F29" i="2"/>
  <c r="D29" i="2"/>
  <c r="C29" i="2"/>
  <c r="B29" i="2"/>
  <c r="R28" i="2"/>
  <c r="P28" i="2"/>
  <c r="O28" i="2"/>
  <c r="L28" i="2"/>
  <c r="K28" i="2"/>
  <c r="J28" i="2"/>
  <c r="I28" i="2"/>
  <c r="H28" i="2"/>
  <c r="G28" i="2"/>
  <c r="F28" i="2"/>
  <c r="D28" i="2"/>
  <c r="C28" i="2"/>
  <c r="B28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C24" i="2"/>
  <c r="B24" i="2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O40" i="1"/>
  <c r="R39" i="1"/>
  <c r="O39" i="1"/>
  <c r="R38" i="1"/>
  <c r="O38" i="1"/>
  <c r="R37" i="1"/>
  <c r="O37" i="1"/>
  <c r="R36" i="1"/>
  <c r="K36" i="1"/>
  <c r="R35" i="1"/>
  <c r="O35" i="1"/>
  <c r="K35" i="1"/>
  <c r="R34" i="1"/>
  <c r="O34" i="1"/>
  <c r="K34" i="1"/>
  <c r="R33" i="1"/>
  <c r="O33" i="1"/>
  <c r="K33" i="1"/>
  <c r="F33" i="1"/>
  <c r="R32" i="1"/>
  <c r="O32" i="1"/>
  <c r="K32" i="1"/>
  <c r="J32" i="1"/>
  <c r="F32" i="1"/>
  <c r="C32" i="1"/>
  <c r="R31" i="1"/>
  <c r="O31" i="1"/>
  <c r="L31" i="1"/>
  <c r="K31" i="1"/>
  <c r="J31" i="1"/>
  <c r="F31" i="1"/>
  <c r="C31" i="1"/>
  <c r="B31" i="1"/>
  <c r="R30" i="1"/>
  <c r="O30" i="1"/>
  <c r="L30" i="1"/>
  <c r="K30" i="1"/>
  <c r="J30" i="1"/>
  <c r="H30" i="1"/>
  <c r="F30" i="1"/>
  <c r="C30" i="1"/>
  <c r="B30" i="1"/>
  <c r="R29" i="1"/>
  <c r="O29" i="1"/>
  <c r="L29" i="1"/>
  <c r="K29" i="1"/>
  <c r="J29" i="1"/>
  <c r="I29" i="1"/>
  <c r="H29" i="1"/>
  <c r="G29" i="1"/>
  <c r="F29" i="1"/>
  <c r="D29" i="1"/>
  <c r="C29" i="1"/>
  <c r="B29" i="1"/>
  <c r="R28" i="1"/>
  <c r="P28" i="1"/>
  <c r="O28" i="1"/>
  <c r="L28" i="1"/>
  <c r="K28" i="1"/>
  <c r="J28" i="1"/>
  <c r="I28" i="1"/>
  <c r="H28" i="1"/>
  <c r="G28" i="1"/>
  <c r="F28" i="1"/>
  <c r="D28" i="1"/>
  <c r="C28" i="1"/>
  <c r="B28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B24" i="1"/>
</calcChain>
</file>

<file path=xl/sharedStrings.xml><?xml version="1.0" encoding="utf-8"?>
<sst xmlns="http://schemas.openxmlformats.org/spreadsheetml/2006/main" count="3368" uniqueCount="130">
  <si>
    <t>Time</t>
  </si>
  <si>
    <t>Andrew</t>
  </si>
  <si>
    <t>Azabenathi Pupuma</t>
  </si>
  <si>
    <t>Ben Brooker</t>
  </si>
  <si>
    <t>Flora Kundaeli</t>
  </si>
  <si>
    <t>Mark</t>
  </si>
  <si>
    <t>Michael Malia</t>
  </si>
  <si>
    <t>Muhammad Chothia</t>
  </si>
  <si>
    <t>Ntsako Mavuyangwa</t>
  </si>
  <si>
    <t>Palesa Maboeei</t>
  </si>
  <si>
    <t>Riyadh Leonard</t>
  </si>
  <si>
    <t>Robin April</t>
  </si>
  <si>
    <t>Ruan Vandermerwe</t>
  </si>
  <si>
    <t>Sandisiwe Manquma</t>
  </si>
  <si>
    <t>Suzanne Edlmann</t>
  </si>
  <si>
    <t>Thando Calana</t>
  </si>
  <si>
    <t>Thembani Faleni</t>
  </si>
  <si>
    <t>08:00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</si>
  <si>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</si>
  <si>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</si>
  <si>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</si>
  <si>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</si>
  <si>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</si>
  <si>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</si>
  <si>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</si>
  <si>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</si>
  <si>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</si>
  <si>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</si>
  <si>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</si>
  <si>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</si>
  <si>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</si>
  <si>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</si>
  <si>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</si>
  <si>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</si>
  <si>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</si>
  <si>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</si>
  <si>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</si>
  <si>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Load %</t>
  </si>
  <si>
    <t>Tasks per Assignee</t>
  </si>
  <si>
    <t>Andrew Milner</t>
  </si>
  <si>
    <t>Mark Gelman</t>
  </si>
  <si>
    <t>Ruan Van der Merwe</t>
  </si>
  <si>
    <t>Unassigned</t>
  </si>
  <si>
    <t>Daily Stand Up, Reminder: Update and Submit Timesheets</t>
  </si>
  <si>
    <t>Daily Stand Up</t>
  </si>
  <si>
    <t>Weekly sales meeting</t>
  </si>
  <si>
    <t>OM Work</t>
  </si>
  <si>
    <t>Wonga Work</t>
  </si>
  <si>
    <t>Ongoing: Daily operational tasks DSY</t>
  </si>
  <si>
    <t>Shoprite Analytics|| Cloud BI Daily Stand Up</t>
  </si>
  <si>
    <t xml:space="preserve">Shoprite SLA Internal Review </t>
  </si>
  <si>
    <t xml:space="preserve">DWH Transform load Monitoring  </t>
  </si>
  <si>
    <t>SnowPro Core Certification</t>
  </si>
  <si>
    <t>Coffee chat, Internal Study time(PDP)</t>
  </si>
  <si>
    <t>Masjid</t>
  </si>
  <si>
    <t>Internal Study time(PDP)</t>
  </si>
  <si>
    <t>PM Forum</t>
  </si>
  <si>
    <t xml:space="preserve">Monthly Tech Team Leave Discussion </t>
  </si>
  <si>
    <t>AWS Solutions Architect Associate</t>
  </si>
  <si>
    <t>OM Work, PM Forum</t>
  </si>
  <si>
    <t>Tech team planning, Canceled: Tech Team retro</t>
  </si>
  <si>
    <t>Tableau Tribe Development and Upskilling</t>
  </si>
  <si>
    <t>OM Work, Tableau Tribe Development and Upskilling</t>
  </si>
  <si>
    <t>Canceled: Tech Team retro</t>
  </si>
  <si>
    <t xml:space="preserve">Canceled: Product Management - Wherescape &amp; Alteryx </t>
  </si>
  <si>
    <t>Upskilling</t>
  </si>
  <si>
    <t>Check Internal Work</t>
  </si>
  <si>
    <t>Daily Stand Up, SS Tech Team Daily check-in</t>
  </si>
  <si>
    <t>DSY DW - Daily standup</t>
  </si>
  <si>
    <t>S/Stream - EBU Cadence - Bi-Monthly</t>
  </si>
  <si>
    <t>Wonga: DWH development &amp; migration on Snowflake Project Daily Standup**With Client**</t>
  </si>
  <si>
    <t>OM Work, FW: GRCA Portfolio | Team Stand-up, Wonga: DWH development &amp; migration on Snowflake Project Daily Standup**With Client**</t>
  </si>
  <si>
    <t>Wonga Work, Wonga: DWH development &amp; migration on Snowflake Project Daily Standup**With Client**</t>
  </si>
  <si>
    <t>Resource Utilisation Review</t>
  </si>
  <si>
    <t>Canceled: ShopRite SLA Report Monthly Prep (Tableau, Alteryx, B2B)</t>
  </si>
  <si>
    <t>Development activities - Glue - code and data</t>
  </si>
  <si>
    <t>OM Work, Wonga: DWH development &amp; migration on Snowflake Project Daily Standup**With Client**</t>
  </si>
  <si>
    <t xml:space="preserve">Canceled: Tech Team Planning </t>
  </si>
  <si>
    <t xml:space="preserve">Ongoing: Daily operational tasks DSY, Canceled: Tech Team Planning </t>
  </si>
  <si>
    <t xml:space="preserve">Investec PVT Bank 80 Hours Support Project Weekly Report </t>
  </si>
  <si>
    <t>Data Cloud Implentation Questions</t>
  </si>
  <si>
    <t>Product Management</t>
  </si>
  <si>
    <t>Strategy and solution Day</t>
  </si>
  <si>
    <t>Wonga: DWH development &amp; migration on Snowflake Project Daily Standup**With Client**, Strategy and solution Day</t>
  </si>
  <si>
    <t>FW: Weekly Check-In: Tableau Progress, Strategy and solution Day</t>
  </si>
  <si>
    <t>FW: Weekly Check-In: Tableau Progress</t>
  </si>
  <si>
    <t>OPS Exec Updates, Strategy and solution Day</t>
  </si>
  <si>
    <t>Product Management Sync</t>
  </si>
  <si>
    <t>OM Work, Product Management Sync</t>
  </si>
  <si>
    <t>Weekly Sync: Nate &lt;&gt; Andrew</t>
  </si>
  <si>
    <t>DW: Weekly round-up meeting</t>
  </si>
  <si>
    <t>Weekly round-up-meeting, DW: Weekly round-up meeting</t>
  </si>
  <si>
    <t>Wonga: DWH development &amp; migration on Snowflake Project Sprint Planning Session</t>
  </si>
  <si>
    <t>Wonga: DWH development &amp; migration on Snowflake Project Sprint Planning Session, AWS Solutions Architect Associate</t>
  </si>
  <si>
    <t>SA - Cloud BI | Sprint Planning, Weekly sales meeting</t>
  </si>
  <si>
    <t>Ben &lt;&gt; Nate - 1:1</t>
  </si>
  <si>
    <t>IP: SaaS - Asset Management progress update</t>
  </si>
  <si>
    <t>Aza &lt;&gt; Nate - 1:1</t>
  </si>
  <si>
    <t>OM Work, Flora &lt;&gt; Nate - 1:1</t>
  </si>
  <si>
    <t>Mark &lt;&gt; Nate - 1:1</t>
  </si>
  <si>
    <t>Michael &lt;&gt; Nate - 1:1</t>
  </si>
  <si>
    <t>Canceled: Tech team huddle</t>
  </si>
  <si>
    <t>OM Work, S/Stream - EBU Cadence - Bi-Monthly</t>
  </si>
  <si>
    <t>Ntsako &lt;&gt; Nate - 1:1</t>
  </si>
  <si>
    <t>Thembani &lt;&gt; Nate - 1:1</t>
  </si>
  <si>
    <t>Agentforce - Customer Success</t>
  </si>
  <si>
    <t>OM Work, Agentforce - Customer Success</t>
  </si>
  <si>
    <t>One-One coaching - Ntsako</t>
  </si>
  <si>
    <t>Palesa &lt;&gt; Nate - 1:1</t>
  </si>
  <si>
    <t xml:space="preserve">Riyad &lt;&gt; Nate - 1:1 </t>
  </si>
  <si>
    <t>Robin &lt;&gt; Nate - 1:1</t>
  </si>
  <si>
    <t>OM Work, OM Advisor Recon (Manual Run)</t>
  </si>
  <si>
    <t>Advisor Recon Refresh Data Source</t>
  </si>
  <si>
    <t>OM Work, Wonga: DWH development &amp; migration on Snowflake Project Daily Standup**With Client**, OM Advisor Recon (Manual Run)</t>
  </si>
  <si>
    <t>Suzanne &lt;&gt; Nate - 1:1</t>
  </si>
  <si>
    <t xml:space="preserve">Shoprite Analytics|| Cloud BI Daily Stand Up, Canceled: Monthly SLA Review - Tableau/Alteryx/Snowflake b2b </t>
  </si>
  <si>
    <t xml:space="preserve">Canceled: Monthly SLA Review - Tableau/Alteryx/Snowflake b2b </t>
  </si>
  <si>
    <t>Canceled: PM Alignment Meeting</t>
  </si>
  <si>
    <t>OM Work, Canceled: Senior Tech Team: Insights Session</t>
  </si>
  <si>
    <t>Canceled: Senior Tech Team: Insights Session</t>
  </si>
  <si>
    <t>Tech team retrospective</t>
  </si>
  <si>
    <t>Tech team retrospective, Canceled: Tech team huddle</t>
  </si>
  <si>
    <t>WhereScape/Slipstream - monthly catch up</t>
  </si>
  <si>
    <t>Wonga: DWH Project Monthly Retrospective Sessions **Internal Meeting**, Strategy and solution Day</t>
  </si>
  <si>
    <t>Wonga: DWH Project Monthly Retrospective Sessions **Internal Meeting**</t>
  </si>
  <si>
    <t>SnowPro Core Certification, Wonga: DWH Project Monthly Retrospective Sessions **Internal Meeting**</t>
  </si>
  <si>
    <t>AWS Solutions Architect Associate, Wonga: DWH Project Monthly Retrospective Sessions **Internal Meeting**</t>
  </si>
  <si>
    <t xml:space="preserve">Monthly Management Meeting </t>
  </si>
  <si>
    <t xml:space="preserve">Weekly Sync: Nate &lt;&gt; Andrew, Monthly Management Meeting </t>
  </si>
  <si>
    <t xml:space="preserve">DW: Weekly round-up meeting, Monthly Management Meeting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</si>
</sst>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2"/>
  <sheetViews>
    <sheetView tabSelected="1" workbookViewId="0"/>
  </sheetViews>
  <sheetFormatPr defaultRowHeight="14.4" x14ac:dyDescent="0.3"/>
  <cols>
    <col min="1" max="1" width="20" customWidth="1"/>
    <col min="2" max="4" width="50" customWidth="1"/>
    <col min="5" max="5" width="35" customWidth="1"/>
    <col min="6" max="12" width="50" customWidth="1"/>
    <col min="13" max="14" width="35" customWidth="1"/>
    <col min="15" max="16" width="50" customWidth="1"/>
    <col min="17" max="17" width="35" customWidth="1"/>
    <col min="18" max="18" width="50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</row>
    <row r="3" spans="1:17" x14ac:dyDescent="0.3">
      <c r="A3" t="s">
        <v>18</v>
      </c>
    </row>
    <row r="4" spans="1:17" x14ac:dyDescent="0.3">
      <c r="A4" t="s">
        <v>19</v>
      </c>
    </row>
    <row r="5" spans="1:17" x14ac:dyDescent="0.3">
      <c r="A5" t="s">
        <v>20</v>
      </c>
    </row>
    <row r="6" spans="1:17" x14ac:dyDescent="0.3">
      <c r="A6" t="s">
        <v>21</v>
      </c>
    </row>
    <row r="7" spans="1:17" x14ac:dyDescent="0.3">
      <c r="A7" t="s">
        <v>22</v>
      </c>
    </row>
    <row r="8" spans="1:17" x14ac:dyDescent="0.3">
      <c r="A8" t="s">
        <v>23</v>
      </c>
    </row>
    <row r="9" spans="1:17" x14ac:dyDescent="0.3">
      <c r="A9" t="s">
        <v>24</v>
      </c>
    </row>
    <row r="10" spans="1:17" x14ac:dyDescent="0.3">
      <c r="A10" t="s">
        <v>25</v>
      </c>
    </row>
    <row r="11" spans="1:17" x14ac:dyDescent="0.3">
      <c r="A11" t="s">
        <v>26</v>
      </c>
    </row>
    <row r="12" spans="1:17" x14ac:dyDescent="0.3">
      <c r="A12" t="s">
        <v>27</v>
      </c>
    </row>
    <row r="13" spans="1:17" x14ac:dyDescent="0.3">
      <c r="A13" t="s">
        <v>28</v>
      </c>
    </row>
    <row r="14" spans="1:17" x14ac:dyDescent="0.3">
      <c r="A14" t="s">
        <v>29</v>
      </c>
    </row>
    <row r="15" spans="1:17" x14ac:dyDescent="0.3">
      <c r="A15" t="s">
        <v>30</v>
      </c>
    </row>
    <row r="16" spans="1:17" x14ac:dyDescent="0.3">
      <c r="A16" t="s">
        <v>31</v>
      </c>
    </row>
    <row r="17" spans="1:18" x14ac:dyDescent="0.3">
      <c r="A17" t="s">
        <v>32</v>
      </c>
    </row>
    <row r="18" spans="1:18" x14ac:dyDescent="0.3">
      <c r="A18" t="s">
        <v>33</v>
      </c>
    </row>
    <row r="19" spans="1:18" x14ac:dyDescent="0.3">
      <c r="A19" t="s">
        <v>34</v>
      </c>
    </row>
    <row r="20" spans="1:18" x14ac:dyDescent="0.3">
      <c r="A20" t="s">
        <v>35</v>
      </c>
    </row>
    <row r="21" spans="1:18" x14ac:dyDescent="0.3">
      <c r="A21" t="s">
        <v>36</v>
      </c>
    </row>
    <row r="24" spans="1:18" x14ac:dyDescent="0.3">
      <c r="A24" t="s">
        <v>37</v>
      </c>
      <c r="B24">
        <f t="shared" ref="B24:Q24" si="0">ROUND(COUNTIF(B2:B19,"&lt;&gt;")/18,4)</f>
        <v>0</v>
      </c>
      <c r="C24">
        <f t="shared" si="0"/>
        <v>0</v>
      </c>
      <c r="D24">
        <f t="shared" si="0"/>
        <v>0</v>
      </c>
      <c r="E24">
        <f t="shared" si="0"/>
        <v>0</v>
      </c>
      <c r="F24">
        <f t="shared" si="0"/>
        <v>0</v>
      </c>
      <c r="G24">
        <f t="shared" si="0"/>
        <v>0</v>
      </c>
      <c r="H24">
        <f t="shared" si="0"/>
        <v>0</v>
      </c>
      <c r="I24">
        <f t="shared" si="0"/>
        <v>0</v>
      </c>
      <c r="J24">
        <f t="shared" si="0"/>
        <v>0</v>
      </c>
      <c r="K24">
        <f t="shared" si="0"/>
        <v>0</v>
      </c>
      <c r="L24">
        <f t="shared" si="0"/>
        <v>0</v>
      </c>
      <c r="M24">
        <f t="shared" si="0"/>
        <v>0</v>
      </c>
      <c r="N24">
        <f t="shared" si="0"/>
        <v>0</v>
      </c>
      <c r="O24">
        <f t="shared" si="0"/>
        <v>0</v>
      </c>
      <c r="P24">
        <f t="shared" si="0"/>
        <v>0</v>
      </c>
      <c r="Q24">
        <f t="shared" si="0"/>
        <v>0</v>
      </c>
    </row>
    <row r="27" spans="1:18" x14ac:dyDescent="0.3">
      <c r="A27" t="s">
        <v>38</v>
      </c>
      <c r="B27" t="s">
        <v>39</v>
      </c>
      <c r="C27" t="s">
        <v>2</v>
      </c>
      <c r="D27" t="s">
        <v>3</v>
      </c>
      <c r="E27" t="s">
        <v>4</v>
      </c>
      <c r="F27" t="s">
        <v>40</v>
      </c>
      <c r="G27" t="s">
        <v>6</v>
      </c>
      <c r="H27" t="s">
        <v>7</v>
      </c>
      <c r="I27" t="s">
        <v>8</v>
      </c>
      <c r="J27" t="s">
        <v>9</v>
      </c>
      <c r="K27" t="s">
        <v>10</v>
      </c>
      <c r="L27" t="s">
        <v>11</v>
      </c>
      <c r="M27" t="s">
        <v>41</v>
      </c>
      <c r="N27" t="s">
        <v>13</v>
      </c>
      <c r="O27" t="s">
        <v>14</v>
      </c>
      <c r="P27" t="s">
        <v>15</v>
      </c>
      <c r="Q27" t="s">
        <v>16</v>
      </c>
      <c r="R27" t="s">
        <v>42</v>
      </c>
    </row>
    <row r="28" spans="1:18" x14ac:dyDescent="0.3">
      <c r="B28" t="str">
        <f>HYPERLINK("https://app.clickup.com/t/8698kwuqq", "[slipstream - data warehouse solution - git (productization)] Design and Build Costing reports in Snowflake")</f>
        <v>[slipstream - data warehouse solution - git (productization)] Design and Build Costing reports in Snowflake</v>
      </c>
      <c r="C28" t="str">
        <f>HYPERLINK("https://app.clickup.com/t/86995td5m", "[slipstream - data warehouse solution - git (productization)] Build the data deployment pipelines for DEV to QA")</f>
        <v>[slipstream - data warehouse solution - git (productization)] Build the data deployment pipelines for DEV to QA</v>
      </c>
      <c r="D28" t="str">
        <f>HYPERLINK("https://app.clickup.com/t/86995td5m", "[slipstream - data warehouse solution - git (productization)] Build the data deployment pipelines for DEV to QA")</f>
        <v>[slipstream - data warehouse solution - git (productization)] Build the data deployment pipelines for DEV to QA</v>
      </c>
      <c r="F28" t="str">
        <f>HYPERLINK("https://app.clickup.com/t/869a2knmy", "[slipstream - data warehouse solution - git (productization)] Create views as exploitation layer out of data lake")</f>
        <v>[slipstream - data warehouse solution - git (productization)] Create views as exploitation layer out of data lake</v>
      </c>
      <c r="G28" t="str">
        <f>HYPERLINK("https://app.clickup.com/t/869474qb4", "[internal projects] Commit code to GitHub")</f>
        <v>[internal projects] Commit code to GitHub</v>
      </c>
      <c r="H28" t="str">
        <f>HYPERLINK("https://app.clickup.com/t/869474qb4", "[internal projects] Commit code to GitHub")</f>
        <v>[internal projects] Commit code to GitHub</v>
      </c>
      <c r="I28" t="str">
        <f>HYPERLINK("https://app.clickup.com/t/869atfeg3", "[freshdesk] 1375 FPM Look through results compared to Reg30 rounding differences")</f>
        <v>[freshdesk] 1375 FPM Look through results compared to Reg30 rounding differences</v>
      </c>
      <c r="J28" t="str">
        <f>HYPERLINK("https://app.clickup.com/t/869bd0zxj", "[freshdesk] 1430 Athena Connection Setup")</f>
        <v>[freshdesk] 1430 Athena Connection Setup</v>
      </c>
      <c r="K28" t="str">
        <f>HYPERLINK("https://app.clickup.com/t/8698jrq49", "[slipstream - data warehouse solution - git (productization)] Testing - data Audit processes")</f>
        <v>[slipstream - data warehouse solution - git (productization)] Testing - data Audit processes</v>
      </c>
      <c r="L28" t="str">
        <f>HYPERLINK("https://app.clickup.com/t/869a5344p", "[freshdesk] Documentation")</f>
        <v>[freshdesk] Documentation</v>
      </c>
      <c r="O28" t="str">
        <f>HYPERLINK("https://app.clickup.com/t/869474qb4", "[internal projects] Commit code to GitHub")</f>
        <v>[internal projects] Commit code to GitHub</v>
      </c>
      <c r="P28" t="str">
        <f>HYPERLINK("https://app.clickup.com/t/869bd6a0f", "[wonga: data warehouse development &amp; migration onto snowflake project] Dim_Funnel_Checks")</f>
        <v>[wonga: data warehouse development &amp; migration onto snowflake project] Dim_Funnel_Checks</v>
      </c>
      <c r="R28" t="str">
        <f>HYPERLINK("https://app.clickup.com/t/869bbt350", "[freshdesk] 1428 SSO Intergations for data connections within Alteryx")</f>
        <v>[freshdesk] 1428 SSO Intergations for data connections within Alteryx</v>
      </c>
    </row>
    <row r="29" spans="1:18" x14ac:dyDescent="0.3">
      <c r="B29" t="str">
        <f>HYPERLINK("https://app.clickup.com/t/8698jrq4e", "[slipstream - data warehouse solution - git (productization)] Support. Includes platform optimisation, query optimisation etc.")</f>
        <v>[slipstream - data warehouse solution - git (productization)] Support. Includes platform optimisation, query optimisation etc.</v>
      </c>
      <c r="C29" t="str">
        <f>HYPERLINK("https://app.clickup.com/t/8695qbamh", "[internal projects] Testing")</f>
        <v>[internal projects] Testing</v>
      </c>
      <c r="D29" t="str">
        <f>HYPERLINK("https://app.clickup.com/t/869474qb4", "[internal projects] Commit code to GitHub")</f>
        <v>[internal projects] Commit code to GitHub</v>
      </c>
      <c r="F29" t="str">
        <f>HYPERLINK("https://app.clickup.com/t/8698kwuqq", "[slipstream - data warehouse solution - git (productization)] Design and Build Costing reports in Snowflake")</f>
        <v>[slipstream - data warehouse solution - git (productization)] Design and Build Costing reports in Snowflake</v>
      </c>
      <c r="G29" t="str">
        <f>HYPERLINK("https://app.clickup.com/t/8696c93m9", "[discovery invest - dw maintenance] Change LAst_seed_Process = 2 for 7 tables")</f>
        <v>[discovery invest - dw maintenance] Change LAst_seed_Process = 2 for 7 tables</v>
      </c>
      <c r="H29" t="str">
        <f>HYPERLINK("https://app.clickup.com/t/862k4g368", "[internal projects] Integrate data to Tableau report")</f>
        <v>[internal projects] Integrate data to Tableau report</v>
      </c>
      <c r="I29" t="str">
        <f>HYPERLINK("https://app.clickup.com/t/869474qb4", "[internal projects] Commit code to GitHub")</f>
        <v>[internal projects] Commit code to GitHub</v>
      </c>
      <c r="J29" t="str">
        <f>HYPERLINK("https://app.clickup.com/t/8696q3a3m", "[internal projects] Team Skills")</f>
        <v>[internal projects] Team Skills</v>
      </c>
      <c r="K29" t="str">
        <f>HYPERLINK("https://app.clickup.com/t/8698jrq40", "[slipstream - data warehouse solution - git (productization)] Optimisation and Enhancemnets post testing")</f>
        <v>[slipstream - data warehouse solution - git (productization)] Optimisation and Enhancemnets post testing</v>
      </c>
      <c r="L29" t="str">
        <f>HYPERLINK("https://app.clickup.com/t/8698juq5h", "[slipstream - data warehouse solution - git (productization)] Build the PowerBI reports for monitoring data Lake progress")</f>
        <v>[slipstream - data warehouse solution - git (productization)] Build the PowerBI reports for monitoring data Lake progress</v>
      </c>
      <c r="O29" t="str">
        <f>HYPERLINK("https://app.clickup.com/t/869a9nmh7", "[om: fatca 2.0 design implementation project (jira tasks)] CDC-2626 Setup Non-prod and Prod space on Alteryx Servers")</f>
        <v>[om: fatca 2.0 design implementation project (jira tasks)] CDC-2626 Setup Non-prod and Prod space on Alteryx Servers</v>
      </c>
      <c r="R29" t="str">
        <f>HYPERLINK("https://app.clickup.com/t/869b88fev", "[freshdesk] 1421 OTIF Schedule date changes")</f>
        <v>[freshdesk] 1421 OTIF Schedule date changes</v>
      </c>
    </row>
    <row r="30" spans="1:18" x14ac:dyDescent="0.3">
      <c r="B30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  <c r="C30" t="str">
        <f>HYPERLINK("https://app.clickup.com/t/869474qb4", "[internal projects] Commit code to GitHub")</f>
        <v>[internal projects] Commit code to GitHub</v>
      </c>
      <c r="F30" t="str">
        <f>HYPERLINK("https://app.clickup.com/t/8698jrxaj", "[slipstream - data warehouse solution - git (productization)] Snowflake Setup and Configuration")</f>
        <v>[slipstream - data warehouse solution - git (productization)] Snowflake Setup and Configuration</v>
      </c>
      <c r="H30" t="str">
        <f>HYPERLINK("https://app.clickup.com/t/86931cq82", "[certification] Alteryx")</f>
        <v>[certification] Alteryx</v>
      </c>
      <c r="J30" t="str">
        <f>HYPERLINK("https://app.clickup.com/t/8696kqh8k", "[internal projects] Tableau server Microsoft Teams app set up")</f>
        <v>[internal projects] Tableau server Microsoft Teams app set up</v>
      </c>
      <c r="K30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  <c r="L30" t="str">
        <f>HYPERLINK("https://app.clickup.com/t/8698jupt0", "[slipstream - data warehouse solution - git (productization)] Build the PowerBI reports for monitoring data Stage progress")</f>
        <v>[slipstream - data warehouse solution - git (productization)] Build the PowerBI reports for monitoring data Stage progress</v>
      </c>
      <c r="O30" t="str">
        <f>HYPERLINK("https://app.clickup.com/t/869a6vnq6", "[om: fatca 2.0 design implementation project (jira tasks)] CDC-2757 Market Conduct: Provide time estimates for deliverables")</f>
        <v>[om: fatca 2.0 design implementation project (jira tasks)] CDC-2757 Market Conduct: Provide time estimates for deliverables</v>
      </c>
      <c r="R30" t="str">
        <f>HYPERLINK("https://app.clickup.com/t/8698jrq49", "[slipstream - data warehouse solution - git (productization)] Testing - data Audit processes")</f>
        <v>[slipstream - data warehouse solution - git (productization)] Testing - data Audit processes</v>
      </c>
    </row>
    <row r="31" spans="1:18" x14ac:dyDescent="0.3">
      <c r="B31" t="str">
        <f>HYPERLINK("https://app.clickup.com/t/869474qb4", "[internal projects] Commit code to GitHub")</f>
        <v>[internal projects] Commit code to GitHub</v>
      </c>
      <c r="C31" t="str">
        <f>HYPERLINK("https://app.clickup.com/t/862k18nwr", "[internal projects] SLA performance for each customer")</f>
        <v>[internal projects] SLA performance for each customer</v>
      </c>
      <c r="F31" t="str">
        <f>HYPERLINK("https://app.clickup.com/t/8698jrq40", "[slipstream - data warehouse solution - git (productization)] Optimisation and Enhancemnets post testing")</f>
        <v>[slipstream - data warehouse solution - git (productization)] Optimisation and Enhancemnets post testing</v>
      </c>
      <c r="J31" t="str">
        <f>HYPERLINK("https://app.clickup.com/t/869474qb4", "[internal projects] Commit code to GitHub")</f>
        <v>[internal projects] Commit code to GitHub</v>
      </c>
      <c r="K31" t="str">
        <f>HYPERLINK("https://app.clickup.com/t/869474qb4", "[internal projects] Commit code to GitHub")</f>
        <v>[internal projects] Commit code to GitHub</v>
      </c>
      <c r="L31" t="str">
        <f>HYPERLINK("https://app.clickup.com/t/8698jrq3g", "[slipstream - data warehouse solution - git (productization)] Orchestration")</f>
        <v>[slipstream - data warehouse solution - git (productization)] Orchestration</v>
      </c>
      <c r="O31" t="str">
        <f>HYPERLINK("https://app.clickup.com/t/869a1x6nk", "[om: fatca 2.0 design implementation project (jira tasks)] CDC-2062 Highlight where field values do not map to static reference tables in the raw schema")</f>
        <v>[om: fatca 2.0 design implementation project (jira tasks)] CDC-2062 Highlight where field values do not map to static reference tables in the raw schema</v>
      </c>
      <c r="R31" t="str">
        <f>HYPERLINK("https://app.clickup.com/t/8698jrq3g", "[slipstream - data warehouse solution - git (productization)] Orchestration")</f>
        <v>[slipstream - data warehouse solution - git (productization)] Orchestration</v>
      </c>
    </row>
    <row r="32" spans="1:18" x14ac:dyDescent="0.3">
      <c r="C32" t="str">
        <f>HYPERLINK("https://app.clickup.com/t/8694x2b1k", "[certification] Alteryx Designer Advanced")</f>
        <v>[certification] Alteryx Designer Advanced</v>
      </c>
      <c r="F32" t="str">
        <f>HYPERLINK("https://app.clickup.com/t/869474qb4", "[internal projects] Commit code to GitHub")</f>
        <v>[internal projects] Commit code to GitHub</v>
      </c>
      <c r="J32" t="str">
        <f>HYPERLINK("https://app.clickup.com/t/8698rmb2r", "[certification] AWS Certified Solutions Architect - Associate")</f>
        <v>[certification] AWS Certified Solutions Architect - Associate</v>
      </c>
      <c r="K32" t="str">
        <f>HYPERLINK("https://app.clickup.com/t/86971xvd4", "[discovery invest - dw maintenance] Run the file extracts")</f>
        <v>[discovery invest - dw maintenance] Run the file extracts</v>
      </c>
      <c r="O32" t="str">
        <f>HYPERLINK("https://app.clickup.com/t/869a1bu7g", "[om: fatca 2.0 design implementation project (jira tasks)] CDC-2563 Business Rule - Tax Free investments")</f>
        <v>[om: fatca 2.0 design implementation project (jira tasks)] CDC-2563 Business Rule - Tax Free investments</v>
      </c>
      <c r="R32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</row>
    <row r="33" spans="6:18" x14ac:dyDescent="0.3">
      <c r="F33" t="str">
        <f>HYPERLINK("https://app.clickup.com/t/86931cq56", "[certification] Snowflake")</f>
        <v>[certification] Snowflake</v>
      </c>
      <c r="K33" t="str">
        <f>HYPERLINK("https://app.clickup.com/t/86971xv4x", "[discovery invest - dw maintenance] Validating the marts")</f>
        <v>[discovery invest - dw maintenance] Validating the marts</v>
      </c>
      <c r="O33" t="str">
        <f>HYPERLINK("https://app.clickup.com/t/869a01gfm", "[om: fatca 2.0 design implementation project (jira tasks)] CDC-2509 Investigate subset where controlling person and entity has different entity_ids")</f>
        <v>[om: fatca 2.0 design implementation project (jira tasks)] CDC-2509 Investigate subset where controlling person and entity has different entity_ids</v>
      </c>
      <c r="R33" t="str">
        <f>HYPERLINK("https://app.clickup.com/t/869ag79ab", "[internal projects] Test Framework UAT doc")</f>
        <v>[internal projects] Test Framework UAT doc</v>
      </c>
    </row>
    <row r="34" spans="6:18" x14ac:dyDescent="0.3">
      <c r="K34" t="str">
        <f>HYPERLINK("https://app.clickup.com/t/86971xv04", "[discovery invest - dw maintenance] Run mart code")</f>
        <v>[discovery invest - dw maintenance] Run mart code</v>
      </c>
      <c r="O34" t="str">
        <f>HYPERLINK("https://app.clickup.com/t/8699yvvh7", "[om: fatca 2.0 design implementation project (jira tasks)] CDC-2560 SARS TPAH Template Update the rule to avoid referencing the database table")</f>
        <v>[om: fatca 2.0 design implementation project (jira tasks)] CDC-2560 SARS TPAH Template Update the rule to avoid referencing the database table</v>
      </c>
      <c r="R34" t="str">
        <f>HYPERLINK("https://app.clickup.com/t/869a70f9p", "[internal projects] Billed VS Invoiced VS SLA")</f>
        <v>[internal projects] Billed VS Invoiced VS SLA</v>
      </c>
    </row>
    <row r="35" spans="6:18" x14ac:dyDescent="0.3">
      <c r="K35" t="str">
        <f>HYPERLINK("https://app.clickup.com/t/86971xur8", "[discovery invest - dw maintenance] Run implied deletes code")</f>
        <v>[discovery invest - dw maintenance] Run implied deletes code</v>
      </c>
      <c r="O35" t="str">
        <f>HYPERLINK("https://app.clickup.com/t/8699yvveh", "[om: fatca 2.0 design implementation project (jira tasks)] CDC-2559 SARS TPAH Template Remove all spaces and special characters")</f>
        <v>[om: fatca 2.0 design implementation project (jira tasks)] CDC-2559 SARS TPAH Template Remove all spaces and special characters</v>
      </c>
      <c r="R35" t="str">
        <f>HYPERLINK("https://app.clickup.com/t/8697xudfa", "[internal projects] Income statement dashboard")</f>
        <v>[internal projects] Income statement dashboard</v>
      </c>
    </row>
    <row r="36" spans="6:18" x14ac:dyDescent="0.3">
      <c r="K36" t="str">
        <f>HYPERLINK("https://app.clickup.com/t/86971xtt3", "[discovery invest - dw maintenance] Validating the DWH")</f>
        <v>[discovery invest - dw maintenance] Validating the DWH</v>
      </c>
      <c r="R36" t="str">
        <f>HYPERLINK("https://app.clickup.com/t/8697t8mu2", "[internal projects] Sales Dashboard Additional requirements")</f>
        <v>[internal projects] Sales Dashboard Additional requirements</v>
      </c>
    </row>
    <row r="37" spans="6:18" x14ac:dyDescent="0.3">
      <c r="O37" t="str">
        <f>HYPERLINK("https://app.clickup.com/t/8699yvuqh", "[om: fatca 2.0 design implementation project (jira tasks)] CDC-2555 Entities former COB")</f>
        <v>[om: fatca 2.0 design implementation project (jira tasks)] CDC-2555 Entities former COB</v>
      </c>
      <c r="R37" t="str">
        <f>HYPERLINK("https://app.clickup.com/t/8697my8gd", "[internal projects] Financial and Sales Dashboard enhancement")</f>
        <v>[internal projects] Financial and Sales Dashboard enhancement</v>
      </c>
    </row>
    <row r="38" spans="6:18" x14ac:dyDescent="0.3">
      <c r="O38" t="str">
        <f>HYPERLINK("https://app.clickup.com/t/8699yvtjg", "[om: fatca 2.0 design implementation project (jira tasks)] CDC-2553 Flexcube SARS Templates - rename the RFI to source system code at scheme level")</f>
        <v>[om: fatca 2.0 design implementation project (jira tasks)] CDC-2553 Flexcube SARS Templates - rename the RFI to source system code at scheme level</v>
      </c>
      <c r="R38" t="str">
        <f>HYPERLINK("https://app.clickup.com/t/8696yar98", "[internal projects] Resource Utilization Dashboard Refinements")</f>
        <v>[internal projects] Resource Utilization Dashboard Refinements</v>
      </c>
    </row>
    <row r="39" spans="6:18" x14ac:dyDescent="0.3">
      <c r="O39" t="str">
        <f>HYPERLINK("https://app.clickup.com/t/8699yvruw", "[om: fatca 2.0 design implementation project (jira tasks)] CDC-2561 Diminmus rules to be applied at scheme level and not at OMUT level")</f>
        <v>[om: fatca 2.0 design implementation project (jira tasks)] CDC-2561 Diminmus rules to be applied at scheme level and not at OMUT level</v>
      </c>
      <c r="R39" t="str">
        <f>HYPERLINK("https://app.clickup.com/t/8696u6wyy", "[internal projects] Alteryx Server SLA Report process")</f>
        <v>[internal projects] Alteryx Server SLA Report process</v>
      </c>
    </row>
    <row r="40" spans="6:18" x14ac:dyDescent="0.3">
      <c r="O40" t="str">
        <f>HYPERLINK("https://app.clickup.com/t/8699yvra6", "[om: fatca 2.0 design implementation project (jira tasks)] CDC-2554 Entities COB")</f>
        <v>[om: fatca 2.0 design implementation project (jira tasks)] CDC-2554 Entities COB</v>
      </c>
      <c r="R40" t="str">
        <f>HYPERLINK("https://app.clickup.com/t/8695mj63r", "[internal projects] Shoprite B2B SLA Document")</f>
        <v>[internal projects] Shoprite B2B SLA Document</v>
      </c>
    </row>
    <row r="41" spans="6:18" x14ac:dyDescent="0.3">
      <c r="R41" t="str">
        <f>HYPERLINK("https://app.clickup.com/t/869474qb4", "[internal projects] Commit code to GitHub")</f>
        <v>[internal projects] Commit code to GitHub</v>
      </c>
    </row>
    <row r="42" spans="6:18" x14ac:dyDescent="0.3">
      <c r="R42" t="str">
        <f>HYPERLINK("https://app.clickup.com/t/869agp147", "[certification] Snowflake Sales Professional")</f>
        <v>[certification] Snowflake Sales Professional</v>
      </c>
    </row>
    <row r="43" spans="6:18" x14ac:dyDescent="0.3">
      <c r="R43" t="str">
        <f>HYPERLINK("https://app.clickup.com/t/869agp0uz", "[certification] Snowflake Technical Sales Professional")</f>
        <v>[certification] Snowflake Technical Sales Professional</v>
      </c>
    </row>
    <row r="44" spans="6:18" x14ac:dyDescent="0.3">
      <c r="R44" t="str">
        <f>HYPERLINK("https://app.clickup.com/t/869af829t", "[certification] Salesforce Certified Agentforce Specialist")</f>
        <v>[certification] Salesforce Certified Agentforce Specialist</v>
      </c>
    </row>
    <row r="45" spans="6:18" x14ac:dyDescent="0.3">
      <c r="R45" t="str">
        <f>HYPERLINK("https://app.clickup.com/t/869ab9g7u", "[certification] AWS Data Engineer - Associate")</f>
        <v>[certification] AWS Data Engineer - Associate</v>
      </c>
    </row>
    <row r="46" spans="6:18" x14ac:dyDescent="0.3">
      <c r="R46" t="str">
        <f>HYPERLINK("https://app.clickup.com/t/869b6v0gh", "[om: fatca 2.0 design implementation project (jira tasks)] CDC-2562 Develop a Foreigners List dashboard")</f>
        <v>[om: fatca 2.0 design implementation project (jira tasks)] CDC-2562 Develop a Foreigners List dashboard</v>
      </c>
    </row>
    <row r="47" spans="6:18" x14ac:dyDescent="0.3">
      <c r="R47" t="str">
        <f>HYPERLINK("https://app.clickup.com/t/869ax6j44", "[om: fatca 2.0 design implementation project (jira tasks)] Titanium Reports")</f>
        <v>[om: fatca 2.0 design implementation project (jira tasks)] Titanium Reports</v>
      </c>
    </row>
    <row r="48" spans="6:18" x14ac:dyDescent="0.3">
      <c r="R48" t="str">
        <f>HYPERLINK("https://app.clickup.com/t/869ax6j0z", "[om: fatca 2.0 design implementation project (jira tasks)] CDC-3034-aws-s3-bucket-investigation")</f>
        <v>[om: fatca 2.0 design implementation project (jira tasks)] CDC-3034-aws-s3-bucket-investigation</v>
      </c>
    </row>
    <row r="49" spans="18:18" x14ac:dyDescent="0.3">
      <c r="R49" t="str">
        <f>HYPERLINK("https://app.clickup.com/t/869avjm5f", "[om: fatca 2.0 design implementation project (jira tasks)] CBR Quarterly Run")</f>
        <v>[om: fatca 2.0 design implementation project (jira tasks)] CBR Quarterly Run</v>
      </c>
    </row>
    <row r="50" spans="18:18" x14ac:dyDescent="0.3">
      <c r="R50" t="str">
        <f>HYPERLINK("https://app.clickup.com/t/869auvvmp", "[om: fatca 2.0 design implementation project (jira tasks)] Advisor Recon Report Manual Run")</f>
        <v>[om: fatca 2.0 design implementation project (jira tasks)] Advisor Recon Report Manual Run</v>
      </c>
    </row>
    <row r="51" spans="18:18" x14ac:dyDescent="0.3">
      <c r="R51" t="str">
        <f>HYPERLINK("https://app.clickup.com/t/869arkz3a", "[om: fatca 2.0 design implementation project (jira tasks)] CDC-2914 Create Test Cases Cura Reg Change (Framework) Dashboard")</f>
        <v>[om: fatca 2.0 design implementation project (jira tasks)] CDC-2914 Create Test Cases Cura Reg Change (Framework) Dashboard</v>
      </c>
    </row>
    <row r="52" spans="18:18" x14ac:dyDescent="0.3">
      <c r="R52" t="str">
        <f>HYPERLINK("https://app.clickup.com/t/869am7mt7", "[om: fatca 2.0 design implementation project (jira tasks)] CDC-2913 Cura Reg Change Dashboard Modifications")</f>
        <v>[om: fatca 2.0 design implementation project (jira tasks)] CDC-2913 Cura Reg Change Dashboard Modifications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52"/>
  <sheetViews>
    <sheetView workbookViewId="0"/>
  </sheetViews>
  <sheetFormatPr defaultRowHeight="14.4" x14ac:dyDescent="0.3"/>
  <cols>
    <col min="1" max="1" width="20" customWidth="1"/>
    <col min="2" max="12" width="50" customWidth="1"/>
    <col min="13" max="13" width="42" customWidth="1"/>
    <col min="14" max="14" width="37" customWidth="1"/>
    <col min="15" max="16" width="50" customWidth="1"/>
    <col min="17" max="17" width="42" customWidth="1"/>
    <col min="18" max="18" width="50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</row>
    <row r="3" spans="1:17" x14ac:dyDescent="0.3">
      <c r="A3" t="s">
        <v>18</v>
      </c>
      <c r="B3" t="s">
        <v>43</v>
      </c>
      <c r="C3" t="s">
        <v>44</v>
      </c>
      <c r="D3" t="s">
        <v>44</v>
      </c>
      <c r="E3" t="s">
        <v>44</v>
      </c>
      <c r="F3" t="s">
        <v>44</v>
      </c>
      <c r="G3" t="s">
        <v>43</v>
      </c>
      <c r="H3" t="s">
        <v>44</v>
      </c>
      <c r="I3" t="s">
        <v>43</v>
      </c>
      <c r="J3" t="s">
        <v>44</v>
      </c>
      <c r="K3" t="s">
        <v>44</v>
      </c>
      <c r="L3" t="s">
        <v>44</v>
      </c>
      <c r="M3" t="s">
        <v>44</v>
      </c>
      <c r="N3" t="s">
        <v>44</v>
      </c>
      <c r="O3" t="s">
        <v>44</v>
      </c>
      <c r="P3" t="s">
        <v>44</v>
      </c>
      <c r="Q3" t="s">
        <v>44</v>
      </c>
    </row>
    <row r="4" spans="1:17" x14ac:dyDescent="0.3">
      <c r="A4" t="s">
        <v>19</v>
      </c>
      <c r="B4" t="s">
        <v>45</v>
      </c>
      <c r="E4" t="s">
        <v>46</v>
      </c>
      <c r="F4" t="s">
        <v>45</v>
      </c>
      <c r="L4" t="s">
        <v>47</v>
      </c>
      <c r="N4" t="s">
        <v>45</v>
      </c>
    </row>
    <row r="5" spans="1:17" x14ac:dyDescent="0.3">
      <c r="A5" t="s">
        <v>20</v>
      </c>
      <c r="B5" t="s">
        <v>45</v>
      </c>
      <c r="E5" t="s">
        <v>46</v>
      </c>
      <c r="F5" t="s">
        <v>45</v>
      </c>
      <c r="G5" t="s">
        <v>48</v>
      </c>
      <c r="L5" t="s">
        <v>47</v>
      </c>
      <c r="N5" t="s">
        <v>45</v>
      </c>
    </row>
    <row r="6" spans="1:17" x14ac:dyDescent="0.3">
      <c r="A6" t="s">
        <v>21</v>
      </c>
      <c r="B6" t="s">
        <v>45</v>
      </c>
      <c r="D6" t="s">
        <v>49</v>
      </c>
      <c r="E6" t="s">
        <v>46</v>
      </c>
      <c r="F6" t="s">
        <v>45</v>
      </c>
      <c r="G6" t="s">
        <v>48</v>
      </c>
      <c r="J6" t="s">
        <v>49</v>
      </c>
      <c r="L6" t="s">
        <v>47</v>
      </c>
      <c r="N6" t="s">
        <v>45</v>
      </c>
    </row>
    <row r="7" spans="1:17" x14ac:dyDescent="0.3">
      <c r="A7" t="s">
        <v>22</v>
      </c>
      <c r="E7" t="s">
        <v>46</v>
      </c>
      <c r="L7" t="s">
        <v>47</v>
      </c>
    </row>
    <row r="8" spans="1:17" x14ac:dyDescent="0.3">
      <c r="A8" t="s">
        <v>23</v>
      </c>
      <c r="B8" t="s">
        <v>50</v>
      </c>
      <c r="D8" t="s">
        <v>50</v>
      </c>
      <c r="E8" t="s">
        <v>46</v>
      </c>
      <c r="F8" t="s">
        <v>50</v>
      </c>
      <c r="G8" t="s">
        <v>51</v>
      </c>
      <c r="J8" t="s">
        <v>50</v>
      </c>
      <c r="L8" t="s">
        <v>50</v>
      </c>
      <c r="Q8" t="s">
        <v>52</v>
      </c>
    </row>
    <row r="9" spans="1:17" x14ac:dyDescent="0.3">
      <c r="A9" t="s">
        <v>24</v>
      </c>
      <c r="B9" t="s">
        <v>50</v>
      </c>
      <c r="D9" t="s">
        <v>50</v>
      </c>
      <c r="E9" t="s">
        <v>46</v>
      </c>
      <c r="F9" t="s">
        <v>50</v>
      </c>
      <c r="G9" t="s">
        <v>51</v>
      </c>
      <c r="J9" t="s">
        <v>50</v>
      </c>
      <c r="L9" t="s">
        <v>50</v>
      </c>
      <c r="Q9" t="s">
        <v>52</v>
      </c>
    </row>
    <row r="10" spans="1:17" x14ac:dyDescent="0.3">
      <c r="A10" t="s">
        <v>25</v>
      </c>
      <c r="E10" t="s">
        <v>46</v>
      </c>
      <c r="G10" t="s">
        <v>53</v>
      </c>
      <c r="H10" t="s">
        <v>54</v>
      </c>
      <c r="Q10" t="s">
        <v>52</v>
      </c>
    </row>
    <row r="11" spans="1:17" x14ac:dyDescent="0.3">
      <c r="A11" t="s">
        <v>26</v>
      </c>
      <c r="E11" t="s">
        <v>46</v>
      </c>
      <c r="G11" t="s">
        <v>55</v>
      </c>
      <c r="H11" t="s">
        <v>54</v>
      </c>
      <c r="Q11" t="s">
        <v>52</v>
      </c>
    </row>
    <row r="12" spans="1:17" x14ac:dyDescent="0.3">
      <c r="A12" t="s">
        <v>27</v>
      </c>
      <c r="G12" t="s">
        <v>55</v>
      </c>
      <c r="H12" t="s">
        <v>54</v>
      </c>
      <c r="Q12" t="s">
        <v>52</v>
      </c>
    </row>
    <row r="13" spans="1:17" x14ac:dyDescent="0.3">
      <c r="A13" t="s">
        <v>28</v>
      </c>
      <c r="D13" t="s">
        <v>56</v>
      </c>
      <c r="E13" t="s">
        <v>56</v>
      </c>
      <c r="F13" t="s">
        <v>56</v>
      </c>
      <c r="G13" t="s">
        <v>55</v>
      </c>
      <c r="H13" t="s">
        <v>54</v>
      </c>
      <c r="I13" t="s">
        <v>56</v>
      </c>
      <c r="J13" t="s">
        <v>56</v>
      </c>
      <c r="N13" t="s">
        <v>57</v>
      </c>
      <c r="O13" t="s">
        <v>56</v>
      </c>
      <c r="Q13" t="s">
        <v>58</v>
      </c>
    </row>
    <row r="14" spans="1:17" x14ac:dyDescent="0.3">
      <c r="A14" t="s">
        <v>29</v>
      </c>
      <c r="D14" t="s">
        <v>56</v>
      </c>
      <c r="E14" t="s">
        <v>59</v>
      </c>
      <c r="F14" t="s">
        <v>56</v>
      </c>
      <c r="I14" t="s">
        <v>56</v>
      </c>
      <c r="J14" t="s">
        <v>56</v>
      </c>
      <c r="O14" t="s">
        <v>56</v>
      </c>
      <c r="Q14" t="s">
        <v>58</v>
      </c>
    </row>
    <row r="15" spans="1:17" x14ac:dyDescent="0.3">
      <c r="A15" t="s">
        <v>30</v>
      </c>
      <c r="E15" t="s">
        <v>46</v>
      </c>
      <c r="I15" t="s">
        <v>60</v>
      </c>
      <c r="Q15" t="s">
        <v>58</v>
      </c>
    </row>
    <row r="16" spans="1:17" x14ac:dyDescent="0.3">
      <c r="A16" t="s">
        <v>31</v>
      </c>
      <c r="B16" t="s">
        <v>61</v>
      </c>
      <c r="E16" t="s">
        <v>62</v>
      </c>
      <c r="F16" t="s">
        <v>61</v>
      </c>
      <c r="H16" t="s">
        <v>61</v>
      </c>
      <c r="I16" t="s">
        <v>60</v>
      </c>
      <c r="L16" t="s">
        <v>61</v>
      </c>
      <c r="M16" t="s">
        <v>61</v>
      </c>
      <c r="O16" t="s">
        <v>61</v>
      </c>
      <c r="P16" t="s">
        <v>61</v>
      </c>
      <c r="Q16" t="s">
        <v>61</v>
      </c>
    </row>
    <row r="17" spans="1:18" x14ac:dyDescent="0.3">
      <c r="A17" t="s">
        <v>32</v>
      </c>
      <c r="B17" t="s">
        <v>61</v>
      </c>
      <c r="E17" t="s">
        <v>62</v>
      </c>
      <c r="F17" t="s">
        <v>61</v>
      </c>
      <c r="H17" t="s">
        <v>61</v>
      </c>
      <c r="I17" t="s">
        <v>63</v>
      </c>
      <c r="L17" t="s">
        <v>61</v>
      </c>
      <c r="M17" t="s">
        <v>61</v>
      </c>
      <c r="O17" t="s">
        <v>61</v>
      </c>
      <c r="P17" t="s">
        <v>61</v>
      </c>
      <c r="Q17" t="s">
        <v>61</v>
      </c>
    </row>
    <row r="18" spans="1:18" x14ac:dyDescent="0.3">
      <c r="A18" t="s">
        <v>33</v>
      </c>
      <c r="E18" t="s">
        <v>64</v>
      </c>
      <c r="L18" t="s">
        <v>65</v>
      </c>
      <c r="Q18" t="s">
        <v>66</v>
      </c>
    </row>
    <row r="19" spans="1:18" x14ac:dyDescent="0.3">
      <c r="A19" t="s">
        <v>34</v>
      </c>
      <c r="E19" t="s">
        <v>64</v>
      </c>
      <c r="L19" t="s">
        <v>65</v>
      </c>
      <c r="Q19" t="s">
        <v>66</v>
      </c>
    </row>
    <row r="20" spans="1:18" x14ac:dyDescent="0.3">
      <c r="A20" t="s">
        <v>35</v>
      </c>
    </row>
    <row r="21" spans="1:18" x14ac:dyDescent="0.3">
      <c r="A21" t="s">
        <v>36</v>
      </c>
    </row>
    <row r="24" spans="1:18" x14ac:dyDescent="0.3">
      <c r="A24" t="s">
        <v>37</v>
      </c>
      <c r="B24">
        <f t="shared" ref="B24:Q24" si="0">ROUND(COUNTIF(B2:B19,"&lt;&gt;")/18,4)</f>
        <v>0.44440000000000002</v>
      </c>
      <c r="C24">
        <f t="shared" si="0"/>
        <v>5.5599999999999997E-2</v>
      </c>
      <c r="D24">
        <f t="shared" si="0"/>
        <v>0.33329999999999999</v>
      </c>
      <c r="E24">
        <f t="shared" si="0"/>
        <v>0.88890000000000002</v>
      </c>
      <c r="F24">
        <f t="shared" si="0"/>
        <v>0.55559999999999998</v>
      </c>
      <c r="G24">
        <f t="shared" si="0"/>
        <v>0.5</v>
      </c>
      <c r="H24">
        <f t="shared" si="0"/>
        <v>0.38890000000000002</v>
      </c>
      <c r="I24">
        <f t="shared" si="0"/>
        <v>0.33329999999999999</v>
      </c>
      <c r="J24">
        <f t="shared" si="0"/>
        <v>0.33329999999999999</v>
      </c>
      <c r="K24">
        <f t="shared" si="0"/>
        <v>5.5599999999999997E-2</v>
      </c>
      <c r="L24">
        <f t="shared" si="0"/>
        <v>0.61109999999999998</v>
      </c>
      <c r="M24">
        <f t="shared" si="0"/>
        <v>0.16669999999999999</v>
      </c>
      <c r="N24">
        <f t="shared" si="0"/>
        <v>0.27779999999999999</v>
      </c>
      <c r="O24">
        <f t="shared" si="0"/>
        <v>0.27779999999999999</v>
      </c>
      <c r="P24">
        <f t="shared" si="0"/>
        <v>0.16669999999999999</v>
      </c>
      <c r="Q24">
        <f t="shared" si="0"/>
        <v>0.72219999999999995</v>
      </c>
    </row>
    <row r="27" spans="1:18" x14ac:dyDescent="0.3">
      <c r="A27" t="s">
        <v>38</v>
      </c>
      <c r="B27" t="s">
        <v>39</v>
      </c>
      <c r="C27" t="s">
        <v>2</v>
      </c>
      <c r="D27" t="s">
        <v>3</v>
      </c>
      <c r="E27" t="s">
        <v>4</v>
      </c>
      <c r="F27" t="s">
        <v>40</v>
      </c>
      <c r="G27" t="s">
        <v>6</v>
      </c>
      <c r="H27" t="s">
        <v>7</v>
      </c>
      <c r="I27" t="s">
        <v>8</v>
      </c>
      <c r="J27" t="s">
        <v>9</v>
      </c>
      <c r="K27" t="s">
        <v>10</v>
      </c>
      <c r="L27" t="s">
        <v>11</v>
      </c>
      <c r="M27" t="s">
        <v>41</v>
      </c>
      <c r="N27" t="s">
        <v>13</v>
      </c>
      <c r="O27" t="s">
        <v>14</v>
      </c>
      <c r="P27" t="s">
        <v>15</v>
      </c>
      <c r="Q27" t="s">
        <v>16</v>
      </c>
      <c r="R27" t="s">
        <v>42</v>
      </c>
    </row>
    <row r="28" spans="1:18" x14ac:dyDescent="0.3">
      <c r="B28" t="str">
        <f>HYPERLINK("https://app.clickup.com/t/8698kwuqq", "[slipstream - data warehouse solution - git (productization)] Design and Build Costing reports in Snowflake")</f>
        <v>[slipstream - data warehouse solution - git (productization)] Design and Build Costing reports in Snowflake</v>
      </c>
      <c r="C28" t="str">
        <f>HYPERLINK("https://app.clickup.com/t/86995td5m", "[slipstream - data warehouse solution - git (productization)] Build the data deployment pipelines for DEV to QA")</f>
        <v>[slipstream - data warehouse solution - git (productization)] Build the data deployment pipelines for DEV to QA</v>
      </c>
      <c r="D28" t="str">
        <f>HYPERLINK("https://app.clickup.com/t/86995td5m", "[slipstream - data warehouse solution - git (productization)] Build the data deployment pipelines for DEV to QA")</f>
        <v>[slipstream - data warehouse solution - git (productization)] Build the data deployment pipelines for DEV to QA</v>
      </c>
      <c r="F28" t="str">
        <f>HYPERLINK("https://app.clickup.com/t/869a2knmy", "[slipstream - data warehouse solution - git (productization)] Create views as exploitation layer out of data lake")</f>
        <v>[slipstream - data warehouse solution - git (productization)] Create views as exploitation layer out of data lake</v>
      </c>
      <c r="G28" t="str">
        <f>HYPERLINK("https://app.clickup.com/t/869474qb4", "[internal projects] Commit code to GitHub")</f>
        <v>[internal projects] Commit code to GitHub</v>
      </c>
      <c r="H28" t="str">
        <f>HYPERLINK("https://app.clickup.com/t/869474qb4", "[internal projects] Commit code to GitHub")</f>
        <v>[internal projects] Commit code to GitHub</v>
      </c>
      <c r="I28" t="str">
        <f>HYPERLINK("https://app.clickup.com/t/869atfeg3", "[freshdesk] 1375 FPM Look through results compared to Reg30 rounding differences")</f>
        <v>[freshdesk] 1375 FPM Look through results compared to Reg30 rounding differences</v>
      </c>
      <c r="J28" t="str">
        <f>HYPERLINK("https://app.clickup.com/t/869bd0zxj", "[freshdesk] 1430 Athena Connection Setup")</f>
        <v>[freshdesk] 1430 Athena Connection Setup</v>
      </c>
      <c r="K28" t="str">
        <f>HYPERLINK("https://app.clickup.com/t/8698jrq49", "[slipstream - data warehouse solution - git (productization)] Testing - data Audit processes")</f>
        <v>[slipstream - data warehouse solution - git (productization)] Testing - data Audit processes</v>
      </c>
      <c r="L28" t="str">
        <f>HYPERLINK("https://app.clickup.com/t/869a5344p", "[freshdesk] Documentation")</f>
        <v>[freshdesk] Documentation</v>
      </c>
      <c r="O28" t="str">
        <f>HYPERLINK("https://app.clickup.com/t/869474qb4", "[internal projects] Commit code to GitHub")</f>
        <v>[internal projects] Commit code to GitHub</v>
      </c>
      <c r="P28" t="str">
        <f>HYPERLINK("https://app.clickup.com/t/869bd6a0f", "[wonga: data warehouse development &amp; migration onto snowflake project] Dim_Funnel_Checks")</f>
        <v>[wonga: data warehouse development &amp; migration onto snowflake project] Dim_Funnel_Checks</v>
      </c>
      <c r="R28" t="str">
        <f>HYPERLINK("https://app.clickup.com/t/869bbt350", "[freshdesk] 1428 SSO Intergations for data connections within Alteryx")</f>
        <v>[freshdesk] 1428 SSO Intergations for data connections within Alteryx</v>
      </c>
    </row>
    <row r="29" spans="1:18" x14ac:dyDescent="0.3">
      <c r="B29" t="str">
        <f>HYPERLINK("https://app.clickup.com/t/8698jrq4e", "[slipstream - data warehouse solution - git (productization)] Support. Includes platform optimisation, query optimisation etc.")</f>
        <v>[slipstream - data warehouse solution - git (productization)] Support. Includes platform optimisation, query optimisation etc.</v>
      </c>
      <c r="C29" t="str">
        <f>HYPERLINK("https://app.clickup.com/t/8695qbamh", "[internal projects] Testing")</f>
        <v>[internal projects] Testing</v>
      </c>
      <c r="D29" t="str">
        <f>HYPERLINK("https://app.clickup.com/t/869474qb4", "[internal projects] Commit code to GitHub")</f>
        <v>[internal projects] Commit code to GitHub</v>
      </c>
      <c r="F29" t="str">
        <f>HYPERLINK("https://app.clickup.com/t/8698kwuqq", "[slipstream - data warehouse solution - git (productization)] Design and Build Costing reports in Snowflake")</f>
        <v>[slipstream - data warehouse solution - git (productization)] Design and Build Costing reports in Snowflake</v>
      </c>
      <c r="G29" t="str">
        <f>HYPERLINK("https://app.clickup.com/t/8696c93m9", "[discovery invest - dw maintenance] Change LAst_seed_Process = 2 for 7 tables")</f>
        <v>[discovery invest - dw maintenance] Change LAst_seed_Process = 2 for 7 tables</v>
      </c>
      <c r="H29" t="str">
        <f>HYPERLINK("https://app.clickup.com/t/862k4g368", "[internal projects] Integrate data to Tableau report")</f>
        <v>[internal projects] Integrate data to Tableau report</v>
      </c>
      <c r="I29" t="str">
        <f>HYPERLINK("https://app.clickup.com/t/869474qb4", "[internal projects] Commit code to GitHub")</f>
        <v>[internal projects] Commit code to GitHub</v>
      </c>
      <c r="J29" t="str">
        <f>HYPERLINK("https://app.clickup.com/t/8696q3a3m", "[internal projects] Team Skills")</f>
        <v>[internal projects] Team Skills</v>
      </c>
      <c r="K29" t="str">
        <f>HYPERLINK("https://app.clickup.com/t/8698jrq40", "[slipstream - data warehouse solution - git (productization)] Optimisation and Enhancemnets post testing")</f>
        <v>[slipstream - data warehouse solution - git (productization)] Optimisation and Enhancemnets post testing</v>
      </c>
      <c r="L29" t="str">
        <f>HYPERLINK("https://app.clickup.com/t/8698juq5h", "[slipstream - data warehouse solution - git (productization)] Build the PowerBI reports for monitoring data Lake progress")</f>
        <v>[slipstream - data warehouse solution - git (productization)] Build the PowerBI reports for monitoring data Lake progress</v>
      </c>
      <c r="O29" t="str">
        <f>HYPERLINK("https://app.clickup.com/t/869a9nmh7", "[om: fatca 2.0 design implementation project (jira tasks)] CDC-2626 Setup Non-prod and Prod space on Alteryx Servers")</f>
        <v>[om: fatca 2.0 design implementation project (jira tasks)] CDC-2626 Setup Non-prod and Prod space on Alteryx Servers</v>
      </c>
      <c r="R29" t="str">
        <f>HYPERLINK("https://app.clickup.com/t/869b88fev", "[freshdesk] 1421 OTIF Schedule date changes")</f>
        <v>[freshdesk] 1421 OTIF Schedule date changes</v>
      </c>
    </row>
    <row r="30" spans="1:18" x14ac:dyDescent="0.3">
      <c r="B30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  <c r="C30" t="str">
        <f>HYPERLINK("https://app.clickup.com/t/869474qb4", "[internal projects] Commit code to GitHub")</f>
        <v>[internal projects] Commit code to GitHub</v>
      </c>
      <c r="F30" t="str">
        <f>HYPERLINK("https://app.clickup.com/t/8698jrxaj", "[slipstream - data warehouse solution - git (productization)] Snowflake Setup and Configuration")</f>
        <v>[slipstream - data warehouse solution - git (productization)] Snowflake Setup and Configuration</v>
      </c>
      <c r="H30" t="str">
        <f>HYPERLINK("https://app.clickup.com/t/86931cq82", "[certification] Alteryx")</f>
        <v>[certification] Alteryx</v>
      </c>
      <c r="J30" t="str">
        <f>HYPERLINK("https://app.clickup.com/t/8696kqh8k", "[internal projects] Tableau server Microsoft Teams app set up")</f>
        <v>[internal projects] Tableau server Microsoft Teams app set up</v>
      </c>
      <c r="K30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  <c r="L30" t="str">
        <f>HYPERLINK("https://app.clickup.com/t/8698jupt0", "[slipstream - data warehouse solution - git (productization)] Build the PowerBI reports for monitoring data Stage progress")</f>
        <v>[slipstream - data warehouse solution - git (productization)] Build the PowerBI reports for monitoring data Stage progress</v>
      </c>
      <c r="O30" t="str">
        <f>HYPERLINK("https://app.clickup.com/t/869a6vnq6", "[om: fatca 2.0 design implementation project (jira tasks)] CDC-2757 Market Conduct: Provide time estimates for deliverables")</f>
        <v>[om: fatca 2.0 design implementation project (jira tasks)] CDC-2757 Market Conduct: Provide time estimates for deliverables</v>
      </c>
      <c r="R30" t="str">
        <f>HYPERLINK("https://app.clickup.com/t/8698jrq49", "[slipstream - data warehouse solution - git (productization)] Testing - data Audit processes")</f>
        <v>[slipstream - data warehouse solution - git (productization)] Testing - data Audit processes</v>
      </c>
    </row>
    <row r="31" spans="1:18" x14ac:dyDescent="0.3">
      <c r="B31" t="str">
        <f>HYPERLINK("https://app.clickup.com/t/869474qb4", "[internal projects] Commit code to GitHub")</f>
        <v>[internal projects] Commit code to GitHub</v>
      </c>
      <c r="C31" t="str">
        <f>HYPERLINK("https://app.clickup.com/t/862k18nwr", "[internal projects] SLA performance for each customer")</f>
        <v>[internal projects] SLA performance for each customer</v>
      </c>
      <c r="F31" t="str">
        <f>HYPERLINK("https://app.clickup.com/t/8698jrq40", "[slipstream - data warehouse solution - git (productization)] Optimisation and Enhancemnets post testing")</f>
        <v>[slipstream - data warehouse solution - git (productization)] Optimisation and Enhancemnets post testing</v>
      </c>
      <c r="J31" t="str">
        <f>HYPERLINK("https://app.clickup.com/t/869474qb4", "[internal projects] Commit code to GitHub")</f>
        <v>[internal projects] Commit code to GitHub</v>
      </c>
      <c r="K31" t="str">
        <f>HYPERLINK("https://app.clickup.com/t/869474qb4", "[internal projects] Commit code to GitHub")</f>
        <v>[internal projects] Commit code to GitHub</v>
      </c>
      <c r="L31" t="str">
        <f>HYPERLINK("https://app.clickup.com/t/8698jrq3g", "[slipstream - data warehouse solution - git (productization)] Orchestration")</f>
        <v>[slipstream - data warehouse solution - git (productization)] Orchestration</v>
      </c>
      <c r="O31" t="str">
        <f>HYPERLINK("https://app.clickup.com/t/869a1x6nk", "[om: fatca 2.0 design implementation project (jira tasks)] CDC-2062 Highlight where field values do not map to static reference tables in the raw schema")</f>
        <v>[om: fatca 2.0 design implementation project (jira tasks)] CDC-2062 Highlight where field values do not map to static reference tables in the raw schema</v>
      </c>
      <c r="R31" t="str">
        <f>HYPERLINK("https://app.clickup.com/t/8698jrq3g", "[slipstream - data warehouse solution - git (productization)] Orchestration")</f>
        <v>[slipstream - data warehouse solution - git (productization)] Orchestration</v>
      </c>
    </row>
    <row r="32" spans="1:18" x14ac:dyDescent="0.3">
      <c r="C32" t="str">
        <f>HYPERLINK("https://app.clickup.com/t/8694x2b1k", "[certification] Alteryx Designer Advanced")</f>
        <v>[certification] Alteryx Designer Advanced</v>
      </c>
      <c r="F32" t="str">
        <f>HYPERLINK("https://app.clickup.com/t/869474qb4", "[internal projects] Commit code to GitHub")</f>
        <v>[internal projects] Commit code to GitHub</v>
      </c>
      <c r="J32" t="str">
        <f>HYPERLINK("https://app.clickup.com/t/8698rmb2r", "[certification] AWS Certified Solutions Architect - Associate")</f>
        <v>[certification] AWS Certified Solutions Architect - Associate</v>
      </c>
      <c r="K32" t="str">
        <f>HYPERLINK("https://app.clickup.com/t/86971xvd4", "[discovery invest - dw maintenance] Run the file extracts")</f>
        <v>[discovery invest - dw maintenance] Run the file extracts</v>
      </c>
      <c r="O32" t="str">
        <f>HYPERLINK("https://app.clickup.com/t/869a1bu7g", "[om: fatca 2.0 design implementation project (jira tasks)] CDC-2563 Business Rule - Tax Free investments")</f>
        <v>[om: fatca 2.0 design implementation project (jira tasks)] CDC-2563 Business Rule - Tax Free investments</v>
      </c>
      <c r="R32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</row>
    <row r="33" spans="6:18" x14ac:dyDescent="0.3">
      <c r="F33" t="str">
        <f>HYPERLINK("https://app.clickup.com/t/86931cq56", "[certification] Snowflake")</f>
        <v>[certification] Snowflake</v>
      </c>
      <c r="K33" t="str">
        <f>HYPERLINK("https://app.clickup.com/t/86971xv4x", "[discovery invest - dw maintenance] Validating the marts")</f>
        <v>[discovery invest - dw maintenance] Validating the marts</v>
      </c>
      <c r="O33" t="str">
        <f>HYPERLINK("https://app.clickup.com/t/869a01gfm", "[om: fatca 2.0 design implementation project (jira tasks)] CDC-2509 Investigate subset where controlling person and entity has different entity_ids")</f>
        <v>[om: fatca 2.0 design implementation project (jira tasks)] CDC-2509 Investigate subset where controlling person and entity has different entity_ids</v>
      </c>
      <c r="R33" t="str">
        <f>HYPERLINK("https://app.clickup.com/t/869ag79ab", "[internal projects] Test Framework UAT doc")</f>
        <v>[internal projects] Test Framework UAT doc</v>
      </c>
    </row>
    <row r="34" spans="6:18" x14ac:dyDescent="0.3">
      <c r="K34" t="str">
        <f>HYPERLINK("https://app.clickup.com/t/86971xv04", "[discovery invest - dw maintenance] Run mart code")</f>
        <v>[discovery invest - dw maintenance] Run mart code</v>
      </c>
      <c r="O34" t="str">
        <f>HYPERLINK("https://app.clickup.com/t/8699yvvh7", "[om: fatca 2.0 design implementation project (jira tasks)] CDC-2560 SARS TPAH Template Update the rule to avoid referencing the database table")</f>
        <v>[om: fatca 2.0 design implementation project (jira tasks)] CDC-2560 SARS TPAH Template Update the rule to avoid referencing the database table</v>
      </c>
      <c r="R34" t="str">
        <f>HYPERLINK("https://app.clickup.com/t/869a70f9p", "[internal projects] Billed VS Invoiced VS SLA")</f>
        <v>[internal projects] Billed VS Invoiced VS SLA</v>
      </c>
    </row>
    <row r="35" spans="6:18" x14ac:dyDescent="0.3">
      <c r="K35" t="str">
        <f>HYPERLINK("https://app.clickup.com/t/86971xur8", "[discovery invest - dw maintenance] Run implied deletes code")</f>
        <v>[discovery invest - dw maintenance] Run implied deletes code</v>
      </c>
      <c r="O35" t="str">
        <f>HYPERLINK("https://app.clickup.com/t/8699yvveh", "[om: fatca 2.0 design implementation project (jira tasks)] CDC-2559 SARS TPAH Template Remove all spaces and special characters")</f>
        <v>[om: fatca 2.0 design implementation project (jira tasks)] CDC-2559 SARS TPAH Template Remove all spaces and special characters</v>
      </c>
      <c r="R35" t="str">
        <f>HYPERLINK("https://app.clickup.com/t/8697xudfa", "[internal projects] Income statement dashboard")</f>
        <v>[internal projects] Income statement dashboard</v>
      </c>
    </row>
    <row r="36" spans="6:18" x14ac:dyDescent="0.3">
      <c r="K36" t="str">
        <f>HYPERLINK("https://app.clickup.com/t/86971xtt3", "[discovery invest - dw maintenance] Validating the DWH")</f>
        <v>[discovery invest - dw maintenance] Validating the DWH</v>
      </c>
      <c r="R36" t="str">
        <f>HYPERLINK("https://app.clickup.com/t/8697t8mu2", "[internal projects] Sales Dashboard Additional requirements")</f>
        <v>[internal projects] Sales Dashboard Additional requirements</v>
      </c>
    </row>
    <row r="37" spans="6:18" x14ac:dyDescent="0.3">
      <c r="O37" t="str">
        <f>HYPERLINK("https://app.clickup.com/t/8699yvuqh", "[om: fatca 2.0 design implementation project (jira tasks)] CDC-2555 Entities former COB")</f>
        <v>[om: fatca 2.0 design implementation project (jira tasks)] CDC-2555 Entities former COB</v>
      </c>
      <c r="R37" t="str">
        <f>HYPERLINK("https://app.clickup.com/t/8697my8gd", "[internal projects] Financial and Sales Dashboard enhancement")</f>
        <v>[internal projects] Financial and Sales Dashboard enhancement</v>
      </c>
    </row>
    <row r="38" spans="6:18" x14ac:dyDescent="0.3">
      <c r="O38" t="str">
        <f>HYPERLINK("https://app.clickup.com/t/8699yvtjg", "[om: fatca 2.0 design implementation project (jira tasks)] CDC-2553 Flexcube SARS Templates - rename the RFI to source system code at scheme level")</f>
        <v>[om: fatca 2.0 design implementation project (jira tasks)] CDC-2553 Flexcube SARS Templates - rename the RFI to source system code at scheme level</v>
      </c>
      <c r="R38" t="str">
        <f>HYPERLINK("https://app.clickup.com/t/8696yar98", "[internal projects] Resource Utilization Dashboard Refinements")</f>
        <v>[internal projects] Resource Utilization Dashboard Refinements</v>
      </c>
    </row>
    <row r="39" spans="6:18" x14ac:dyDescent="0.3">
      <c r="O39" t="str">
        <f>HYPERLINK("https://app.clickup.com/t/8699yvruw", "[om: fatca 2.0 design implementation project (jira tasks)] CDC-2561 Diminmus rules to be applied at scheme level and not at OMUT level")</f>
        <v>[om: fatca 2.0 design implementation project (jira tasks)] CDC-2561 Diminmus rules to be applied at scheme level and not at OMUT level</v>
      </c>
      <c r="R39" t="str">
        <f>HYPERLINK("https://app.clickup.com/t/8696u6wyy", "[internal projects] Alteryx Server SLA Report process")</f>
        <v>[internal projects] Alteryx Server SLA Report process</v>
      </c>
    </row>
    <row r="40" spans="6:18" x14ac:dyDescent="0.3">
      <c r="O40" t="str">
        <f>HYPERLINK("https://app.clickup.com/t/8699yvra6", "[om: fatca 2.0 design implementation project (jira tasks)] CDC-2554 Entities COB")</f>
        <v>[om: fatca 2.0 design implementation project (jira tasks)] CDC-2554 Entities COB</v>
      </c>
      <c r="R40" t="str">
        <f>HYPERLINK("https://app.clickup.com/t/8695mj63r", "[internal projects] Shoprite B2B SLA Document")</f>
        <v>[internal projects] Shoprite B2B SLA Document</v>
      </c>
    </row>
    <row r="41" spans="6:18" x14ac:dyDescent="0.3">
      <c r="R41" t="str">
        <f>HYPERLINK("https://app.clickup.com/t/869474qb4", "[internal projects] Commit code to GitHub")</f>
        <v>[internal projects] Commit code to GitHub</v>
      </c>
    </row>
    <row r="42" spans="6:18" x14ac:dyDescent="0.3">
      <c r="R42" t="str">
        <f>HYPERLINK("https://app.clickup.com/t/869agp147", "[certification] Snowflake Sales Professional")</f>
        <v>[certification] Snowflake Sales Professional</v>
      </c>
    </row>
    <row r="43" spans="6:18" x14ac:dyDescent="0.3">
      <c r="R43" t="str">
        <f>HYPERLINK("https://app.clickup.com/t/869agp0uz", "[certification] Snowflake Technical Sales Professional")</f>
        <v>[certification] Snowflake Technical Sales Professional</v>
      </c>
    </row>
    <row r="44" spans="6:18" x14ac:dyDescent="0.3">
      <c r="R44" t="str">
        <f>HYPERLINK("https://app.clickup.com/t/869af829t", "[certification] Salesforce Certified Agentforce Specialist")</f>
        <v>[certification] Salesforce Certified Agentforce Specialist</v>
      </c>
    </row>
    <row r="45" spans="6:18" x14ac:dyDescent="0.3">
      <c r="R45" t="str">
        <f>HYPERLINK("https://app.clickup.com/t/869ab9g7u", "[certification] AWS Data Engineer - Associate")</f>
        <v>[certification] AWS Data Engineer - Associate</v>
      </c>
    </row>
    <row r="46" spans="6:18" x14ac:dyDescent="0.3">
      <c r="R46" t="str">
        <f>HYPERLINK("https://app.clickup.com/t/869b6v0gh", "[om: fatca 2.0 design implementation project (jira tasks)] CDC-2562 Develop a Foreigners List dashboard")</f>
        <v>[om: fatca 2.0 design implementation project (jira tasks)] CDC-2562 Develop a Foreigners List dashboard</v>
      </c>
    </row>
    <row r="47" spans="6:18" x14ac:dyDescent="0.3">
      <c r="R47" t="str">
        <f>HYPERLINK("https://app.clickup.com/t/869ax6j44", "[om: fatca 2.0 design implementation project (jira tasks)] Titanium Reports")</f>
        <v>[om: fatca 2.0 design implementation project (jira tasks)] Titanium Reports</v>
      </c>
    </row>
    <row r="48" spans="6:18" x14ac:dyDescent="0.3">
      <c r="R48" t="str">
        <f>HYPERLINK("https://app.clickup.com/t/869ax6j0z", "[om: fatca 2.0 design implementation project (jira tasks)] CDC-3034-aws-s3-bucket-investigation")</f>
        <v>[om: fatca 2.0 design implementation project (jira tasks)] CDC-3034-aws-s3-bucket-investigation</v>
      </c>
    </row>
    <row r="49" spans="18:18" x14ac:dyDescent="0.3">
      <c r="R49" t="str">
        <f>HYPERLINK("https://app.clickup.com/t/869avjm5f", "[om: fatca 2.0 design implementation project (jira tasks)] CBR Quarterly Run")</f>
        <v>[om: fatca 2.0 design implementation project (jira tasks)] CBR Quarterly Run</v>
      </c>
    </row>
    <row r="50" spans="18:18" x14ac:dyDescent="0.3">
      <c r="R50" t="str">
        <f>HYPERLINK("https://app.clickup.com/t/869auvvmp", "[om: fatca 2.0 design implementation project (jira tasks)] Advisor Recon Report Manual Run")</f>
        <v>[om: fatca 2.0 design implementation project (jira tasks)] Advisor Recon Report Manual Run</v>
      </c>
    </row>
    <row r="51" spans="18:18" x14ac:dyDescent="0.3">
      <c r="R51" t="str">
        <f>HYPERLINK("https://app.clickup.com/t/869arkz3a", "[om: fatca 2.0 design implementation project (jira tasks)] CDC-2914 Create Test Cases Cura Reg Change (Framework) Dashboard")</f>
        <v>[om: fatca 2.0 design implementation project (jira tasks)] CDC-2914 Create Test Cases Cura Reg Change (Framework) Dashboard</v>
      </c>
    </row>
    <row r="52" spans="18:18" x14ac:dyDescent="0.3">
      <c r="R52" t="str">
        <f>HYPERLINK("https://app.clickup.com/t/869am7mt7", "[om: fatca 2.0 design implementation project (jira tasks)] CDC-2913 Cura Reg Change Dashboard Modifications")</f>
        <v>[om: fatca 2.0 design implementation project (jira tasks)] CDC-2913 Cura Reg Change Dashboard Modifications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52"/>
  <sheetViews>
    <sheetView workbookViewId="0"/>
  </sheetViews>
  <sheetFormatPr defaultRowHeight="14.4" x14ac:dyDescent="0.3"/>
  <cols>
    <col min="1" max="1" width="20" customWidth="1"/>
    <col min="2" max="18" width="50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</row>
    <row r="3" spans="1:17" x14ac:dyDescent="0.3">
      <c r="A3" t="s">
        <v>18</v>
      </c>
      <c r="B3" t="s">
        <v>44</v>
      </c>
      <c r="C3" t="s">
        <v>44</v>
      </c>
      <c r="D3" t="s">
        <v>44</v>
      </c>
      <c r="E3" t="s">
        <v>44</v>
      </c>
      <c r="F3" t="s">
        <v>44</v>
      </c>
      <c r="G3" t="s">
        <v>44</v>
      </c>
      <c r="H3" t="s">
        <v>44</v>
      </c>
      <c r="I3" t="s">
        <v>67</v>
      </c>
      <c r="J3" t="s">
        <v>44</v>
      </c>
      <c r="K3" t="s">
        <v>44</v>
      </c>
      <c r="L3" t="s">
        <v>44</v>
      </c>
      <c r="M3" t="s">
        <v>44</v>
      </c>
      <c r="N3" t="s">
        <v>44</v>
      </c>
      <c r="O3" t="s">
        <v>44</v>
      </c>
      <c r="P3" t="s">
        <v>44</v>
      </c>
      <c r="Q3" t="s">
        <v>44</v>
      </c>
    </row>
    <row r="4" spans="1:17" x14ac:dyDescent="0.3">
      <c r="A4" t="s">
        <v>19</v>
      </c>
      <c r="E4" t="s">
        <v>46</v>
      </c>
      <c r="G4" t="s">
        <v>68</v>
      </c>
      <c r="L4" t="s">
        <v>47</v>
      </c>
      <c r="O4" t="s">
        <v>69</v>
      </c>
    </row>
    <row r="5" spans="1:17" x14ac:dyDescent="0.3">
      <c r="A5" t="s">
        <v>20</v>
      </c>
      <c r="B5" t="s">
        <v>70</v>
      </c>
      <c r="C5" t="s">
        <v>70</v>
      </c>
      <c r="D5" t="s">
        <v>70</v>
      </c>
      <c r="E5" t="s">
        <v>71</v>
      </c>
      <c r="G5" t="s">
        <v>48</v>
      </c>
      <c r="J5" t="s">
        <v>70</v>
      </c>
      <c r="K5" t="s">
        <v>70</v>
      </c>
      <c r="L5" t="s">
        <v>72</v>
      </c>
      <c r="M5" t="s">
        <v>70</v>
      </c>
      <c r="N5" t="s">
        <v>70</v>
      </c>
      <c r="P5" t="s">
        <v>70</v>
      </c>
      <c r="Q5" t="s">
        <v>70</v>
      </c>
    </row>
    <row r="6" spans="1:17" x14ac:dyDescent="0.3">
      <c r="A6" t="s">
        <v>21</v>
      </c>
      <c r="D6" t="s">
        <v>49</v>
      </c>
      <c r="E6" t="s">
        <v>46</v>
      </c>
      <c r="G6" t="s">
        <v>48</v>
      </c>
      <c r="J6" t="s">
        <v>49</v>
      </c>
      <c r="L6" t="s">
        <v>47</v>
      </c>
    </row>
    <row r="7" spans="1:17" x14ac:dyDescent="0.3">
      <c r="A7" t="s">
        <v>22</v>
      </c>
      <c r="E7" t="s">
        <v>46</v>
      </c>
      <c r="L7" t="s">
        <v>47</v>
      </c>
      <c r="N7" t="s">
        <v>73</v>
      </c>
    </row>
    <row r="8" spans="1:17" x14ac:dyDescent="0.3">
      <c r="A8" t="s">
        <v>23</v>
      </c>
      <c r="E8" t="s">
        <v>46</v>
      </c>
      <c r="Q8" t="s">
        <v>52</v>
      </c>
    </row>
    <row r="9" spans="1:17" x14ac:dyDescent="0.3">
      <c r="A9" t="s">
        <v>24</v>
      </c>
      <c r="E9" t="s">
        <v>46</v>
      </c>
      <c r="Q9" t="s">
        <v>52</v>
      </c>
    </row>
    <row r="10" spans="1:17" x14ac:dyDescent="0.3">
      <c r="A10" t="s">
        <v>25</v>
      </c>
      <c r="C10" t="s">
        <v>74</v>
      </c>
      <c r="E10" t="s">
        <v>46</v>
      </c>
      <c r="H10" t="s">
        <v>54</v>
      </c>
      <c r="Q10" t="s">
        <v>52</v>
      </c>
    </row>
    <row r="11" spans="1:17" x14ac:dyDescent="0.3">
      <c r="A11" t="s">
        <v>26</v>
      </c>
      <c r="E11" t="s">
        <v>46</v>
      </c>
      <c r="H11" t="s">
        <v>54</v>
      </c>
      <c r="Q11" t="s">
        <v>52</v>
      </c>
    </row>
    <row r="12" spans="1:17" x14ac:dyDescent="0.3">
      <c r="A12" t="s">
        <v>27</v>
      </c>
      <c r="G12" t="s">
        <v>75</v>
      </c>
      <c r="H12" t="s">
        <v>54</v>
      </c>
      <c r="Q12" t="s">
        <v>52</v>
      </c>
    </row>
    <row r="13" spans="1:17" x14ac:dyDescent="0.3">
      <c r="A13" t="s">
        <v>28</v>
      </c>
      <c r="G13" t="s">
        <v>75</v>
      </c>
      <c r="H13" t="s">
        <v>54</v>
      </c>
      <c r="Q13" t="s">
        <v>58</v>
      </c>
    </row>
    <row r="14" spans="1:17" x14ac:dyDescent="0.3">
      <c r="A14" t="s">
        <v>29</v>
      </c>
      <c r="E14" t="s">
        <v>46</v>
      </c>
      <c r="G14" t="s">
        <v>75</v>
      </c>
      <c r="Q14" t="s">
        <v>58</v>
      </c>
    </row>
    <row r="15" spans="1:17" x14ac:dyDescent="0.3">
      <c r="A15" t="s">
        <v>30</v>
      </c>
      <c r="E15" t="s">
        <v>46</v>
      </c>
      <c r="G15" t="s">
        <v>75</v>
      </c>
      <c r="Q15" t="s">
        <v>58</v>
      </c>
    </row>
    <row r="16" spans="1:17" x14ac:dyDescent="0.3">
      <c r="A16" t="s">
        <v>31</v>
      </c>
      <c r="E16" t="s">
        <v>46</v>
      </c>
    </row>
    <row r="17" spans="1:18" x14ac:dyDescent="0.3">
      <c r="A17" t="s">
        <v>32</v>
      </c>
      <c r="E17" t="s">
        <v>46</v>
      </c>
    </row>
    <row r="18" spans="1:18" x14ac:dyDescent="0.3">
      <c r="A18" t="s">
        <v>33</v>
      </c>
      <c r="E18" t="s">
        <v>46</v>
      </c>
      <c r="G18" t="s">
        <v>68</v>
      </c>
      <c r="L18" t="s">
        <v>65</v>
      </c>
      <c r="Q18" t="s">
        <v>66</v>
      </c>
    </row>
    <row r="19" spans="1:18" x14ac:dyDescent="0.3">
      <c r="A19" t="s">
        <v>34</v>
      </c>
      <c r="E19" t="s">
        <v>46</v>
      </c>
      <c r="L19" t="s">
        <v>65</v>
      </c>
      <c r="Q19" t="s">
        <v>66</v>
      </c>
    </row>
    <row r="20" spans="1:18" x14ac:dyDescent="0.3">
      <c r="A20" t="s">
        <v>35</v>
      </c>
    </row>
    <row r="21" spans="1:18" x14ac:dyDescent="0.3">
      <c r="A21" t="s">
        <v>36</v>
      </c>
    </row>
    <row r="24" spans="1:18" x14ac:dyDescent="0.3">
      <c r="A24" t="s">
        <v>37</v>
      </c>
      <c r="B24">
        <f t="shared" ref="B24:Q24" si="0">ROUND(COUNTIF(B2:B19,"&lt;&gt;")/18,4)</f>
        <v>0.1111</v>
      </c>
      <c r="C24">
        <f t="shared" si="0"/>
        <v>0.16669999999999999</v>
      </c>
      <c r="D24">
        <f t="shared" si="0"/>
        <v>0.16669999999999999</v>
      </c>
      <c r="E24">
        <f t="shared" si="0"/>
        <v>0.83330000000000004</v>
      </c>
      <c r="F24">
        <f t="shared" si="0"/>
        <v>5.5599999999999997E-2</v>
      </c>
      <c r="G24">
        <f t="shared" si="0"/>
        <v>0.5</v>
      </c>
      <c r="H24">
        <f t="shared" si="0"/>
        <v>0.27779999999999999</v>
      </c>
      <c r="I24">
        <f t="shared" si="0"/>
        <v>5.5599999999999997E-2</v>
      </c>
      <c r="J24">
        <f t="shared" si="0"/>
        <v>0.16669999999999999</v>
      </c>
      <c r="K24">
        <f t="shared" si="0"/>
        <v>0.1111</v>
      </c>
      <c r="L24">
        <f t="shared" si="0"/>
        <v>0.38890000000000002</v>
      </c>
      <c r="M24">
        <f t="shared" si="0"/>
        <v>0.1111</v>
      </c>
      <c r="N24">
        <f t="shared" si="0"/>
        <v>0.16669999999999999</v>
      </c>
      <c r="O24">
        <f t="shared" si="0"/>
        <v>0.1111</v>
      </c>
      <c r="P24">
        <f t="shared" si="0"/>
        <v>0.1111</v>
      </c>
      <c r="Q24">
        <f t="shared" si="0"/>
        <v>0.66669999999999996</v>
      </c>
    </row>
    <row r="27" spans="1:18" x14ac:dyDescent="0.3">
      <c r="A27" t="s">
        <v>38</v>
      </c>
      <c r="B27" t="s">
        <v>39</v>
      </c>
      <c r="C27" t="s">
        <v>2</v>
      </c>
      <c r="D27" t="s">
        <v>3</v>
      </c>
      <c r="E27" t="s">
        <v>4</v>
      </c>
      <c r="F27" t="s">
        <v>40</v>
      </c>
      <c r="G27" t="s">
        <v>6</v>
      </c>
      <c r="H27" t="s">
        <v>7</v>
      </c>
      <c r="I27" t="s">
        <v>8</v>
      </c>
      <c r="J27" t="s">
        <v>9</v>
      </c>
      <c r="K27" t="s">
        <v>10</v>
      </c>
      <c r="L27" t="s">
        <v>11</v>
      </c>
      <c r="M27" t="s">
        <v>41</v>
      </c>
      <c r="N27" t="s">
        <v>13</v>
      </c>
      <c r="O27" t="s">
        <v>14</v>
      </c>
      <c r="P27" t="s">
        <v>15</v>
      </c>
      <c r="Q27" t="s">
        <v>16</v>
      </c>
      <c r="R27" t="s">
        <v>42</v>
      </c>
    </row>
    <row r="28" spans="1:18" x14ac:dyDescent="0.3">
      <c r="B28" t="str">
        <f>HYPERLINK("https://app.clickup.com/t/8698kwuqq", "[slipstream - data warehouse solution - git (productization)] Design and Build Costing reports in Snowflake")</f>
        <v>[slipstream - data warehouse solution - git (productization)] Design and Build Costing reports in Snowflake</v>
      </c>
      <c r="C28" t="str">
        <f>HYPERLINK("https://app.clickup.com/t/86995td5m", "[slipstream - data warehouse solution - git (productization)] Build the data deployment pipelines for DEV to QA")</f>
        <v>[slipstream - data warehouse solution - git (productization)] Build the data deployment pipelines for DEV to QA</v>
      </c>
      <c r="D28" t="str">
        <f>HYPERLINK("https://app.clickup.com/t/86995td5m", "[slipstream - data warehouse solution - git (productization)] Build the data deployment pipelines for DEV to QA")</f>
        <v>[slipstream - data warehouse solution - git (productization)] Build the data deployment pipelines for DEV to QA</v>
      </c>
      <c r="F28" t="str">
        <f>HYPERLINK("https://app.clickup.com/t/869a2knmy", "[slipstream - data warehouse solution - git (productization)] Create views as exploitation layer out of data lake")</f>
        <v>[slipstream - data warehouse solution - git (productization)] Create views as exploitation layer out of data lake</v>
      </c>
      <c r="G28" t="str">
        <f>HYPERLINK("https://app.clickup.com/t/869474qb4", "[internal projects] Commit code to GitHub")</f>
        <v>[internal projects] Commit code to GitHub</v>
      </c>
      <c r="H28" t="str">
        <f>HYPERLINK("https://app.clickup.com/t/869474qb4", "[internal projects] Commit code to GitHub")</f>
        <v>[internal projects] Commit code to GitHub</v>
      </c>
      <c r="I28" t="str">
        <f>HYPERLINK("https://app.clickup.com/t/869atfeg3", "[freshdesk] 1375 FPM Look through results compared to Reg30 rounding differences")</f>
        <v>[freshdesk] 1375 FPM Look through results compared to Reg30 rounding differences</v>
      </c>
      <c r="J28" t="str">
        <f>HYPERLINK("https://app.clickup.com/t/869bd0zxj", "[freshdesk] 1430 Athena Connection Setup")</f>
        <v>[freshdesk] 1430 Athena Connection Setup</v>
      </c>
      <c r="K28" t="str">
        <f>HYPERLINK("https://app.clickup.com/t/8698jrq49", "[slipstream - data warehouse solution - git (productization)] Testing - data Audit processes")</f>
        <v>[slipstream - data warehouse solution - git (productization)] Testing - data Audit processes</v>
      </c>
      <c r="L28" t="str">
        <f>HYPERLINK("https://app.clickup.com/t/869a5344p", "[freshdesk] Documentation")</f>
        <v>[freshdesk] Documentation</v>
      </c>
      <c r="O28" t="str">
        <f>HYPERLINK("https://app.clickup.com/t/869474qb4", "[internal projects] Commit code to GitHub")</f>
        <v>[internal projects] Commit code to GitHub</v>
      </c>
      <c r="P28" t="str">
        <f>HYPERLINK("https://app.clickup.com/t/869bd6a0f", "[wonga: data warehouse development &amp; migration onto snowflake project] Dim_Funnel_Checks")</f>
        <v>[wonga: data warehouse development &amp; migration onto snowflake project] Dim_Funnel_Checks</v>
      </c>
      <c r="R28" t="str">
        <f>HYPERLINK("https://app.clickup.com/t/869bbt350", "[freshdesk] 1428 SSO Intergations for data connections within Alteryx")</f>
        <v>[freshdesk] 1428 SSO Intergations for data connections within Alteryx</v>
      </c>
    </row>
    <row r="29" spans="1:18" x14ac:dyDescent="0.3">
      <c r="B29" t="str">
        <f>HYPERLINK("https://app.clickup.com/t/8698jrq4e", "[slipstream - data warehouse solution - git (productization)] Support. Includes platform optimisation, query optimisation etc.")</f>
        <v>[slipstream - data warehouse solution - git (productization)] Support. Includes platform optimisation, query optimisation etc.</v>
      </c>
      <c r="C29" t="str">
        <f>HYPERLINK("https://app.clickup.com/t/8695qbamh", "[internal projects] Testing")</f>
        <v>[internal projects] Testing</v>
      </c>
      <c r="D29" t="str">
        <f>HYPERLINK("https://app.clickup.com/t/869474qb4", "[internal projects] Commit code to GitHub")</f>
        <v>[internal projects] Commit code to GitHub</v>
      </c>
      <c r="F29" t="str">
        <f>HYPERLINK("https://app.clickup.com/t/8698kwuqq", "[slipstream - data warehouse solution - git (productization)] Design and Build Costing reports in Snowflake")</f>
        <v>[slipstream - data warehouse solution - git (productization)] Design and Build Costing reports in Snowflake</v>
      </c>
      <c r="G29" t="str">
        <f>HYPERLINK("https://app.clickup.com/t/8696c93m9", "[discovery invest - dw maintenance] Change LAst_seed_Process = 2 for 7 tables")</f>
        <v>[discovery invest - dw maintenance] Change LAst_seed_Process = 2 for 7 tables</v>
      </c>
      <c r="H29" t="str">
        <f>HYPERLINK("https://app.clickup.com/t/862k4g368", "[internal projects] Integrate data to Tableau report")</f>
        <v>[internal projects] Integrate data to Tableau report</v>
      </c>
      <c r="I29" t="str">
        <f>HYPERLINK("https://app.clickup.com/t/869474qb4", "[internal projects] Commit code to GitHub")</f>
        <v>[internal projects] Commit code to GitHub</v>
      </c>
      <c r="J29" t="str">
        <f>HYPERLINK("https://app.clickup.com/t/8696q3a3m", "[internal projects] Team Skills")</f>
        <v>[internal projects] Team Skills</v>
      </c>
      <c r="K29" t="str">
        <f>HYPERLINK("https://app.clickup.com/t/8698jrq40", "[slipstream - data warehouse solution - git (productization)] Optimisation and Enhancemnets post testing")</f>
        <v>[slipstream - data warehouse solution - git (productization)] Optimisation and Enhancemnets post testing</v>
      </c>
      <c r="L29" t="str">
        <f>HYPERLINK("https://app.clickup.com/t/8698juq5h", "[slipstream - data warehouse solution - git (productization)] Build the PowerBI reports for monitoring data Lake progress")</f>
        <v>[slipstream - data warehouse solution - git (productization)] Build the PowerBI reports for monitoring data Lake progress</v>
      </c>
      <c r="O29" t="str">
        <f>HYPERLINK("https://app.clickup.com/t/869a9nmh7", "[om: fatca 2.0 design implementation project (jira tasks)] CDC-2626 Setup Non-prod and Prod space on Alteryx Servers")</f>
        <v>[om: fatca 2.0 design implementation project (jira tasks)] CDC-2626 Setup Non-prod and Prod space on Alteryx Servers</v>
      </c>
      <c r="R29" t="str">
        <f>HYPERLINK("https://app.clickup.com/t/869b88fev", "[freshdesk] 1421 OTIF Schedule date changes")</f>
        <v>[freshdesk] 1421 OTIF Schedule date changes</v>
      </c>
    </row>
    <row r="30" spans="1:18" x14ac:dyDescent="0.3">
      <c r="B30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  <c r="C30" t="str">
        <f>HYPERLINK("https://app.clickup.com/t/869474qb4", "[internal projects] Commit code to GitHub")</f>
        <v>[internal projects] Commit code to GitHub</v>
      </c>
      <c r="F30" t="str">
        <f>HYPERLINK("https://app.clickup.com/t/8698jrxaj", "[slipstream - data warehouse solution - git (productization)] Snowflake Setup and Configuration")</f>
        <v>[slipstream - data warehouse solution - git (productization)] Snowflake Setup and Configuration</v>
      </c>
      <c r="H30" t="str">
        <f>HYPERLINK("https://app.clickup.com/t/86931cq82", "[certification] Alteryx")</f>
        <v>[certification] Alteryx</v>
      </c>
      <c r="J30" t="str">
        <f>HYPERLINK("https://app.clickup.com/t/8696kqh8k", "[internal projects] Tableau server Microsoft Teams app set up")</f>
        <v>[internal projects] Tableau server Microsoft Teams app set up</v>
      </c>
      <c r="K30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  <c r="L30" t="str">
        <f>HYPERLINK("https://app.clickup.com/t/8698jupt0", "[slipstream - data warehouse solution - git (productization)] Build the PowerBI reports for monitoring data Stage progress")</f>
        <v>[slipstream - data warehouse solution - git (productization)] Build the PowerBI reports for monitoring data Stage progress</v>
      </c>
      <c r="O30" t="str">
        <f>HYPERLINK("https://app.clickup.com/t/869a6vnq6", "[om: fatca 2.0 design implementation project (jira tasks)] CDC-2757 Market Conduct: Provide time estimates for deliverables")</f>
        <v>[om: fatca 2.0 design implementation project (jira tasks)] CDC-2757 Market Conduct: Provide time estimates for deliverables</v>
      </c>
      <c r="R30" t="str">
        <f>HYPERLINK("https://app.clickup.com/t/8698jrq49", "[slipstream - data warehouse solution - git (productization)] Testing - data Audit processes")</f>
        <v>[slipstream - data warehouse solution - git (productization)] Testing - data Audit processes</v>
      </c>
    </row>
    <row r="31" spans="1:18" x14ac:dyDescent="0.3">
      <c r="B31" t="str">
        <f>HYPERLINK("https://app.clickup.com/t/869474qb4", "[internal projects] Commit code to GitHub")</f>
        <v>[internal projects] Commit code to GitHub</v>
      </c>
      <c r="C31" t="str">
        <f>HYPERLINK("https://app.clickup.com/t/862k18nwr", "[internal projects] SLA performance for each customer")</f>
        <v>[internal projects] SLA performance for each customer</v>
      </c>
      <c r="F31" t="str">
        <f>HYPERLINK("https://app.clickup.com/t/8698jrq40", "[slipstream - data warehouse solution - git (productization)] Optimisation and Enhancemnets post testing")</f>
        <v>[slipstream - data warehouse solution - git (productization)] Optimisation and Enhancemnets post testing</v>
      </c>
      <c r="J31" t="str">
        <f>HYPERLINK("https://app.clickup.com/t/869474qb4", "[internal projects] Commit code to GitHub")</f>
        <v>[internal projects] Commit code to GitHub</v>
      </c>
      <c r="K31" t="str">
        <f>HYPERLINK("https://app.clickup.com/t/869474qb4", "[internal projects] Commit code to GitHub")</f>
        <v>[internal projects] Commit code to GitHub</v>
      </c>
      <c r="L31" t="str">
        <f>HYPERLINK("https://app.clickup.com/t/8698jrq3g", "[slipstream - data warehouse solution - git (productization)] Orchestration")</f>
        <v>[slipstream - data warehouse solution - git (productization)] Orchestration</v>
      </c>
      <c r="O31" t="str">
        <f>HYPERLINK("https://app.clickup.com/t/869a1x6nk", "[om: fatca 2.0 design implementation project (jira tasks)] CDC-2062 Highlight where field values do not map to static reference tables in the raw schema")</f>
        <v>[om: fatca 2.0 design implementation project (jira tasks)] CDC-2062 Highlight where field values do not map to static reference tables in the raw schema</v>
      </c>
      <c r="R31" t="str">
        <f>HYPERLINK("https://app.clickup.com/t/8698jrq3g", "[slipstream - data warehouse solution - git (productization)] Orchestration")</f>
        <v>[slipstream - data warehouse solution - git (productization)] Orchestration</v>
      </c>
    </row>
    <row r="32" spans="1:18" x14ac:dyDescent="0.3">
      <c r="C32" t="str">
        <f>HYPERLINK("https://app.clickup.com/t/8694x2b1k", "[certification] Alteryx Designer Advanced")</f>
        <v>[certification] Alteryx Designer Advanced</v>
      </c>
      <c r="F32" t="str">
        <f>HYPERLINK("https://app.clickup.com/t/869474qb4", "[internal projects] Commit code to GitHub")</f>
        <v>[internal projects] Commit code to GitHub</v>
      </c>
      <c r="J32" t="str">
        <f>HYPERLINK("https://app.clickup.com/t/8698rmb2r", "[certification] AWS Certified Solutions Architect - Associate")</f>
        <v>[certification] AWS Certified Solutions Architect - Associate</v>
      </c>
      <c r="K32" t="str">
        <f>HYPERLINK("https://app.clickup.com/t/86971xvd4", "[discovery invest - dw maintenance] Run the file extracts")</f>
        <v>[discovery invest - dw maintenance] Run the file extracts</v>
      </c>
      <c r="O32" t="str">
        <f>HYPERLINK("https://app.clickup.com/t/869a1bu7g", "[om: fatca 2.0 design implementation project (jira tasks)] CDC-2563 Business Rule - Tax Free investments")</f>
        <v>[om: fatca 2.0 design implementation project (jira tasks)] CDC-2563 Business Rule - Tax Free investments</v>
      </c>
      <c r="R32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</row>
    <row r="33" spans="6:18" x14ac:dyDescent="0.3">
      <c r="F33" t="str">
        <f>HYPERLINK("https://app.clickup.com/t/86931cq56", "[certification] Snowflake")</f>
        <v>[certification] Snowflake</v>
      </c>
      <c r="K33" t="str">
        <f>HYPERLINK("https://app.clickup.com/t/86971xv4x", "[discovery invest - dw maintenance] Validating the marts")</f>
        <v>[discovery invest - dw maintenance] Validating the marts</v>
      </c>
      <c r="O33" t="str">
        <f>HYPERLINK("https://app.clickup.com/t/869a01gfm", "[om: fatca 2.0 design implementation project (jira tasks)] CDC-2509 Investigate subset where controlling person and entity has different entity_ids")</f>
        <v>[om: fatca 2.0 design implementation project (jira tasks)] CDC-2509 Investigate subset where controlling person and entity has different entity_ids</v>
      </c>
      <c r="R33" t="str">
        <f>HYPERLINK("https://app.clickup.com/t/869ag79ab", "[internal projects] Test Framework UAT doc")</f>
        <v>[internal projects] Test Framework UAT doc</v>
      </c>
    </row>
    <row r="34" spans="6:18" x14ac:dyDescent="0.3">
      <c r="K34" t="str">
        <f>HYPERLINK("https://app.clickup.com/t/86971xv04", "[discovery invest - dw maintenance] Run mart code")</f>
        <v>[discovery invest - dw maintenance] Run mart code</v>
      </c>
      <c r="O34" t="str">
        <f>HYPERLINK("https://app.clickup.com/t/8699yvvh7", "[om: fatca 2.0 design implementation project (jira tasks)] CDC-2560 SARS TPAH Template Update the rule to avoid referencing the database table")</f>
        <v>[om: fatca 2.0 design implementation project (jira tasks)] CDC-2560 SARS TPAH Template Update the rule to avoid referencing the database table</v>
      </c>
      <c r="R34" t="str">
        <f>HYPERLINK("https://app.clickup.com/t/869a70f9p", "[internal projects] Billed VS Invoiced VS SLA")</f>
        <v>[internal projects] Billed VS Invoiced VS SLA</v>
      </c>
    </row>
    <row r="35" spans="6:18" x14ac:dyDescent="0.3">
      <c r="K35" t="str">
        <f>HYPERLINK("https://app.clickup.com/t/86971xur8", "[discovery invest - dw maintenance] Run implied deletes code")</f>
        <v>[discovery invest - dw maintenance] Run implied deletes code</v>
      </c>
      <c r="O35" t="str">
        <f>HYPERLINK("https://app.clickup.com/t/8699yvveh", "[om: fatca 2.0 design implementation project (jira tasks)] CDC-2559 SARS TPAH Template Remove all spaces and special characters")</f>
        <v>[om: fatca 2.0 design implementation project (jira tasks)] CDC-2559 SARS TPAH Template Remove all spaces and special characters</v>
      </c>
      <c r="R35" t="str">
        <f>HYPERLINK("https://app.clickup.com/t/8697xudfa", "[internal projects] Income statement dashboard")</f>
        <v>[internal projects] Income statement dashboard</v>
      </c>
    </row>
    <row r="36" spans="6:18" x14ac:dyDescent="0.3">
      <c r="K36" t="str">
        <f>HYPERLINK("https://app.clickup.com/t/86971xtt3", "[discovery invest - dw maintenance] Validating the DWH")</f>
        <v>[discovery invest - dw maintenance] Validating the DWH</v>
      </c>
      <c r="R36" t="str">
        <f>HYPERLINK("https://app.clickup.com/t/8697t8mu2", "[internal projects] Sales Dashboard Additional requirements")</f>
        <v>[internal projects] Sales Dashboard Additional requirements</v>
      </c>
    </row>
    <row r="37" spans="6:18" x14ac:dyDescent="0.3">
      <c r="O37" t="str">
        <f>HYPERLINK("https://app.clickup.com/t/8699yvuqh", "[om: fatca 2.0 design implementation project (jira tasks)] CDC-2555 Entities former COB")</f>
        <v>[om: fatca 2.0 design implementation project (jira tasks)] CDC-2555 Entities former COB</v>
      </c>
      <c r="R37" t="str">
        <f>HYPERLINK("https://app.clickup.com/t/8697my8gd", "[internal projects] Financial and Sales Dashboard enhancement")</f>
        <v>[internal projects] Financial and Sales Dashboard enhancement</v>
      </c>
    </row>
    <row r="38" spans="6:18" x14ac:dyDescent="0.3">
      <c r="O38" t="str">
        <f>HYPERLINK("https://app.clickup.com/t/8699yvtjg", "[om: fatca 2.0 design implementation project (jira tasks)] CDC-2553 Flexcube SARS Templates - rename the RFI to source system code at scheme level")</f>
        <v>[om: fatca 2.0 design implementation project (jira tasks)] CDC-2553 Flexcube SARS Templates - rename the RFI to source system code at scheme level</v>
      </c>
      <c r="R38" t="str">
        <f>HYPERLINK("https://app.clickup.com/t/8696yar98", "[internal projects] Resource Utilization Dashboard Refinements")</f>
        <v>[internal projects] Resource Utilization Dashboard Refinements</v>
      </c>
    </row>
    <row r="39" spans="6:18" x14ac:dyDescent="0.3">
      <c r="O39" t="str">
        <f>HYPERLINK("https://app.clickup.com/t/8699yvruw", "[om: fatca 2.0 design implementation project (jira tasks)] CDC-2561 Diminmus rules to be applied at scheme level and not at OMUT level")</f>
        <v>[om: fatca 2.0 design implementation project (jira tasks)] CDC-2561 Diminmus rules to be applied at scheme level and not at OMUT level</v>
      </c>
      <c r="R39" t="str">
        <f>HYPERLINK("https://app.clickup.com/t/8696u6wyy", "[internal projects] Alteryx Server SLA Report process")</f>
        <v>[internal projects] Alteryx Server SLA Report process</v>
      </c>
    </row>
    <row r="40" spans="6:18" x14ac:dyDescent="0.3">
      <c r="O40" t="str">
        <f>HYPERLINK("https://app.clickup.com/t/8699yvra6", "[om: fatca 2.0 design implementation project (jira tasks)] CDC-2554 Entities COB")</f>
        <v>[om: fatca 2.0 design implementation project (jira tasks)] CDC-2554 Entities COB</v>
      </c>
      <c r="R40" t="str">
        <f>HYPERLINK("https://app.clickup.com/t/8695mj63r", "[internal projects] Shoprite B2B SLA Document")</f>
        <v>[internal projects] Shoprite B2B SLA Document</v>
      </c>
    </row>
    <row r="41" spans="6:18" x14ac:dyDescent="0.3">
      <c r="R41" t="str">
        <f>HYPERLINK("https://app.clickup.com/t/869474qb4", "[internal projects] Commit code to GitHub")</f>
        <v>[internal projects] Commit code to GitHub</v>
      </c>
    </row>
    <row r="42" spans="6:18" x14ac:dyDescent="0.3">
      <c r="R42" t="str">
        <f>HYPERLINK("https://app.clickup.com/t/869agp147", "[certification] Snowflake Sales Professional")</f>
        <v>[certification] Snowflake Sales Professional</v>
      </c>
    </row>
    <row r="43" spans="6:18" x14ac:dyDescent="0.3">
      <c r="R43" t="str">
        <f>HYPERLINK("https://app.clickup.com/t/869agp0uz", "[certification] Snowflake Technical Sales Professional")</f>
        <v>[certification] Snowflake Technical Sales Professional</v>
      </c>
    </row>
    <row r="44" spans="6:18" x14ac:dyDescent="0.3">
      <c r="R44" t="str">
        <f>HYPERLINK("https://app.clickup.com/t/869af829t", "[certification] Salesforce Certified Agentforce Specialist")</f>
        <v>[certification] Salesforce Certified Agentforce Specialist</v>
      </c>
    </row>
    <row r="45" spans="6:18" x14ac:dyDescent="0.3">
      <c r="R45" t="str">
        <f>HYPERLINK("https://app.clickup.com/t/869ab9g7u", "[certification] AWS Data Engineer - Associate")</f>
        <v>[certification] AWS Data Engineer - Associate</v>
      </c>
    </row>
    <row r="46" spans="6:18" x14ac:dyDescent="0.3">
      <c r="R46" t="str">
        <f>HYPERLINK("https://app.clickup.com/t/869b6v0gh", "[om: fatca 2.0 design implementation project (jira tasks)] CDC-2562 Develop a Foreigners List dashboard")</f>
        <v>[om: fatca 2.0 design implementation project (jira tasks)] CDC-2562 Develop a Foreigners List dashboard</v>
      </c>
    </row>
    <row r="47" spans="6:18" x14ac:dyDescent="0.3">
      <c r="R47" t="str">
        <f>HYPERLINK("https://app.clickup.com/t/869ax6j44", "[om: fatca 2.0 design implementation project (jira tasks)] Titanium Reports")</f>
        <v>[om: fatca 2.0 design implementation project (jira tasks)] Titanium Reports</v>
      </c>
    </row>
    <row r="48" spans="6:18" x14ac:dyDescent="0.3">
      <c r="R48" t="str">
        <f>HYPERLINK("https://app.clickup.com/t/869ax6j0z", "[om: fatca 2.0 design implementation project (jira tasks)] CDC-3034-aws-s3-bucket-investigation")</f>
        <v>[om: fatca 2.0 design implementation project (jira tasks)] CDC-3034-aws-s3-bucket-investigation</v>
      </c>
    </row>
    <row r="49" spans="18:18" x14ac:dyDescent="0.3">
      <c r="R49" t="str">
        <f>HYPERLINK("https://app.clickup.com/t/869avjm5f", "[om: fatca 2.0 design implementation project (jira tasks)] CBR Quarterly Run")</f>
        <v>[om: fatca 2.0 design implementation project (jira tasks)] CBR Quarterly Run</v>
      </c>
    </row>
    <row r="50" spans="18:18" x14ac:dyDescent="0.3">
      <c r="R50" t="str">
        <f>HYPERLINK("https://app.clickup.com/t/869auvvmp", "[om: fatca 2.0 design implementation project (jira tasks)] Advisor Recon Report Manual Run")</f>
        <v>[om: fatca 2.0 design implementation project (jira tasks)] Advisor Recon Report Manual Run</v>
      </c>
    </row>
    <row r="51" spans="18:18" x14ac:dyDescent="0.3">
      <c r="R51" t="str">
        <f>HYPERLINK("https://app.clickup.com/t/869arkz3a", "[om: fatca 2.0 design implementation project (jira tasks)] CDC-2914 Create Test Cases Cura Reg Change (Framework) Dashboard")</f>
        <v>[om: fatca 2.0 design implementation project (jira tasks)] CDC-2914 Create Test Cases Cura Reg Change (Framework) Dashboard</v>
      </c>
    </row>
    <row r="52" spans="18:18" x14ac:dyDescent="0.3">
      <c r="R52" t="str">
        <f>HYPERLINK("https://app.clickup.com/t/869am7mt7", "[om: fatca 2.0 design implementation project (jira tasks)] CDC-2913 Cura Reg Change Dashboard Modifications")</f>
        <v>[om: fatca 2.0 design implementation project (jira tasks)] CDC-2913 Cura Reg Change Dashboard Modifications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52"/>
  <sheetViews>
    <sheetView workbookViewId="0"/>
  </sheetViews>
  <sheetFormatPr defaultRowHeight="14.4" x14ac:dyDescent="0.3"/>
  <cols>
    <col min="1" max="1" width="20" customWidth="1"/>
    <col min="2" max="18" width="50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</row>
    <row r="3" spans="1:17" x14ac:dyDescent="0.3">
      <c r="A3" t="s">
        <v>18</v>
      </c>
      <c r="B3" t="s">
        <v>44</v>
      </c>
      <c r="C3" t="s">
        <v>44</v>
      </c>
      <c r="D3" t="s">
        <v>44</v>
      </c>
      <c r="E3" t="s">
        <v>44</v>
      </c>
      <c r="F3" t="s">
        <v>44</v>
      </c>
      <c r="G3" t="s">
        <v>44</v>
      </c>
      <c r="H3" t="s">
        <v>44</v>
      </c>
      <c r="I3" t="s">
        <v>67</v>
      </c>
      <c r="J3" t="s">
        <v>44</v>
      </c>
      <c r="K3" t="s">
        <v>44</v>
      </c>
      <c r="L3" t="s">
        <v>44</v>
      </c>
      <c r="M3" t="s">
        <v>44</v>
      </c>
      <c r="N3" t="s">
        <v>44</v>
      </c>
      <c r="O3" t="s">
        <v>44</v>
      </c>
      <c r="P3" t="s">
        <v>44</v>
      </c>
      <c r="Q3" t="s">
        <v>44</v>
      </c>
    </row>
    <row r="4" spans="1:17" x14ac:dyDescent="0.3">
      <c r="A4" t="s">
        <v>19</v>
      </c>
      <c r="E4" t="s">
        <v>46</v>
      </c>
      <c r="G4" t="s">
        <v>68</v>
      </c>
      <c r="L4" t="s">
        <v>47</v>
      </c>
    </row>
    <row r="5" spans="1:17" x14ac:dyDescent="0.3">
      <c r="A5" t="s">
        <v>20</v>
      </c>
      <c r="B5" t="s">
        <v>70</v>
      </c>
      <c r="C5" t="s">
        <v>70</v>
      </c>
      <c r="D5" t="s">
        <v>70</v>
      </c>
      <c r="E5" t="s">
        <v>76</v>
      </c>
      <c r="G5" t="s">
        <v>48</v>
      </c>
      <c r="J5" t="s">
        <v>70</v>
      </c>
      <c r="K5" t="s">
        <v>70</v>
      </c>
      <c r="L5" t="s">
        <v>72</v>
      </c>
      <c r="M5" t="s">
        <v>70</v>
      </c>
      <c r="N5" t="s">
        <v>70</v>
      </c>
      <c r="P5" t="s">
        <v>70</v>
      </c>
      <c r="Q5" t="s">
        <v>70</v>
      </c>
    </row>
    <row r="6" spans="1:17" x14ac:dyDescent="0.3">
      <c r="A6" t="s">
        <v>21</v>
      </c>
      <c r="C6" t="s">
        <v>77</v>
      </c>
      <c r="D6" t="s">
        <v>49</v>
      </c>
      <c r="E6" t="s">
        <v>46</v>
      </c>
      <c r="G6" t="s">
        <v>78</v>
      </c>
      <c r="H6" t="s">
        <v>77</v>
      </c>
      <c r="I6" t="s">
        <v>77</v>
      </c>
      <c r="J6" t="s">
        <v>49</v>
      </c>
      <c r="L6" t="s">
        <v>47</v>
      </c>
      <c r="M6" t="s">
        <v>77</v>
      </c>
      <c r="N6" t="s">
        <v>79</v>
      </c>
      <c r="Q6" t="s">
        <v>77</v>
      </c>
    </row>
    <row r="7" spans="1:17" x14ac:dyDescent="0.3">
      <c r="A7" t="s">
        <v>22</v>
      </c>
      <c r="C7" t="s">
        <v>77</v>
      </c>
      <c r="E7" t="s">
        <v>46</v>
      </c>
      <c r="G7" t="s">
        <v>77</v>
      </c>
      <c r="H7" t="s">
        <v>77</v>
      </c>
      <c r="I7" t="s">
        <v>77</v>
      </c>
      <c r="L7" t="s">
        <v>47</v>
      </c>
      <c r="M7" t="s">
        <v>77</v>
      </c>
      <c r="Q7" t="s">
        <v>77</v>
      </c>
    </row>
    <row r="8" spans="1:17" x14ac:dyDescent="0.3">
      <c r="A8" t="s">
        <v>23</v>
      </c>
      <c r="E8" t="s">
        <v>46</v>
      </c>
      <c r="Q8" t="s">
        <v>52</v>
      </c>
    </row>
    <row r="9" spans="1:17" x14ac:dyDescent="0.3">
      <c r="A9" t="s">
        <v>24</v>
      </c>
      <c r="E9" t="s">
        <v>46</v>
      </c>
      <c r="Q9" t="s">
        <v>52</v>
      </c>
    </row>
    <row r="10" spans="1:17" x14ac:dyDescent="0.3">
      <c r="A10" t="s">
        <v>25</v>
      </c>
      <c r="E10" t="s">
        <v>46</v>
      </c>
      <c r="H10" t="s">
        <v>54</v>
      </c>
      <c r="Q10" t="s">
        <v>52</v>
      </c>
    </row>
    <row r="11" spans="1:17" x14ac:dyDescent="0.3">
      <c r="A11" t="s">
        <v>26</v>
      </c>
      <c r="E11" t="s">
        <v>46</v>
      </c>
      <c r="H11" t="s">
        <v>54</v>
      </c>
      <c r="Q11" t="s">
        <v>52</v>
      </c>
    </row>
    <row r="12" spans="1:17" x14ac:dyDescent="0.3">
      <c r="A12" t="s">
        <v>27</v>
      </c>
      <c r="G12" t="s">
        <v>75</v>
      </c>
      <c r="H12" t="s">
        <v>54</v>
      </c>
      <c r="Q12" t="s">
        <v>52</v>
      </c>
    </row>
    <row r="13" spans="1:17" x14ac:dyDescent="0.3">
      <c r="A13" t="s">
        <v>28</v>
      </c>
      <c r="G13" t="s">
        <v>75</v>
      </c>
      <c r="H13" t="s">
        <v>54</v>
      </c>
      <c r="Q13" t="s">
        <v>58</v>
      </c>
    </row>
    <row r="14" spans="1:17" x14ac:dyDescent="0.3">
      <c r="A14" t="s">
        <v>29</v>
      </c>
      <c r="E14" t="s">
        <v>46</v>
      </c>
      <c r="G14" t="s">
        <v>75</v>
      </c>
      <c r="Q14" t="s">
        <v>58</v>
      </c>
    </row>
    <row r="15" spans="1:17" x14ac:dyDescent="0.3">
      <c r="A15" t="s">
        <v>30</v>
      </c>
      <c r="E15" t="s">
        <v>46</v>
      </c>
      <c r="G15" t="s">
        <v>75</v>
      </c>
      <c r="Q15" t="s">
        <v>58</v>
      </c>
    </row>
    <row r="16" spans="1:17" x14ac:dyDescent="0.3">
      <c r="A16" t="s">
        <v>31</v>
      </c>
      <c r="E16" t="s">
        <v>46</v>
      </c>
    </row>
    <row r="17" spans="1:18" x14ac:dyDescent="0.3">
      <c r="A17" t="s">
        <v>32</v>
      </c>
      <c r="E17" t="s">
        <v>46</v>
      </c>
    </row>
    <row r="18" spans="1:18" x14ac:dyDescent="0.3">
      <c r="A18" t="s">
        <v>33</v>
      </c>
      <c r="B18" t="s">
        <v>80</v>
      </c>
      <c r="E18" t="s">
        <v>81</v>
      </c>
      <c r="G18" t="s">
        <v>68</v>
      </c>
      <c r="L18" t="s">
        <v>65</v>
      </c>
      <c r="O18" t="s">
        <v>80</v>
      </c>
      <c r="Q18" t="s">
        <v>66</v>
      </c>
    </row>
    <row r="19" spans="1:18" x14ac:dyDescent="0.3">
      <c r="A19" t="s">
        <v>34</v>
      </c>
      <c r="B19" t="s">
        <v>80</v>
      </c>
      <c r="E19" t="s">
        <v>81</v>
      </c>
      <c r="L19" t="s">
        <v>65</v>
      </c>
      <c r="O19" t="s">
        <v>80</v>
      </c>
      <c r="Q19" t="s">
        <v>66</v>
      </c>
    </row>
    <row r="20" spans="1:18" x14ac:dyDescent="0.3">
      <c r="A20" t="s">
        <v>35</v>
      </c>
    </row>
    <row r="21" spans="1:18" x14ac:dyDescent="0.3">
      <c r="A21" t="s">
        <v>36</v>
      </c>
    </row>
    <row r="24" spans="1:18" x14ac:dyDescent="0.3">
      <c r="A24" t="s">
        <v>37</v>
      </c>
      <c r="B24">
        <f t="shared" ref="B24:Q24" si="0">ROUND(COUNTIF(B2:B19,"&lt;&gt;")/18,4)</f>
        <v>0.22220000000000001</v>
      </c>
      <c r="C24">
        <f t="shared" si="0"/>
        <v>0.22220000000000001</v>
      </c>
      <c r="D24">
        <f t="shared" si="0"/>
        <v>0.16669999999999999</v>
      </c>
      <c r="E24">
        <f t="shared" si="0"/>
        <v>0.83330000000000004</v>
      </c>
      <c r="F24">
        <f t="shared" si="0"/>
        <v>5.5599999999999997E-2</v>
      </c>
      <c r="G24">
        <f t="shared" si="0"/>
        <v>0.55559999999999998</v>
      </c>
      <c r="H24">
        <f t="shared" si="0"/>
        <v>0.38890000000000002</v>
      </c>
      <c r="I24">
        <f t="shared" si="0"/>
        <v>0.16669999999999999</v>
      </c>
      <c r="J24">
        <f t="shared" si="0"/>
        <v>0.16669999999999999</v>
      </c>
      <c r="K24">
        <f t="shared" si="0"/>
        <v>0.1111</v>
      </c>
      <c r="L24">
        <f t="shared" si="0"/>
        <v>0.38890000000000002</v>
      </c>
      <c r="M24">
        <f t="shared" si="0"/>
        <v>0.22220000000000001</v>
      </c>
      <c r="N24">
        <f t="shared" si="0"/>
        <v>0.16669999999999999</v>
      </c>
      <c r="O24">
        <f t="shared" si="0"/>
        <v>0.16669999999999999</v>
      </c>
      <c r="P24">
        <f t="shared" si="0"/>
        <v>0.1111</v>
      </c>
      <c r="Q24">
        <f t="shared" si="0"/>
        <v>0.77780000000000005</v>
      </c>
    </row>
    <row r="27" spans="1:18" x14ac:dyDescent="0.3">
      <c r="A27" t="s">
        <v>38</v>
      </c>
      <c r="B27" t="s">
        <v>39</v>
      </c>
      <c r="C27" t="s">
        <v>2</v>
      </c>
      <c r="D27" t="s">
        <v>3</v>
      </c>
      <c r="E27" t="s">
        <v>4</v>
      </c>
      <c r="F27" t="s">
        <v>40</v>
      </c>
      <c r="G27" t="s">
        <v>6</v>
      </c>
      <c r="H27" t="s">
        <v>7</v>
      </c>
      <c r="I27" t="s">
        <v>8</v>
      </c>
      <c r="J27" t="s">
        <v>9</v>
      </c>
      <c r="K27" t="s">
        <v>10</v>
      </c>
      <c r="L27" t="s">
        <v>11</v>
      </c>
      <c r="M27" t="s">
        <v>41</v>
      </c>
      <c r="N27" t="s">
        <v>13</v>
      </c>
      <c r="O27" t="s">
        <v>14</v>
      </c>
      <c r="P27" t="s">
        <v>15</v>
      </c>
      <c r="Q27" t="s">
        <v>16</v>
      </c>
      <c r="R27" t="s">
        <v>42</v>
      </c>
    </row>
    <row r="28" spans="1:18" x14ac:dyDescent="0.3">
      <c r="B28" t="str">
        <f>HYPERLINK("https://app.clickup.com/t/8698kwuqq", "[slipstream - data warehouse solution - git (productization)] Design and Build Costing reports in Snowflake")</f>
        <v>[slipstream - data warehouse solution - git (productization)] Design and Build Costing reports in Snowflake</v>
      </c>
      <c r="C28" t="str">
        <f>HYPERLINK("https://app.clickup.com/t/86995td5m", "[slipstream - data warehouse solution - git (productization)] Build the data deployment pipelines for DEV to QA")</f>
        <v>[slipstream - data warehouse solution - git (productization)] Build the data deployment pipelines for DEV to QA</v>
      </c>
      <c r="D28" t="str">
        <f>HYPERLINK("https://app.clickup.com/t/86995td5m", "[slipstream - data warehouse solution - git (productization)] Build the data deployment pipelines for DEV to QA")</f>
        <v>[slipstream - data warehouse solution - git (productization)] Build the data deployment pipelines for DEV to QA</v>
      </c>
      <c r="F28" t="str">
        <f>HYPERLINK("https://app.clickup.com/t/869a2knmy", "[slipstream - data warehouse solution - git (productization)] Create views as exploitation layer out of data lake")</f>
        <v>[slipstream - data warehouse solution - git (productization)] Create views as exploitation layer out of data lake</v>
      </c>
      <c r="G28" t="str">
        <f>HYPERLINK("https://app.clickup.com/t/869474qb4", "[internal projects] Commit code to GitHub")</f>
        <v>[internal projects] Commit code to GitHub</v>
      </c>
      <c r="H28" t="str">
        <f>HYPERLINK("https://app.clickup.com/t/869474qb4", "[internal projects] Commit code to GitHub")</f>
        <v>[internal projects] Commit code to GitHub</v>
      </c>
      <c r="I28" t="str">
        <f>HYPERLINK("https://app.clickup.com/t/869atfeg3", "[freshdesk] 1375 FPM Look through results compared to Reg30 rounding differences")</f>
        <v>[freshdesk] 1375 FPM Look through results compared to Reg30 rounding differences</v>
      </c>
      <c r="J28" t="str">
        <f>HYPERLINK("https://app.clickup.com/t/869bd0zxj", "[freshdesk] 1430 Athena Connection Setup")</f>
        <v>[freshdesk] 1430 Athena Connection Setup</v>
      </c>
      <c r="K28" t="str">
        <f>HYPERLINK("https://app.clickup.com/t/8698jrq49", "[slipstream - data warehouse solution - git (productization)] Testing - data Audit processes")</f>
        <v>[slipstream - data warehouse solution - git (productization)] Testing - data Audit processes</v>
      </c>
      <c r="L28" t="str">
        <f>HYPERLINK("https://app.clickup.com/t/869a5344p", "[freshdesk] Documentation")</f>
        <v>[freshdesk] Documentation</v>
      </c>
      <c r="O28" t="str">
        <f>HYPERLINK("https://app.clickup.com/t/869474qb4", "[internal projects] Commit code to GitHub")</f>
        <v>[internal projects] Commit code to GitHub</v>
      </c>
      <c r="P28" t="str">
        <f>HYPERLINK("https://app.clickup.com/t/869bd6a0f", "[wonga: data warehouse development &amp; migration onto snowflake project] Dim_Funnel_Checks")</f>
        <v>[wonga: data warehouse development &amp; migration onto snowflake project] Dim_Funnel_Checks</v>
      </c>
      <c r="R28" t="str">
        <f>HYPERLINK("https://app.clickup.com/t/869bbt350", "[freshdesk] 1428 SSO Intergations for data connections within Alteryx")</f>
        <v>[freshdesk] 1428 SSO Intergations for data connections within Alteryx</v>
      </c>
    </row>
    <row r="29" spans="1:18" x14ac:dyDescent="0.3">
      <c r="B29" t="str">
        <f>HYPERLINK("https://app.clickup.com/t/8698jrq4e", "[slipstream - data warehouse solution - git (productization)] Support. Includes platform optimisation, query optimisation etc.")</f>
        <v>[slipstream - data warehouse solution - git (productization)] Support. Includes platform optimisation, query optimisation etc.</v>
      </c>
      <c r="C29" t="str">
        <f>HYPERLINK("https://app.clickup.com/t/8695qbamh", "[internal projects] Testing")</f>
        <v>[internal projects] Testing</v>
      </c>
      <c r="D29" t="str">
        <f>HYPERLINK("https://app.clickup.com/t/869474qb4", "[internal projects] Commit code to GitHub")</f>
        <v>[internal projects] Commit code to GitHub</v>
      </c>
      <c r="F29" t="str">
        <f>HYPERLINK("https://app.clickup.com/t/8698kwuqq", "[slipstream - data warehouse solution - git (productization)] Design and Build Costing reports in Snowflake")</f>
        <v>[slipstream - data warehouse solution - git (productization)] Design and Build Costing reports in Snowflake</v>
      </c>
      <c r="G29" t="str">
        <f>HYPERLINK("https://app.clickup.com/t/8696c93m9", "[discovery invest - dw maintenance] Change LAst_seed_Process = 2 for 7 tables")</f>
        <v>[discovery invest - dw maintenance] Change LAst_seed_Process = 2 for 7 tables</v>
      </c>
      <c r="H29" t="str">
        <f>HYPERLINK("https://app.clickup.com/t/862k4g368", "[internal projects] Integrate data to Tableau report")</f>
        <v>[internal projects] Integrate data to Tableau report</v>
      </c>
      <c r="I29" t="str">
        <f>HYPERLINK("https://app.clickup.com/t/869474qb4", "[internal projects] Commit code to GitHub")</f>
        <v>[internal projects] Commit code to GitHub</v>
      </c>
      <c r="J29" t="str">
        <f>HYPERLINK("https://app.clickup.com/t/8696q3a3m", "[internal projects] Team Skills")</f>
        <v>[internal projects] Team Skills</v>
      </c>
      <c r="K29" t="str">
        <f>HYPERLINK("https://app.clickup.com/t/8698jrq40", "[slipstream - data warehouse solution - git (productization)] Optimisation and Enhancemnets post testing")</f>
        <v>[slipstream - data warehouse solution - git (productization)] Optimisation and Enhancemnets post testing</v>
      </c>
      <c r="L29" t="str">
        <f>HYPERLINK("https://app.clickup.com/t/8698juq5h", "[slipstream - data warehouse solution - git (productization)] Build the PowerBI reports for monitoring data Lake progress")</f>
        <v>[slipstream - data warehouse solution - git (productization)] Build the PowerBI reports for monitoring data Lake progress</v>
      </c>
      <c r="O29" t="str">
        <f>HYPERLINK("https://app.clickup.com/t/869a9nmh7", "[om: fatca 2.0 design implementation project (jira tasks)] CDC-2626 Setup Non-prod and Prod space on Alteryx Servers")</f>
        <v>[om: fatca 2.0 design implementation project (jira tasks)] CDC-2626 Setup Non-prod and Prod space on Alteryx Servers</v>
      </c>
      <c r="R29" t="str">
        <f>HYPERLINK("https://app.clickup.com/t/869b88fev", "[freshdesk] 1421 OTIF Schedule date changes")</f>
        <v>[freshdesk] 1421 OTIF Schedule date changes</v>
      </c>
    </row>
    <row r="30" spans="1:18" x14ac:dyDescent="0.3">
      <c r="B30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  <c r="C30" t="str">
        <f>HYPERLINK("https://app.clickup.com/t/869474qb4", "[internal projects] Commit code to GitHub")</f>
        <v>[internal projects] Commit code to GitHub</v>
      </c>
      <c r="F30" t="str">
        <f>HYPERLINK("https://app.clickup.com/t/8698jrxaj", "[slipstream - data warehouse solution - git (productization)] Snowflake Setup and Configuration")</f>
        <v>[slipstream - data warehouse solution - git (productization)] Snowflake Setup and Configuration</v>
      </c>
      <c r="H30" t="str">
        <f>HYPERLINK("https://app.clickup.com/t/86931cq82", "[certification] Alteryx")</f>
        <v>[certification] Alteryx</v>
      </c>
      <c r="J30" t="str">
        <f>HYPERLINK("https://app.clickup.com/t/8696kqh8k", "[internal projects] Tableau server Microsoft Teams app set up")</f>
        <v>[internal projects] Tableau server Microsoft Teams app set up</v>
      </c>
      <c r="K30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  <c r="L30" t="str">
        <f>HYPERLINK("https://app.clickup.com/t/8698jupt0", "[slipstream - data warehouse solution - git (productization)] Build the PowerBI reports for monitoring data Stage progress")</f>
        <v>[slipstream - data warehouse solution - git (productization)] Build the PowerBI reports for monitoring data Stage progress</v>
      </c>
      <c r="O30" t="str">
        <f>HYPERLINK("https://app.clickup.com/t/869a6vnq6", "[om: fatca 2.0 design implementation project (jira tasks)] CDC-2757 Market Conduct: Provide time estimates for deliverables")</f>
        <v>[om: fatca 2.0 design implementation project (jira tasks)] CDC-2757 Market Conduct: Provide time estimates for deliverables</v>
      </c>
      <c r="R30" t="str">
        <f>HYPERLINK("https://app.clickup.com/t/8698jrq49", "[slipstream - data warehouse solution - git (productization)] Testing - data Audit processes")</f>
        <v>[slipstream - data warehouse solution - git (productization)] Testing - data Audit processes</v>
      </c>
    </row>
    <row r="31" spans="1:18" x14ac:dyDescent="0.3">
      <c r="B31" t="str">
        <f>HYPERLINK("https://app.clickup.com/t/869474qb4", "[internal projects] Commit code to GitHub")</f>
        <v>[internal projects] Commit code to GitHub</v>
      </c>
      <c r="C31" t="str">
        <f>HYPERLINK("https://app.clickup.com/t/862k18nwr", "[internal projects] SLA performance for each customer")</f>
        <v>[internal projects] SLA performance for each customer</v>
      </c>
      <c r="F31" t="str">
        <f>HYPERLINK("https://app.clickup.com/t/8698jrq40", "[slipstream - data warehouse solution - git (productization)] Optimisation and Enhancemnets post testing")</f>
        <v>[slipstream - data warehouse solution - git (productization)] Optimisation and Enhancemnets post testing</v>
      </c>
      <c r="J31" t="str">
        <f>HYPERLINK("https://app.clickup.com/t/869474qb4", "[internal projects] Commit code to GitHub")</f>
        <v>[internal projects] Commit code to GitHub</v>
      </c>
      <c r="K31" t="str">
        <f>HYPERLINK("https://app.clickup.com/t/869474qb4", "[internal projects] Commit code to GitHub")</f>
        <v>[internal projects] Commit code to GitHub</v>
      </c>
      <c r="L31" t="str">
        <f>HYPERLINK("https://app.clickup.com/t/8698jrq3g", "[slipstream - data warehouse solution - git (productization)] Orchestration")</f>
        <v>[slipstream - data warehouse solution - git (productization)] Orchestration</v>
      </c>
      <c r="O31" t="str">
        <f>HYPERLINK("https://app.clickup.com/t/869a1x6nk", "[om: fatca 2.0 design implementation project (jira tasks)] CDC-2062 Highlight where field values do not map to static reference tables in the raw schema")</f>
        <v>[om: fatca 2.0 design implementation project (jira tasks)] CDC-2062 Highlight where field values do not map to static reference tables in the raw schema</v>
      </c>
      <c r="R31" t="str">
        <f>HYPERLINK("https://app.clickup.com/t/8698jrq3g", "[slipstream - data warehouse solution - git (productization)] Orchestration")</f>
        <v>[slipstream - data warehouse solution - git (productization)] Orchestration</v>
      </c>
    </row>
    <row r="32" spans="1:18" x14ac:dyDescent="0.3">
      <c r="C32" t="str">
        <f>HYPERLINK("https://app.clickup.com/t/8694x2b1k", "[certification] Alteryx Designer Advanced")</f>
        <v>[certification] Alteryx Designer Advanced</v>
      </c>
      <c r="F32" t="str">
        <f>HYPERLINK("https://app.clickup.com/t/869474qb4", "[internal projects] Commit code to GitHub")</f>
        <v>[internal projects] Commit code to GitHub</v>
      </c>
      <c r="J32" t="str">
        <f>HYPERLINK("https://app.clickup.com/t/8698rmb2r", "[certification] AWS Certified Solutions Architect - Associate")</f>
        <v>[certification] AWS Certified Solutions Architect - Associate</v>
      </c>
      <c r="K32" t="str">
        <f>HYPERLINK("https://app.clickup.com/t/86971xvd4", "[discovery invest - dw maintenance] Run the file extracts")</f>
        <v>[discovery invest - dw maintenance] Run the file extracts</v>
      </c>
      <c r="O32" t="str">
        <f>HYPERLINK("https://app.clickup.com/t/869a1bu7g", "[om: fatca 2.0 design implementation project (jira tasks)] CDC-2563 Business Rule - Tax Free investments")</f>
        <v>[om: fatca 2.0 design implementation project (jira tasks)] CDC-2563 Business Rule - Tax Free investments</v>
      </c>
      <c r="R32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</row>
    <row r="33" spans="6:18" x14ac:dyDescent="0.3">
      <c r="F33" t="str">
        <f>HYPERLINK("https://app.clickup.com/t/86931cq56", "[certification] Snowflake")</f>
        <v>[certification] Snowflake</v>
      </c>
      <c r="K33" t="str">
        <f>HYPERLINK("https://app.clickup.com/t/86971xv4x", "[discovery invest - dw maintenance] Validating the marts")</f>
        <v>[discovery invest - dw maintenance] Validating the marts</v>
      </c>
      <c r="O33" t="str">
        <f>HYPERLINK("https://app.clickup.com/t/869a01gfm", "[om: fatca 2.0 design implementation project (jira tasks)] CDC-2509 Investigate subset where controlling person and entity has different entity_ids")</f>
        <v>[om: fatca 2.0 design implementation project (jira tasks)] CDC-2509 Investigate subset where controlling person and entity has different entity_ids</v>
      </c>
      <c r="R33" t="str">
        <f>HYPERLINK("https://app.clickup.com/t/869ag79ab", "[internal projects] Test Framework UAT doc")</f>
        <v>[internal projects] Test Framework UAT doc</v>
      </c>
    </row>
    <row r="34" spans="6:18" x14ac:dyDescent="0.3">
      <c r="K34" t="str">
        <f>HYPERLINK("https://app.clickup.com/t/86971xv04", "[discovery invest - dw maintenance] Run mart code")</f>
        <v>[discovery invest - dw maintenance] Run mart code</v>
      </c>
      <c r="O34" t="str">
        <f>HYPERLINK("https://app.clickup.com/t/8699yvvh7", "[om: fatca 2.0 design implementation project (jira tasks)] CDC-2560 SARS TPAH Template Update the rule to avoid referencing the database table")</f>
        <v>[om: fatca 2.0 design implementation project (jira tasks)] CDC-2560 SARS TPAH Template Update the rule to avoid referencing the database table</v>
      </c>
      <c r="R34" t="str">
        <f>HYPERLINK("https://app.clickup.com/t/869a70f9p", "[internal projects] Billed VS Invoiced VS SLA")</f>
        <v>[internal projects] Billed VS Invoiced VS SLA</v>
      </c>
    </row>
    <row r="35" spans="6:18" x14ac:dyDescent="0.3">
      <c r="K35" t="str">
        <f>HYPERLINK("https://app.clickup.com/t/86971xur8", "[discovery invest - dw maintenance] Run implied deletes code")</f>
        <v>[discovery invest - dw maintenance] Run implied deletes code</v>
      </c>
      <c r="O35" t="str">
        <f>HYPERLINK("https://app.clickup.com/t/8699yvveh", "[om: fatca 2.0 design implementation project (jira tasks)] CDC-2559 SARS TPAH Template Remove all spaces and special characters")</f>
        <v>[om: fatca 2.0 design implementation project (jira tasks)] CDC-2559 SARS TPAH Template Remove all spaces and special characters</v>
      </c>
      <c r="R35" t="str">
        <f>HYPERLINK("https://app.clickup.com/t/8697xudfa", "[internal projects] Income statement dashboard")</f>
        <v>[internal projects] Income statement dashboard</v>
      </c>
    </row>
    <row r="36" spans="6:18" x14ac:dyDescent="0.3">
      <c r="K36" t="str">
        <f>HYPERLINK("https://app.clickup.com/t/86971xtt3", "[discovery invest - dw maintenance] Validating the DWH")</f>
        <v>[discovery invest - dw maintenance] Validating the DWH</v>
      </c>
      <c r="R36" t="str">
        <f>HYPERLINK("https://app.clickup.com/t/8697t8mu2", "[internal projects] Sales Dashboard Additional requirements")</f>
        <v>[internal projects] Sales Dashboard Additional requirements</v>
      </c>
    </row>
    <row r="37" spans="6:18" x14ac:dyDescent="0.3">
      <c r="O37" t="str">
        <f>HYPERLINK("https://app.clickup.com/t/8699yvuqh", "[om: fatca 2.0 design implementation project (jira tasks)] CDC-2555 Entities former COB")</f>
        <v>[om: fatca 2.0 design implementation project (jira tasks)] CDC-2555 Entities former COB</v>
      </c>
      <c r="R37" t="str">
        <f>HYPERLINK("https://app.clickup.com/t/8697my8gd", "[internal projects] Financial and Sales Dashboard enhancement")</f>
        <v>[internal projects] Financial and Sales Dashboard enhancement</v>
      </c>
    </row>
    <row r="38" spans="6:18" x14ac:dyDescent="0.3">
      <c r="O38" t="str">
        <f>HYPERLINK("https://app.clickup.com/t/8699yvtjg", "[om: fatca 2.0 design implementation project (jira tasks)] CDC-2553 Flexcube SARS Templates - rename the RFI to source system code at scheme level")</f>
        <v>[om: fatca 2.0 design implementation project (jira tasks)] CDC-2553 Flexcube SARS Templates - rename the RFI to source system code at scheme level</v>
      </c>
      <c r="R38" t="str">
        <f>HYPERLINK("https://app.clickup.com/t/8696yar98", "[internal projects] Resource Utilization Dashboard Refinements")</f>
        <v>[internal projects] Resource Utilization Dashboard Refinements</v>
      </c>
    </row>
    <row r="39" spans="6:18" x14ac:dyDescent="0.3">
      <c r="O39" t="str">
        <f>HYPERLINK("https://app.clickup.com/t/8699yvruw", "[om: fatca 2.0 design implementation project (jira tasks)] CDC-2561 Diminmus rules to be applied at scheme level and not at OMUT level")</f>
        <v>[om: fatca 2.0 design implementation project (jira tasks)] CDC-2561 Diminmus rules to be applied at scheme level and not at OMUT level</v>
      </c>
      <c r="R39" t="str">
        <f>HYPERLINK("https://app.clickup.com/t/8696u6wyy", "[internal projects] Alteryx Server SLA Report process")</f>
        <v>[internal projects] Alteryx Server SLA Report process</v>
      </c>
    </row>
    <row r="40" spans="6:18" x14ac:dyDescent="0.3">
      <c r="O40" t="str">
        <f>HYPERLINK("https://app.clickup.com/t/8699yvra6", "[om: fatca 2.0 design implementation project (jira tasks)] CDC-2554 Entities COB")</f>
        <v>[om: fatca 2.0 design implementation project (jira tasks)] CDC-2554 Entities COB</v>
      </c>
      <c r="R40" t="str">
        <f>HYPERLINK("https://app.clickup.com/t/8695mj63r", "[internal projects] Shoprite B2B SLA Document")</f>
        <v>[internal projects] Shoprite B2B SLA Document</v>
      </c>
    </row>
    <row r="41" spans="6:18" x14ac:dyDescent="0.3">
      <c r="R41" t="str">
        <f>HYPERLINK("https://app.clickup.com/t/869474qb4", "[internal projects] Commit code to GitHub")</f>
        <v>[internal projects] Commit code to GitHub</v>
      </c>
    </row>
    <row r="42" spans="6:18" x14ac:dyDescent="0.3">
      <c r="R42" t="str">
        <f>HYPERLINK("https://app.clickup.com/t/869agp147", "[certification] Snowflake Sales Professional")</f>
        <v>[certification] Snowflake Sales Professional</v>
      </c>
    </row>
    <row r="43" spans="6:18" x14ac:dyDescent="0.3">
      <c r="R43" t="str">
        <f>HYPERLINK("https://app.clickup.com/t/869agp0uz", "[certification] Snowflake Technical Sales Professional")</f>
        <v>[certification] Snowflake Technical Sales Professional</v>
      </c>
    </row>
    <row r="44" spans="6:18" x14ac:dyDescent="0.3">
      <c r="R44" t="str">
        <f>HYPERLINK("https://app.clickup.com/t/869af829t", "[certification] Salesforce Certified Agentforce Specialist")</f>
        <v>[certification] Salesforce Certified Agentforce Specialist</v>
      </c>
    </row>
    <row r="45" spans="6:18" x14ac:dyDescent="0.3">
      <c r="R45" t="str">
        <f>HYPERLINK("https://app.clickup.com/t/869ab9g7u", "[certification] AWS Data Engineer - Associate")</f>
        <v>[certification] AWS Data Engineer - Associate</v>
      </c>
    </row>
    <row r="46" spans="6:18" x14ac:dyDescent="0.3">
      <c r="R46" t="str">
        <f>HYPERLINK("https://app.clickup.com/t/869b6v0gh", "[om: fatca 2.0 design implementation project (jira tasks)] CDC-2562 Develop a Foreigners List dashboard")</f>
        <v>[om: fatca 2.0 design implementation project (jira tasks)] CDC-2562 Develop a Foreigners List dashboard</v>
      </c>
    </row>
    <row r="47" spans="6:18" x14ac:dyDescent="0.3">
      <c r="R47" t="str">
        <f>HYPERLINK("https://app.clickup.com/t/869ax6j44", "[om: fatca 2.0 design implementation project (jira tasks)] Titanium Reports")</f>
        <v>[om: fatca 2.0 design implementation project (jira tasks)] Titanium Reports</v>
      </c>
    </row>
    <row r="48" spans="6:18" x14ac:dyDescent="0.3">
      <c r="R48" t="str">
        <f>HYPERLINK("https://app.clickup.com/t/869ax6j0z", "[om: fatca 2.0 design implementation project (jira tasks)] CDC-3034-aws-s3-bucket-investigation")</f>
        <v>[om: fatca 2.0 design implementation project (jira tasks)] CDC-3034-aws-s3-bucket-investigation</v>
      </c>
    </row>
    <row r="49" spans="18:18" x14ac:dyDescent="0.3">
      <c r="R49" t="str">
        <f>HYPERLINK("https://app.clickup.com/t/869avjm5f", "[om: fatca 2.0 design implementation project (jira tasks)] CBR Quarterly Run")</f>
        <v>[om: fatca 2.0 design implementation project (jira tasks)] CBR Quarterly Run</v>
      </c>
    </row>
    <row r="50" spans="18:18" x14ac:dyDescent="0.3">
      <c r="R50" t="str">
        <f>HYPERLINK("https://app.clickup.com/t/869auvvmp", "[om: fatca 2.0 design implementation project (jira tasks)] Advisor Recon Report Manual Run")</f>
        <v>[om: fatca 2.0 design implementation project (jira tasks)] Advisor Recon Report Manual Run</v>
      </c>
    </row>
    <row r="51" spans="18:18" x14ac:dyDescent="0.3">
      <c r="R51" t="str">
        <f>HYPERLINK("https://app.clickup.com/t/869arkz3a", "[om: fatca 2.0 design implementation project (jira tasks)] CDC-2914 Create Test Cases Cura Reg Change (Framework) Dashboard")</f>
        <v>[om: fatca 2.0 design implementation project (jira tasks)] CDC-2914 Create Test Cases Cura Reg Change (Framework) Dashboard</v>
      </c>
    </row>
    <row r="52" spans="18:18" x14ac:dyDescent="0.3">
      <c r="R52" t="str">
        <f>HYPERLINK("https://app.clickup.com/t/869am7mt7", "[om: fatca 2.0 design implementation project (jira tasks)] CDC-2913 Cura Reg Change Dashboard Modifications")</f>
        <v>[om: fatca 2.0 design implementation project (jira tasks)] CDC-2913 Cura Reg Change Dashboard Modifications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52"/>
  <sheetViews>
    <sheetView workbookViewId="0"/>
  </sheetViews>
  <sheetFormatPr defaultRowHeight="14.4" x14ac:dyDescent="0.3"/>
  <cols>
    <col min="1" max="1" width="20" customWidth="1"/>
    <col min="2" max="18" width="50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</row>
    <row r="3" spans="1:17" x14ac:dyDescent="0.3">
      <c r="A3" t="s">
        <v>18</v>
      </c>
      <c r="B3" t="s">
        <v>44</v>
      </c>
      <c r="C3" t="s">
        <v>44</v>
      </c>
      <c r="D3" t="s">
        <v>44</v>
      </c>
      <c r="E3" t="s">
        <v>44</v>
      </c>
      <c r="F3" t="s">
        <v>44</v>
      </c>
      <c r="G3" t="s">
        <v>44</v>
      </c>
      <c r="H3" t="s">
        <v>44</v>
      </c>
      <c r="I3" t="s">
        <v>67</v>
      </c>
      <c r="J3" t="s">
        <v>44</v>
      </c>
      <c r="K3" t="s">
        <v>44</v>
      </c>
      <c r="L3" t="s">
        <v>44</v>
      </c>
      <c r="M3" t="s">
        <v>44</v>
      </c>
      <c r="N3" t="s">
        <v>44</v>
      </c>
      <c r="O3" t="s">
        <v>44</v>
      </c>
      <c r="P3" t="s">
        <v>44</v>
      </c>
      <c r="Q3" t="s">
        <v>44</v>
      </c>
    </row>
    <row r="4" spans="1:17" x14ac:dyDescent="0.3">
      <c r="A4" t="s">
        <v>19</v>
      </c>
      <c r="B4" t="s">
        <v>82</v>
      </c>
      <c r="E4" t="s">
        <v>46</v>
      </c>
      <c r="G4" t="s">
        <v>68</v>
      </c>
      <c r="L4" t="s">
        <v>47</v>
      </c>
    </row>
    <row r="5" spans="1:17" x14ac:dyDescent="0.3">
      <c r="A5" t="s">
        <v>20</v>
      </c>
      <c r="B5" t="s">
        <v>83</v>
      </c>
      <c r="C5" t="s">
        <v>70</v>
      </c>
      <c r="D5" t="s">
        <v>70</v>
      </c>
      <c r="E5" t="s">
        <v>71</v>
      </c>
      <c r="G5" t="s">
        <v>48</v>
      </c>
      <c r="J5" t="s">
        <v>70</v>
      </c>
      <c r="K5" t="s">
        <v>70</v>
      </c>
      <c r="L5" t="s">
        <v>72</v>
      </c>
      <c r="M5" t="s">
        <v>70</v>
      </c>
      <c r="N5" t="s">
        <v>70</v>
      </c>
      <c r="P5" t="s">
        <v>70</v>
      </c>
      <c r="Q5" t="s">
        <v>70</v>
      </c>
    </row>
    <row r="6" spans="1:17" x14ac:dyDescent="0.3">
      <c r="A6" t="s">
        <v>21</v>
      </c>
      <c r="B6" t="s">
        <v>84</v>
      </c>
      <c r="D6" t="s">
        <v>49</v>
      </c>
      <c r="E6" t="s">
        <v>46</v>
      </c>
      <c r="F6" t="s">
        <v>85</v>
      </c>
      <c r="G6" t="s">
        <v>48</v>
      </c>
      <c r="J6" t="s">
        <v>49</v>
      </c>
      <c r="L6" t="s">
        <v>47</v>
      </c>
    </row>
    <row r="7" spans="1:17" x14ac:dyDescent="0.3">
      <c r="A7" t="s">
        <v>22</v>
      </c>
      <c r="B7" t="s">
        <v>82</v>
      </c>
      <c r="E7" t="s">
        <v>46</v>
      </c>
      <c r="L7" t="s">
        <v>47</v>
      </c>
    </row>
    <row r="8" spans="1:17" x14ac:dyDescent="0.3">
      <c r="A8" t="s">
        <v>23</v>
      </c>
      <c r="B8" t="s">
        <v>82</v>
      </c>
      <c r="E8" t="s">
        <v>46</v>
      </c>
      <c r="Q8" t="s">
        <v>52</v>
      </c>
    </row>
    <row r="9" spans="1:17" x14ac:dyDescent="0.3">
      <c r="A9" t="s">
        <v>24</v>
      </c>
      <c r="B9" t="s">
        <v>82</v>
      </c>
      <c r="E9" t="s">
        <v>46</v>
      </c>
      <c r="Q9" t="s">
        <v>52</v>
      </c>
    </row>
    <row r="10" spans="1:17" x14ac:dyDescent="0.3">
      <c r="A10" t="s">
        <v>25</v>
      </c>
      <c r="B10" t="s">
        <v>82</v>
      </c>
      <c r="H10" t="s">
        <v>54</v>
      </c>
      <c r="Q10" t="s">
        <v>52</v>
      </c>
    </row>
    <row r="11" spans="1:17" x14ac:dyDescent="0.3">
      <c r="A11" t="s">
        <v>26</v>
      </c>
      <c r="B11" t="s">
        <v>82</v>
      </c>
      <c r="H11" t="s">
        <v>54</v>
      </c>
      <c r="Q11" t="s">
        <v>52</v>
      </c>
    </row>
    <row r="12" spans="1:17" x14ac:dyDescent="0.3">
      <c r="A12" t="s">
        <v>27</v>
      </c>
      <c r="B12" t="s">
        <v>82</v>
      </c>
      <c r="G12" t="s">
        <v>75</v>
      </c>
      <c r="H12" t="s">
        <v>54</v>
      </c>
      <c r="Q12" t="s">
        <v>52</v>
      </c>
    </row>
    <row r="13" spans="1:17" x14ac:dyDescent="0.3">
      <c r="A13" t="s">
        <v>28</v>
      </c>
      <c r="B13" t="s">
        <v>82</v>
      </c>
      <c r="G13" t="s">
        <v>75</v>
      </c>
      <c r="H13" t="s">
        <v>54</v>
      </c>
      <c r="Q13" t="s">
        <v>58</v>
      </c>
    </row>
    <row r="14" spans="1:17" x14ac:dyDescent="0.3">
      <c r="A14" t="s">
        <v>29</v>
      </c>
      <c r="B14" t="s">
        <v>82</v>
      </c>
      <c r="G14" t="s">
        <v>75</v>
      </c>
      <c r="Q14" t="s">
        <v>58</v>
      </c>
    </row>
    <row r="15" spans="1:17" x14ac:dyDescent="0.3">
      <c r="A15" t="s">
        <v>30</v>
      </c>
      <c r="B15" t="s">
        <v>82</v>
      </c>
      <c r="G15" t="s">
        <v>75</v>
      </c>
      <c r="Q15" t="s">
        <v>58</v>
      </c>
    </row>
    <row r="16" spans="1:17" x14ac:dyDescent="0.3">
      <c r="A16" t="s">
        <v>31</v>
      </c>
      <c r="B16" t="s">
        <v>86</v>
      </c>
    </row>
    <row r="17" spans="1:18" x14ac:dyDescent="0.3">
      <c r="A17" t="s">
        <v>32</v>
      </c>
      <c r="B17" t="s">
        <v>82</v>
      </c>
    </row>
    <row r="18" spans="1:18" x14ac:dyDescent="0.3">
      <c r="A18" t="s">
        <v>33</v>
      </c>
      <c r="E18" t="s">
        <v>81</v>
      </c>
      <c r="G18" t="s">
        <v>68</v>
      </c>
      <c r="L18" t="s">
        <v>65</v>
      </c>
      <c r="Q18" t="s">
        <v>66</v>
      </c>
    </row>
    <row r="19" spans="1:18" x14ac:dyDescent="0.3">
      <c r="A19" t="s">
        <v>34</v>
      </c>
      <c r="E19" t="s">
        <v>81</v>
      </c>
      <c r="L19" t="s">
        <v>65</v>
      </c>
      <c r="Q19" t="s">
        <v>66</v>
      </c>
    </row>
    <row r="20" spans="1:18" x14ac:dyDescent="0.3">
      <c r="A20" t="s">
        <v>35</v>
      </c>
    </row>
    <row r="21" spans="1:18" x14ac:dyDescent="0.3">
      <c r="A21" t="s">
        <v>36</v>
      </c>
    </row>
    <row r="24" spans="1:18" x14ac:dyDescent="0.3">
      <c r="A24" t="s">
        <v>37</v>
      </c>
      <c r="B24">
        <f t="shared" ref="B24:Q24" si="0">ROUND(COUNTIF(B2:B19,"&lt;&gt;")/18,4)</f>
        <v>0.83330000000000004</v>
      </c>
      <c r="C24">
        <f t="shared" si="0"/>
        <v>0.1111</v>
      </c>
      <c r="D24">
        <f t="shared" si="0"/>
        <v>0.16669999999999999</v>
      </c>
      <c r="E24">
        <f t="shared" si="0"/>
        <v>0.5</v>
      </c>
      <c r="F24">
        <f t="shared" si="0"/>
        <v>0.1111</v>
      </c>
      <c r="G24">
        <f t="shared" si="0"/>
        <v>0.5</v>
      </c>
      <c r="H24">
        <f t="shared" si="0"/>
        <v>0.27779999999999999</v>
      </c>
      <c r="I24">
        <f t="shared" si="0"/>
        <v>5.5599999999999997E-2</v>
      </c>
      <c r="J24">
        <f t="shared" si="0"/>
        <v>0.16669999999999999</v>
      </c>
      <c r="K24">
        <f t="shared" si="0"/>
        <v>0.1111</v>
      </c>
      <c r="L24">
        <f t="shared" si="0"/>
        <v>0.38890000000000002</v>
      </c>
      <c r="M24">
        <f t="shared" si="0"/>
        <v>0.1111</v>
      </c>
      <c r="N24">
        <f t="shared" si="0"/>
        <v>0.1111</v>
      </c>
      <c r="O24">
        <f t="shared" si="0"/>
        <v>5.5599999999999997E-2</v>
      </c>
      <c r="P24">
        <f t="shared" si="0"/>
        <v>0.1111</v>
      </c>
      <c r="Q24">
        <f t="shared" si="0"/>
        <v>0.66669999999999996</v>
      </c>
    </row>
    <row r="27" spans="1:18" x14ac:dyDescent="0.3">
      <c r="A27" t="s">
        <v>38</v>
      </c>
      <c r="B27" t="s">
        <v>39</v>
      </c>
      <c r="C27" t="s">
        <v>2</v>
      </c>
      <c r="D27" t="s">
        <v>3</v>
      </c>
      <c r="E27" t="s">
        <v>4</v>
      </c>
      <c r="F27" t="s">
        <v>40</v>
      </c>
      <c r="G27" t="s">
        <v>6</v>
      </c>
      <c r="H27" t="s">
        <v>7</v>
      </c>
      <c r="I27" t="s">
        <v>8</v>
      </c>
      <c r="J27" t="s">
        <v>9</v>
      </c>
      <c r="K27" t="s">
        <v>10</v>
      </c>
      <c r="L27" t="s">
        <v>11</v>
      </c>
      <c r="M27" t="s">
        <v>41</v>
      </c>
      <c r="N27" t="s">
        <v>13</v>
      </c>
      <c r="O27" t="s">
        <v>14</v>
      </c>
      <c r="P27" t="s">
        <v>15</v>
      </c>
      <c r="Q27" t="s">
        <v>16</v>
      </c>
      <c r="R27" t="s">
        <v>42</v>
      </c>
    </row>
    <row r="28" spans="1:18" x14ac:dyDescent="0.3">
      <c r="B28" t="str">
        <f>HYPERLINK("https://app.clickup.com/t/8698kwuqq", "[slipstream - data warehouse solution - git (productization)] Design and Build Costing reports in Snowflake")</f>
        <v>[slipstream - data warehouse solution - git (productization)] Design and Build Costing reports in Snowflake</v>
      </c>
      <c r="C28" t="str">
        <f>HYPERLINK("https://app.clickup.com/t/86995td5m", "[slipstream - data warehouse solution - git (productization)] Build the data deployment pipelines for DEV to QA")</f>
        <v>[slipstream - data warehouse solution - git (productization)] Build the data deployment pipelines for DEV to QA</v>
      </c>
      <c r="D28" t="str">
        <f>HYPERLINK("https://app.clickup.com/t/86995td5m", "[slipstream - data warehouse solution - git (productization)] Build the data deployment pipelines for DEV to QA")</f>
        <v>[slipstream - data warehouse solution - git (productization)] Build the data deployment pipelines for DEV to QA</v>
      </c>
      <c r="F28" t="str">
        <f>HYPERLINK("https://app.clickup.com/t/869a2knmy", "[slipstream - data warehouse solution - git (productization)] Create views as exploitation layer out of data lake")</f>
        <v>[slipstream - data warehouse solution - git (productization)] Create views as exploitation layer out of data lake</v>
      </c>
      <c r="G28" t="str">
        <f>HYPERLINK("https://app.clickup.com/t/869474qb4", "[internal projects] Commit code to GitHub")</f>
        <v>[internal projects] Commit code to GitHub</v>
      </c>
      <c r="H28" t="str">
        <f>HYPERLINK("https://app.clickup.com/t/869474qb4", "[internal projects] Commit code to GitHub")</f>
        <v>[internal projects] Commit code to GitHub</v>
      </c>
      <c r="I28" t="str">
        <f>HYPERLINK("https://app.clickup.com/t/869atfeg3", "[freshdesk] 1375 FPM Look through results compared to Reg30 rounding differences")</f>
        <v>[freshdesk] 1375 FPM Look through results compared to Reg30 rounding differences</v>
      </c>
      <c r="J28" t="str">
        <f>HYPERLINK("https://app.clickup.com/t/869bd0zxj", "[freshdesk] 1430 Athena Connection Setup")</f>
        <v>[freshdesk] 1430 Athena Connection Setup</v>
      </c>
      <c r="K28" t="str">
        <f>HYPERLINK("https://app.clickup.com/t/8698jrq49", "[slipstream - data warehouse solution - git (productization)] Testing - data Audit processes")</f>
        <v>[slipstream - data warehouse solution - git (productization)] Testing - data Audit processes</v>
      </c>
      <c r="L28" t="str">
        <f>HYPERLINK("https://app.clickup.com/t/869a5344p", "[freshdesk] Documentation")</f>
        <v>[freshdesk] Documentation</v>
      </c>
      <c r="O28" t="str">
        <f>HYPERLINK("https://app.clickup.com/t/869474qb4", "[internal projects] Commit code to GitHub")</f>
        <v>[internal projects] Commit code to GitHub</v>
      </c>
      <c r="P28" t="str">
        <f>HYPERLINK("https://app.clickup.com/t/869bd6a0f", "[wonga: data warehouse development &amp; migration onto snowflake project] Dim_Funnel_Checks")</f>
        <v>[wonga: data warehouse development &amp; migration onto snowflake project] Dim_Funnel_Checks</v>
      </c>
      <c r="R28" t="str">
        <f>HYPERLINK("https://app.clickup.com/t/869bbt350", "[freshdesk] 1428 SSO Intergations for data connections within Alteryx")</f>
        <v>[freshdesk] 1428 SSO Intergations for data connections within Alteryx</v>
      </c>
    </row>
    <row r="29" spans="1:18" x14ac:dyDescent="0.3">
      <c r="B29" t="str">
        <f>HYPERLINK("https://app.clickup.com/t/8698jrq4e", "[slipstream - data warehouse solution - git (productization)] Support. Includes platform optimisation, query optimisation etc.")</f>
        <v>[slipstream - data warehouse solution - git (productization)] Support. Includes platform optimisation, query optimisation etc.</v>
      </c>
      <c r="C29" t="str">
        <f>HYPERLINK("https://app.clickup.com/t/8695qbamh", "[internal projects] Testing")</f>
        <v>[internal projects] Testing</v>
      </c>
      <c r="D29" t="str">
        <f>HYPERLINK("https://app.clickup.com/t/869474qb4", "[internal projects] Commit code to GitHub")</f>
        <v>[internal projects] Commit code to GitHub</v>
      </c>
      <c r="F29" t="str">
        <f>HYPERLINK("https://app.clickup.com/t/8698kwuqq", "[slipstream - data warehouse solution - git (productization)] Design and Build Costing reports in Snowflake")</f>
        <v>[slipstream - data warehouse solution - git (productization)] Design and Build Costing reports in Snowflake</v>
      </c>
      <c r="G29" t="str">
        <f>HYPERLINK("https://app.clickup.com/t/8696c93m9", "[discovery invest - dw maintenance] Change LAst_seed_Process = 2 for 7 tables")</f>
        <v>[discovery invest - dw maintenance] Change LAst_seed_Process = 2 for 7 tables</v>
      </c>
      <c r="H29" t="str">
        <f>HYPERLINK("https://app.clickup.com/t/862k4g368", "[internal projects] Integrate data to Tableau report")</f>
        <v>[internal projects] Integrate data to Tableau report</v>
      </c>
      <c r="I29" t="str">
        <f>HYPERLINK("https://app.clickup.com/t/869474qb4", "[internal projects] Commit code to GitHub")</f>
        <v>[internal projects] Commit code to GitHub</v>
      </c>
      <c r="J29" t="str">
        <f>HYPERLINK("https://app.clickup.com/t/8696q3a3m", "[internal projects] Team Skills")</f>
        <v>[internal projects] Team Skills</v>
      </c>
      <c r="K29" t="str">
        <f>HYPERLINK("https://app.clickup.com/t/8698jrq40", "[slipstream - data warehouse solution - git (productization)] Optimisation and Enhancemnets post testing")</f>
        <v>[slipstream - data warehouse solution - git (productization)] Optimisation and Enhancemnets post testing</v>
      </c>
      <c r="L29" t="str">
        <f>HYPERLINK("https://app.clickup.com/t/8698juq5h", "[slipstream - data warehouse solution - git (productization)] Build the PowerBI reports for monitoring data Lake progress")</f>
        <v>[slipstream - data warehouse solution - git (productization)] Build the PowerBI reports for monitoring data Lake progress</v>
      </c>
      <c r="O29" t="str">
        <f>HYPERLINK("https://app.clickup.com/t/869a9nmh7", "[om: fatca 2.0 design implementation project (jira tasks)] CDC-2626 Setup Non-prod and Prod space on Alteryx Servers")</f>
        <v>[om: fatca 2.0 design implementation project (jira tasks)] CDC-2626 Setup Non-prod and Prod space on Alteryx Servers</v>
      </c>
      <c r="R29" t="str">
        <f>HYPERLINK("https://app.clickup.com/t/869b88fev", "[freshdesk] 1421 OTIF Schedule date changes")</f>
        <v>[freshdesk] 1421 OTIF Schedule date changes</v>
      </c>
    </row>
    <row r="30" spans="1:18" x14ac:dyDescent="0.3">
      <c r="B30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  <c r="C30" t="str">
        <f>HYPERLINK("https://app.clickup.com/t/869474qb4", "[internal projects] Commit code to GitHub")</f>
        <v>[internal projects] Commit code to GitHub</v>
      </c>
      <c r="F30" t="str">
        <f>HYPERLINK("https://app.clickup.com/t/8698jrxaj", "[slipstream - data warehouse solution - git (productization)] Snowflake Setup and Configuration")</f>
        <v>[slipstream - data warehouse solution - git (productization)] Snowflake Setup and Configuration</v>
      </c>
      <c r="H30" t="str">
        <f>HYPERLINK("https://app.clickup.com/t/86931cq82", "[certification] Alteryx")</f>
        <v>[certification] Alteryx</v>
      </c>
      <c r="J30" t="str">
        <f>HYPERLINK("https://app.clickup.com/t/8696kqh8k", "[internal projects] Tableau server Microsoft Teams app set up")</f>
        <v>[internal projects] Tableau server Microsoft Teams app set up</v>
      </c>
      <c r="K30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  <c r="L30" t="str">
        <f>HYPERLINK("https://app.clickup.com/t/8698jupt0", "[slipstream - data warehouse solution - git (productization)] Build the PowerBI reports for monitoring data Stage progress")</f>
        <v>[slipstream - data warehouse solution - git (productization)] Build the PowerBI reports for monitoring data Stage progress</v>
      </c>
      <c r="O30" t="str">
        <f>HYPERLINK("https://app.clickup.com/t/869a6vnq6", "[om: fatca 2.0 design implementation project (jira tasks)] CDC-2757 Market Conduct: Provide time estimates for deliverables")</f>
        <v>[om: fatca 2.0 design implementation project (jira tasks)] CDC-2757 Market Conduct: Provide time estimates for deliverables</v>
      </c>
      <c r="R30" t="str">
        <f>HYPERLINK("https://app.clickup.com/t/8698jrq49", "[slipstream - data warehouse solution - git (productization)] Testing - data Audit processes")</f>
        <v>[slipstream - data warehouse solution - git (productization)] Testing - data Audit processes</v>
      </c>
    </row>
    <row r="31" spans="1:18" x14ac:dyDescent="0.3">
      <c r="B31" t="str">
        <f>HYPERLINK("https://app.clickup.com/t/869474qb4", "[internal projects] Commit code to GitHub")</f>
        <v>[internal projects] Commit code to GitHub</v>
      </c>
      <c r="C31" t="str">
        <f>HYPERLINK("https://app.clickup.com/t/862k18nwr", "[internal projects] SLA performance for each customer")</f>
        <v>[internal projects] SLA performance for each customer</v>
      </c>
      <c r="F31" t="str">
        <f>HYPERLINK("https://app.clickup.com/t/8698jrq40", "[slipstream - data warehouse solution - git (productization)] Optimisation and Enhancemnets post testing")</f>
        <v>[slipstream - data warehouse solution - git (productization)] Optimisation and Enhancemnets post testing</v>
      </c>
      <c r="J31" t="str">
        <f>HYPERLINK("https://app.clickup.com/t/869474qb4", "[internal projects] Commit code to GitHub")</f>
        <v>[internal projects] Commit code to GitHub</v>
      </c>
      <c r="K31" t="str">
        <f>HYPERLINK("https://app.clickup.com/t/869474qb4", "[internal projects] Commit code to GitHub")</f>
        <v>[internal projects] Commit code to GitHub</v>
      </c>
      <c r="L31" t="str">
        <f>HYPERLINK("https://app.clickup.com/t/8698jrq3g", "[slipstream - data warehouse solution - git (productization)] Orchestration")</f>
        <v>[slipstream - data warehouse solution - git (productization)] Orchestration</v>
      </c>
      <c r="O31" t="str">
        <f>HYPERLINK("https://app.clickup.com/t/869a1x6nk", "[om: fatca 2.0 design implementation project (jira tasks)] CDC-2062 Highlight where field values do not map to static reference tables in the raw schema")</f>
        <v>[om: fatca 2.0 design implementation project (jira tasks)] CDC-2062 Highlight where field values do not map to static reference tables in the raw schema</v>
      </c>
      <c r="R31" t="str">
        <f>HYPERLINK("https://app.clickup.com/t/8698jrq3g", "[slipstream - data warehouse solution - git (productization)] Orchestration")</f>
        <v>[slipstream - data warehouse solution - git (productization)] Orchestration</v>
      </c>
    </row>
    <row r="32" spans="1:18" x14ac:dyDescent="0.3">
      <c r="C32" t="str">
        <f>HYPERLINK("https://app.clickup.com/t/8694x2b1k", "[certification] Alteryx Designer Advanced")</f>
        <v>[certification] Alteryx Designer Advanced</v>
      </c>
      <c r="F32" t="str">
        <f>HYPERLINK("https://app.clickup.com/t/869474qb4", "[internal projects] Commit code to GitHub")</f>
        <v>[internal projects] Commit code to GitHub</v>
      </c>
      <c r="J32" t="str">
        <f>HYPERLINK("https://app.clickup.com/t/8698rmb2r", "[certification] AWS Certified Solutions Architect - Associate")</f>
        <v>[certification] AWS Certified Solutions Architect - Associate</v>
      </c>
      <c r="K32" t="str">
        <f>HYPERLINK("https://app.clickup.com/t/86971xvd4", "[discovery invest - dw maintenance] Run the file extracts")</f>
        <v>[discovery invest - dw maintenance] Run the file extracts</v>
      </c>
      <c r="O32" t="str">
        <f>HYPERLINK("https://app.clickup.com/t/869a1bu7g", "[om: fatca 2.0 design implementation project (jira tasks)] CDC-2563 Business Rule - Tax Free investments")</f>
        <v>[om: fatca 2.0 design implementation project (jira tasks)] CDC-2563 Business Rule - Tax Free investments</v>
      </c>
      <c r="R32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</row>
    <row r="33" spans="6:18" x14ac:dyDescent="0.3">
      <c r="F33" t="str">
        <f>HYPERLINK("https://app.clickup.com/t/86931cq56", "[certification] Snowflake")</f>
        <v>[certification] Snowflake</v>
      </c>
      <c r="K33" t="str">
        <f>HYPERLINK("https://app.clickup.com/t/86971xv4x", "[discovery invest - dw maintenance] Validating the marts")</f>
        <v>[discovery invest - dw maintenance] Validating the marts</v>
      </c>
      <c r="O33" t="str">
        <f>HYPERLINK("https://app.clickup.com/t/869a01gfm", "[om: fatca 2.0 design implementation project (jira tasks)] CDC-2509 Investigate subset where controlling person and entity has different entity_ids")</f>
        <v>[om: fatca 2.0 design implementation project (jira tasks)] CDC-2509 Investigate subset where controlling person and entity has different entity_ids</v>
      </c>
      <c r="R33" t="str">
        <f>HYPERLINK("https://app.clickup.com/t/869ag79ab", "[internal projects] Test Framework UAT doc")</f>
        <v>[internal projects] Test Framework UAT doc</v>
      </c>
    </row>
    <row r="34" spans="6:18" x14ac:dyDescent="0.3">
      <c r="K34" t="str">
        <f>HYPERLINK("https://app.clickup.com/t/86971xv04", "[discovery invest - dw maintenance] Run mart code")</f>
        <v>[discovery invest - dw maintenance] Run mart code</v>
      </c>
      <c r="O34" t="str">
        <f>HYPERLINK("https://app.clickup.com/t/8699yvvh7", "[om: fatca 2.0 design implementation project (jira tasks)] CDC-2560 SARS TPAH Template Update the rule to avoid referencing the database table")</f>
        <v>[om: fatca 2.0 design implementation project (jira tasks)] CDC-2560 SARS TPAH Template Update the rule to avoid referencing the database table</v>
      </c>
      <c r="R34" t="str">
        <f>HYPERLINK("https://app.clickup.com/t/869a70f9p", "[internal projects] Billed VS Invoiced VS SLA")</f>
        <v>[internal projects] Billed VS Invoiced VS SLA</v>
      </c>
    </row>
    <row r="35" spans="6:18" x14ac:dyDescent="0.3">
      <c r="K35" t="str">
        <f>HYPERLINK("https://app.clickup.com/t/86971xur8", "[discovery invest - dw maintenance] Run implied deletes code")</f>
        <v>[discovery invest - dw maintenance] Run implied deletes code</v>
      </c>
      <c r="O35" t="str">
        <f>HYPERLINK("https://app.clickup.com/t/8699yvveh", "[om: fatca 2.0 design implementation project (jira tasks)] CDC-2559 SARS TPAH Template Remove all spaces and special characters")</f>
        <v>[om: fatca 2.0 design implementation project (jira tasks)] CDC-2559 SARS TPAH Template Remove all spaces and special characters</v>
      </c>
      <c r="R35" t="str">
        <f>HYPERLINK("https://app.clickup.com/t/8697xudfa", "[internal projects] Income statement dashboard")</f>
        <v>[internal projects] Income statement dashboard</v>
      </c>
    </row>
    <row r="36" spans="6:18" x14ac:dyDescent="0.3">
      <c r="K36" t="str">
        <f>HYPERLINK("https://app.clickup.com/t/86971xtt3", "[discovery invest - dw maintenance] Validating the DWH")</f>
        <v>[discovery invest - dw maintenance] Validating the DWH</v>
      </c>
      <c r="R36" t="str">
        <f>HYPERLINK("https://app.clickup.com/t/8697t8mu2", "[internal projects] Sales Dashboard Additional requirements")</f>
        <v>[internal projects] Sales Dashboard Additional requirements</v>
      </c>
    </row>
    <row r="37" spans="6:18" x14ac:dyDescent="0.3">
      <c r="O37" t="str">
        <f>HYPERLINK("https://app.clickup.com/t/8699yvuqh", "[om: fatca 2.0 design implementation project (jira tasks)] CDC-2555 Entities former COB")</f>
        <v>[om: fatca 2.0 design implementation project (jira tasks)] CDC-2555 Entities former COB</v>
      </c>
      <c r="R37" t="str">
        <f>HYPERLINK("https://app.clickup.com/t/8697my8gd", "[internal projects] Financial and Sales Dashboard enhancement")</f>
        <v>[internal projects] Financial and Sales Dashboard enhancement</v>
      </c>
    </row>
    <row r="38" spans="6:18" x14ac:dyDescent="0.3">
      <c r="O38" t="str">
        <f>HYPERLINK("https://app.clickup.com/t/8699yvtjg", "[om: fatca 2.0 design implementation project (jira tasks)] CDC-2553 Flexcube SARS Templates - rename the RFI to source system code at scheme level")</f>
        <v>[om: fatca 2.0 design implementation project (jira tasks)] CDC-2553 Flexcube SARS Templates - rename the RFI to source system code at scheme level</v>
      </c>
      <c r="R38" t="str">
        <f>HYPERLINK("https://app.clickup.com/t/8696yar98", "[internal projects] Resource Utilization Dashboard Refinements")</f>
        <v>[internal projects] Resource Utilization Dashboard Refinements</v>
      </c>
    </row>
    <row r="39" spans="6:18" x14ac:dyDescent="0.3">
      <c r="O39" t="str">
        <f>HYPERLINK("https://app.clickup.com/t/8699yvruw", "[om: fatca 2.0 design implementation project (jira tasks)] CDC-2561 Diminmus rules to be applied at scheme level and not at OMUT level")</f>
        <v>[om: fatca 2.0 design implementation project (jira tasks)] CDC-2561 Diminmus rules to be applied at scheme level and not at OMUT level</v>
      </c>
      <c r="R39" t="str">
        <f>HYPERLINK("https://app.clickup.com/t/8696u6wyy", "[internal projects] Alteryx Server SLA Report process")</f>
        <v>[internal projects] Alteryx Server SLA Report process</v>
      </c>
    </row>
    <row r="40" spans="6:18" x14ac:dyDescent="0.3">
      <c r="O40" t="str">
        <f>HYPERLINK("https://app.clickup.com/t/8699yvra6", "[om: fatca 2.0 design implementation project (jira tasks)] CDC-2554 Entities COB")</f>
        <v>[om: fatca 2.0 design implementation project (jira tasks)] CDC-2554 Entities COB</v>
      </c>
      <c r="R40" t="str">
        <f>HYPERLINK("https://app.clickup.com/t/8695mj63r", "[internal projects] Shoprite B2B SLA Document")</f>
        <v>[internal projects] Shoprite B2B SLA Document</v>
      </c>
    </row>
    <row r="41" spans="6:18" x14ac:dyDescent="0.3">
      <c r="R41" t="str">
        <f>HYPERLINK("https://app.clickup.com/t/869474qb4", "[internal projects] Commit code to GitHub")</f>
        <v>[internal projects] Commit code to GitHub</v>
      </c>
    </row>
    <row r="42" spans="6:18" x14ac:dyDescent="0.3">
      <c r="R42" t="str">
        <f>HYPERLINK("https://app.clickup.com/t/869agp147", "[certification] Snowflake Sales Professional")</f>
        <v>[certification] Snowflake Sales Professional</v>
      </c>
    </row>
    <row r="43" spans="6:18" x14ac:dyDescent="0.3">
      <c r="R43" t="str">
        <f>HYPERLINK("https://app.clickup.com/t/869agp0uz", "[certification] Snowflake Technical Sales Professional")</f>
        <v>[certification] Snowflake Technical Sales Professional</v>
      </c>
    </row>
    <row r="44" spans="6:18" x14ac:dyDescent="0.3">
      <c r="R44" t="str">
        <f>HYPERLINK("https://app.clickup.com/t/869af829t", "[certification] Salesforce Certified Agentforce Specialist")</f>
        <v>[certification] Salesforce Certified Agentforce Specialist</v>
      </c>
    </row>
    <row r="45" spans="6:18" x14ac:dyDescent="0.3">
      <c r="R45" t="str">
        <f>HYPERLINK("https://app.clickup.com/t/869ab9g7u", "[certification] AWS Data Engineer - Associate")</f>
        <v>[certification] AWS Data Engineer - Associate</v>
      </c>
    </row>
    <row r="46" spans="6:18" x14ac:dyDescent="0.3">
      <c r="R46" t="str">
        <f>HYPERLINK("https://app.clickup.com/t/869b6v0gh", "[om: fatca 2.0 design implementation project (jira tasks)] CDC-2562 Develop a Foreigners List dashboard")</f>
        <v>[om: fatca 2.0 design implementation project (jira tasks)] CDC-2562 Develop a Foreigners List dashboard</v>
      </c>
    </row>
    <row r="47" spans="6:18" x14ac:dyDescent="0.3">
      <c r="R47" t="str">
        <f>HYPERLINK("https://app.clickup.com/t/869ax6j44", "[om: fatca 2.0 design implementation project (jira tasks)] Titanium Reports")</f>
        <v>[om: fatca 2.0 design implementation project (jira tasks)] Titanium Reports</v>
      </c>
    </row>
    <row r="48" spans="6:18" x14ac:dyDescent="0.3">
      <c r="R48" t="str">
        <f>HYPERLINK("https://app.clickup.com/t/869ax6j0z", "[om: fatca 2.0 design implementation project (jira tasks)] CDC-3034-aws-s3-bucket-investigation")</f>
        <v>[om: fatca 2.0 design implementation project (jira tasks)] CDC-3034-aws-s3-bucket-investigation</v>
      </c>
    </row>
    <row r="49" spans="18:18" x14ac:dyDescent="0.3">
      <c r="R49" t="str">
        <f>HYPERLINK("https://app.clickup.com/t/869avjm5f", "[om: fatca 2.0 design implementation project (jira tasks)] CBR Quarterly Run")</f>
        <v>[om: fatca 2.0 design implementation project (jira tasks)] CBR Quarterly Run</v>
      </c>
    </row>
    <row r="50" spans="18:18" x14ac:dyDescent="0.3">
      <c r="R50" t="str">
        <f>HYPERLINK("https://app.clickup.com/t/869auvvmp", "[om: fatca 2.0 design implementation project (jira tasks)] Advisor Recon Report Manual Run")</f>
        <v>[om: fatca 2.0 design implementation project (jira tasks)] Advisor Recon Report Manual Run</v>
      </c>
    </row>
    <row r="51" spans="18:18" x14ac:dyDescent="0.3">
      <c r="R51" t="str">
        <f>HYPERLINK("https://app.clickup.com/t/869arkz3a", "[om: fatca 2.0 design implementation project (jira tasks)] CDC-2914 Create Test Cases Cura Reg Change (Framework) Dashboard")</f>
        <v>[om: fatca 2.0 design implementation project (jira tasks)] CDC-2914 Create Test Cases Cura Reg Change (Framework) Dashboard</v>
      </c>
    </row>
    <row r="52" spans="18:18" x14ac:dyDescent="0.3">
      <c r="R52" t="str">
        <f>HYPERLINK("https://app.clickup.com/t/869am7mt7", "[om: fatca 2.0 design implementation project (jira tasks)] CDC-2913 Cura Reg Change Dashboard Modifications")</f>
        <v>[om: fatca 2.0 design implementation project (jira tasks)] CDC-2913 Cura Reg Change Dashboard Modifications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52"/>
  <sheetViews>
    <sheetView workbookViewId="0"/>
  </sheetViews>
  <sheetFormatPr defaultRowHeight="14.4" x14ac:dyDescent="0.3"/>
  <cols>
    <col min="1" max="1" width="20" customWidth="1"/>
    <col min="2" max="18" width="50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</row>
    <row r="3" spans="1:17" x14ac:dyDescent="0.3">
      <c r="A3" t="s">
        <v>18</v>
      </c>
      <c r="B3" t="s">
        <v>44</v>
      </c>
      <c r="C3" t="s">
        <v>44</v>
      </c>
      <c r="D3" t="s">
        <v>44</v>
      </c>
      <c r="E3" t="s">
        <v>44</v>
      </c>
      <c r="F3" t="s">
        <v>44</v>
      </c>
      <c r="G3" t="s">
        <v>44</v>
      </c>
      <c r="H3" t="s">
        <v>44</v>
      </c>
      <c r="I3" t="s">
        <v>44</v>
      </c>
      <c r="J3" t="s">
        <v>44</v>
      </c>
      <c r="K3" t="s">
        <v>44</v>
      </c>
      <c r="L3" t="s">
        <v>44</v>
      </c>
      <c r="M3" t="s">
        <v>44</v>
      </c>
      <c r="N3" t="s">
        <v>44</v>
      </c>
      <c r="O3" t="s">
        <v>44</v>
      </c>
      <c r="P3" t="s">
        <v>44</v>
      </c>
      <c r="Q3" t="s">
        <v>44</v>
      </c>
    </row>
    <row r="4" spans="1:17" x14ac:dyDescent="0.3">
      <c r="A4" t="s">
        <v>19</v>
      </c>
      <c r="E4" t="s">
        <v>46</v>
      </c>
      <c r="G4" t="s">
        <v>68</v>
      </c>
      <c r="L4" t="s">
        <v>47</v>
      </c>
    </row>
    <row r="5" spans="1:17" x14ac:dyDescent="0.3">
      <c r="A5" t="s">
        <v>20</v>
      </c>
      <c r="B5" t="s">
        <v>87</v>
      </c>
      <c r="D5" t="s">
        <v>87</v>
      </c>
      <c r="E5" t="s">
        <v>88</v>
      </c>
      <c r="F5" t="s">
        <v>87</v>
      </c>
      <c r="G5" t="s">
        <v>48</v>
      </c>
      <c r="I5" t="s">
        <v>87</v>
      </c>
      <c r="J5" t="s">
        <v>87</v>
      </c>
      <c r="L5" t="s">
        <v>47</v>
      </c>
      <c r="O5" t="s">
        <v>87</v>
      </c>
    </row>
    <row r="6" spans="1:17" x14ac:dyDescent="0.3">
      <c r="A6" t="s">
        <v>21</v>
      </c>
      <c r="B6" t="s">
        <v>89</v>
      </c>
      <c r="D6" t="s">
        <v>49</v>
      </c>
      <c r="E6" t="s">
        <v>46</v>
      </c>
      <c r="G6" t="s">
        <v>48</v>
      </c>
      <c r="J6" t="s">
        <v>49</v>
      </c>
      <c r="L6" t="s">
        <v>47</v>
      </c>
    </row>
    <row r="7" spans="1:17" x14ac:dyDescent="0.3">
      <c r="A7" t="s">
        <v>22</v>
      </c>
      <c r="E7" t="s">
        <v>46</v>
      </c>
      <c r="L7" t="s">
        <v>47</v>
      </c>
    </row>
    <row r="8" spans="1:17" x14ac:dyDescent="0.3">
      <c r="A8" t="s">
        <v>23</v>
      </c>
      <c r="Q8" t="s">
        <v>52</v>
      </c>
    </row>
    <row r="9" spans="1:17" x14ac:dyDescent="0.3">
      <c r="A9" t="s">
        <v>24</v>
      </c>
      <c r="Q9" t="s">
        <v>52</v>
      </c>
    </row>
    <row r="10" spans="1:17" x14ac:dyDescent="0.3">
      <c r="A10" t="s">
        <v>25</v>
      </c>
      <c r="B10" t="s">
        <v>90</v>
      </c>
      <c r="G10" t="s">
        <v>91</v>
      </c>
      <c r="H10" t="s">
        <v>54</v>
      </c>
      <c r="K10" t="s">
        <v>90</v>
      </c>
      <c r="N10" t="s">
        <v>90</v>
      </c>
      <c r="Q10" t="s">
        <v>52</v>
      </c>
    </row>
    <row r="11" spans="1:17" x14ac:dyDescent="0.3">
      <c r="A11" t="s">
        <v>26</v>
      </c>
      <c r="H11" t="s">
        <v>54</v>
      </c>
      <c r="Q11" t="s">
        <v>52</v>
      </c>
    </row>
    <row r="12" spans="1:17" x14ac:dyDescent="0.3">
      <c r="A12" t="s">
        <v>27</v>
      </c>
      <c r="H12" t="s">
        <v>54</v>
      </c>
      <c r="Q12" t="s">
        <v>52</v>
      </c>
    </row>
    <row r="13" spans="1:17" x14ac:dyDescent="0.3">
      <c r="A13" t="s">
        <v>28</v>
      </c>
      <c r="H13" t="s">
        <v>54</v>
      </c>
      <c r="Q13" t="s">
        <v>58</v>
      </c>
    </row>
    <row r="14" spans="1:17" x14ac:dyDescent="0.3">
      <c r="A14" t="s">
        <v>29</v>
      </c>
      <c r="B14" t="s">
        <v>92</v>
      </c>
      <c r="C14" t="s">
        <v>92</v>
      </c>
      <c r="D14" t="s">
        <v>92</v>
      </c>
      <c r="E14" t="s">
        <v>92</v>
      </c>
      <c r="F14" t="s">
        <v>92</v>
      </c>
      <c r="K14" t="s">
        <v>92</v>
      </c>
      <c r="L14" t="s">
        <v>92</v>
      </c>
      <c r="M14" t="s">
        <v>92</v>
      </c>
      <c r="N14" t="s">
        <v>92</v>
      </c>
      <c r="P14" t="s">
        <v>92</v>
      </c>
      <c r="Q14" t="s">
        <v>93</v>
      </c>
    </row>
    <row r="15" spans="1:17" x14ac:dyDescent="0.3">
      <c r="A15" t="s">
        <v>30</v>
      </c>
      <c r="B15" t="s">
        <v>92</v>
      </c>
      <c r="C15" t="s">
        <v>92</v>
      </c>
      <c r="D15" t="s">
        <v>92</v>
      </c>
      <c r="E15" t="s">
        <v>92</v>
      </c>
      <c r="F15" t="s">
        <v>92</v>
      </c>
      <c r="K15" t="s">
        <v>92</v>
      </c>
      <c r="L15" t="s">
        <v>92</v>
      </c>
      <c r="M15" t="s">
        <v>92</v>
      </c>
      <c r="N15" t="s">
        <v>92</v>
      </c>
      <c r="P15" t="s">
        <v>92</v>
      </c>
      <c r="Q15" t="s">
        <v>93</v>
      </c>
    </row>
    <row r="16" spans="1:17" x14ac:dyDescent="0.3">
      <c r="A16" t="s">
        <v>31</v>
      </c>
    </row>
    <row r="17" spans="1:18" x14ac:dyDescent="0.3">
      <c r="A17" t="s">
        <v>32</v>
      </c>
    </row>
    <row r="18" spans="1:18" x14ac:dyDescent="0.3">
      <c r="A18" t="s">
        <v>33</v>
      </c>
      <c r="E18" t="s">
        <v>81</v>
      </c>
      <c r="G18" t="s">
        <v>68</v>
      </c>
      <c r="L18" t="s">
        <v>65</v>
      </c>
      <c r="Q18" t="s">
        <v>66</v>
      </c>
    </row>
    <row r="19" spans="1:18" x14ac:dyDescent="0.3">
      <c r="A19" t="s">
        <v>34</v>
      </c>
      <c r="E19" t="s">
        <v>81</v>
      </c>
      <c r="L19" t="s">
        <v>65</v>
      </c>
      <c r="Q19" t="s">
        <v>66</v>
      </c>
    </row>
    <row r="20" spans="1:18" x14ac:dyDescent="0.3">
      <c r="A20" t="s">
        <v>35</v>
      </c>
    </row>
    <row r="21" spans="1:18" x14ac:dyDescent="0.3">
      <c r="A21" t="s">
        <v>36</v>
      </c>
    </row>
    <row r="24" spans="1:18" x14ac:dyDescent="0.3">
      <c r="A24" t="s">
        <v>37</v>
      </c>
      <c r="B24">
        <f t="shared" ref="B24:Q24" si="0">ROUND(COUNTIF(B2:B19,"&lt;&gt;")/18,4)</f>
        <v>0.33329999999999999</v>
      </c>
      <c r="C24">
        <f t="shared" si="0"/>
        <v>0.16669999999999999</v>
      </c>
      <c r="D24">
        <f t="shared" si="0"/>
        <v>0.27779999999999999</v>
      </c>
      <c r="E24">
        <f t="shared" si="0"/>
        <v>0.5</v>
      </c>
      <c r="F24">
        <f t="shared" si="0"/>
        <v>0.22220000000000001</v>
      </c>
      <c r="G24">
        <f t="shared" si="0"/>
        <v>0.33329999999999999</v>
      </c>
      <c r="H24">
        <f t="shared" si="0"/>
        <v>0.27779999999999999</v>
      </c>
      <c r="I24">
        <f t="shared" si="0"/>
        <v>0.1111</v>
      </c>
      <c r="J24">
        <f t="shared" si="0"/>
        <v>0.16669999999999999</v>
      </c>
      <c r="K24">
        <f t="shared" si="0"/>
        <v>0.22220000000000001</v>
      </c>
      <c r="L24">
        <f t="shared" si="0"/>
        <v>0.5</v>
      </c>
      <c r="M24">
        <f t="shared" si="0"/>
        <v>0.16669999999999999</v>
      </c>
      <c r="N24">
        <f t="shared" si="0"/>
        <v>0.22220000000000001</v>
      </c>
      <c r="O24">
        <f t="shared" si="0"/>
        <v>0.1111</v>
      </c>
      <c r="P24">
        <f t="shared" si="0"/>
        <v>0.16669999999999999</v>
      </c>
      <c r="Q24">
        <f t="shared" si="0"/>
        <v>0.61109999999999998</v>
      </c>
    </row>
    <row r="27" spans="1:18" x14ac:dyDescent="0.3">
      <c r="A27" t="s">
        <v>38</v>
      </c>
      <c r="B27" t="s">
        <v>39</v>
      </c>
      <c r="C27" t="s">
        <v>2</v>
      </c>
      <c r="D27" t="s">
        <v>3</v>
      </c>
      <c r="E27" t="s">
        <v>4</v>
      </c>
      <c r="F27" t="s">
        <v>40</v>
      </c>
      <c r="G27" t="s">
        <v>6</v>
      </c>
      <c r="H27" t="s">
        <v>7</v>
      </c>
      <c r="I27" t="s">
        <v>8</v>
      </c>
      <c r="J27" t="s">
        <v>9</v>
      </c>
      <c r="K27" t="s">
        <v>10</v>
      </c>
      <c r="L27" t="s">
        <v>11</v>
      </c>
      <c r="M27" t="s">
        <v>41</v>
      </c>
      <c r="N27" t="s">
        <v>13</v>
      </c>
      <c r="O27" t="s">
        <v>14</v>
      </c>
      <c r="P27" t="s">
        <v>15</v>
      </c>
      <c r="Q27" t="s">
        <v>16</v>
      </c>
      <c r="R27" t="s">
        <v>42</v>
      </c>
    </row>
    <row r="28" spans="1:18" x14ac:dyDescent="0.3">
      <c r="B28" t="str">
        <f>HYPERLINK("https://app.clickup.com/t/8698kwuqq", "[slipstream - data warehouse solution - git (productization)] Design and Build Costing reports in Snowflake")</f>
        <v>[slipstream - data warehouse solution - git (productization)] Design and Build Costing reports in Snowflake</v>
      </c>
      <c r="C28" t="str">
        <f>HYPERLINK("https://app.clickup.com/t/86995td5m", "[slipstream - data warehouse solution - git (productization)] Build the data deployment pipelines for DEV to QA")</f>
        <v>[slipstream - data warehouse solution - git (productization)] Build the data deployment pipelines for DEV to QA</v>
      </c>
      <c r="D28" t="str">
        <f>HYPERLINK("https://app.clickup.com/t/86995td5m", "[slipstream - data warehouse solution - git (productization)] Build the data deployment pipelines for DEV to QA")</f>
        <v>[slipstream - data warehouse solution - git (productization)] Build the data deployment pipelines for DEV to QA</v>
      </c>
      <c r="F28" t="str">
        <f>HYPERLINK("https://app.clickup.com/t/869a2knmy", "[slipstream - data warehouse solution - git (productization)] Create views as exploitation layer out of data lake")</f>
        <v>[slipstream - data warehouse solution - git (productization)] Create views as exploitation layer out of data lake</v>
      </c>
      <c r="G28" t="str">
        <f>HYPERLINK("https://app.clickup.com/t/869474qb4", "[internal projects] Commit code to GitHub")</f>
        <v>[internal projects] Commit code to GitHub</v>
      </c>
      <c r="H28" t="str">
        <f>HYPERLINK("https://app.clickup.com/t/869474qb4", "[internal projects] Commit code to GitHub")</f>
        <v>[internal projects] Commit code to GitHub</v>
      </c>
      <c r="I28" t="str">
        <f>HYPERLINK("https://app.clickup.com/t/869atfeg3", "[freshdesk] 1375 FPM Look through results compared to Reg30 rounding differences")</f>
        <v>[freshdesk] 1375 FPM Look through results compared to Reg30 rounding differences</v>
      </c>
      <c r="J28" t="str">
        <f>HYPERLINK("https://app.clickup.com/t/869bd0zxj", "[freshdesk] 1430 Athena Connection Setup")</f>
        <v>[freshdesk] 1430 Athena Connection Setup</v>
      </c>
      <c r="K28" t="str">
        <f>HYPERLINK("https://app.clickup.com/t/8698jrq49", "[slipstream - data warehouse solution - git (productization)] Testing - data Audit processes")</f>
        <v>[slipstream - data warehouse solution - git (productization)] Testing - data Audit processes</v>
      </c>
      <c r="L28" t="str">
        <f>HYPERLINK("https://app.clickup.com/t/869a5344p", "[freshdesk] Documentation")</f>
        <v>[freshdesk] Documentation</v>
      </c>
      <c r="O28" t="str">
        <f>HYPERLINK("https://app.clickup.com/t/869474qb4", "[internal projects] Commit code to GitHub")</f>
        <v>[internal projects] Commit code to GitHub</v>
      </c>
      <c r="P28" t="str">
        <f>HYPERLINK("https://app.clickup.com/t/869bd6a0f", "[wonga: data warehouse development &amp; migration onto snowflake project] Dim_Funnel_Checks")</f>
        <v>[wonga: data warehouse development &amp; migration onto snowflake project] Dim_Funnel_Checks</v>
      </c>
      <c r="R28" t="str">
        <f>HYPERLINK("https://app.clickup.com/t/869bbt350", "[freshdesk] 1428 SSO Intergations for data connections within Alteryx")</f>
        <v>[freshdesk] 1428 SSO Intergations for data connections within Alteryx</v>
      </c>
    </row>
    <row r="29" spans="1:18" x14ac:dyDescent="0.3">
      <c r="B29" t="str">
        <f>HYPERLINK("https://app.clickup.com/t/8698jrq4e", "[slipstream - data warehouse solution - git (productization)] Support. Includes platform optimisation, query optimisation etc.")</f>
        <v>[slipstream - data warehouse solution - git (productization)] Support. Includes platform optimisation, query optimisation etc.</v>
      </c>
      <c r="C29" t="str">
        <f>HYPERLINK("https://app.clickup.com/t/8695qbamh", "[internal projects] Testing")</f>
        <v>[internal projects] Testing</v>
      </c>
      <c r="D29" t="str">
        <f>HYPERLINK("https://app.clickup.com/t/869474qb4", "[internal projects] Commit code to GitHub")</f>
        <v>[internal projects] Commit code to GitHub</v>
      </c>
      <c r="F29" t="str">
        <f>HYPERLINK("https://app.clickup.com/t/8698kwuqq", "[slipstream - data warehouse solution - git (productization)] Design and Build Costing reports in Snowflake")</f>
        <v>[slipstream - data warehouse solution - git (productization)] Design and Build Costing reports in Snowflake</v>
      </c>
      <c r="G29" t="str">
        <f>HYPERLINK("https://app.clickup.com/t/8696c93m9", "[discovery invest - dw maintenance] Change LAst_seed_Process = 2 for 7 tables")</f>
        <v>[discovery invest - dw maintenance] Change LAst_seed_Process = 2 for 7 tables</v>
      </c>
      <c r="H29" t="str">
        <f>HYPERLINK("https://app.clickup.com/t/862k4g368", "[internal projects] Integrate data to Tableau report")</f>
        <v>[internal projects] Integrate data to Tableau report</v>
      </c>
      <c r="I29" t="str">
        <f>HYPERLINK("https://app.clickup.com/t/869474qb4", "[internal projects] Commit code to GitHub")</f>
        <v>[internal projects] Commit code to GitHub</v>
      </c>
      <c r="J29" t="str">
        <f>HYPERLINK("https://app.clickup.com/t/8696q3a3m", "[internal projects] Team Skills")</f>
        <v>[internal projects] Team Skills</v>
      </c>
      <c r="K29" t="str">
        <f>HYPERLINK("https://app.clickup.com/t/8698jrq40", "[slipstream - data warehouse solution - git (productization)] Optimisation and Enhancemnets post testing")</f>
        <v>[slipstream - data warehouse solution - git (productization)] Optimisation and Enhancemnets post testing</v>
      </c>
      <c r="L29" t="str">
        <f>HYPERLINK("https://app.clickup.com/t/8698juq5h", "[slipstream - data warehouse solution - git (productization)] Build the PowerBI reports for monitoring data Lake progress")</f>
        <v>[slipstream - data warehouse solution - git (productization)] Build the PowerBI reports for monitoring data Lake progress</v>
      </c>
      <c r="O29" t="str">
        <f>HYPERLINK("https://app.clickup.com/t/869a9nmh7", "[om: fatca 2.0 design implementation project (jira tasks)] CDC-2626 Setup Non-prod and Prod space on Alteryx Servers")</f>
        <v>[om: fatca 2.0 design implementation project (jira tasks)] CDC-2626 Setup Non-prod and Prod space on Alteryx Servers</v>
      </c>
      <c r="R29" t="str">
        <f>HYPERLINK("https://app.clickup.com/t/869b88fev", "[freshdesk] 1421 OTIF Schedule date changes")</f>
        <v>[freshdesk] 1421 OTIF Schedule date changes</v>
      </c>
    </row>
    <row r="30" spans="1:18" x14ac:dyDescent="0.3">
      <c r="B30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  <c r="C30" t="str">
        <f>HYPERLINK("https://app.clickup.com/t/869474qb4", "[internal projects] Commit code to GitHub")</f>
        <v>[internal projects] Commit code to GitHub</v>
      </c>
      <c r="F30" t="str">
        <f>HYPERLINK("https://app.clickup.com/t/8698jrxaj", "[slipstream - data warehouse solution - git (productization)] Snowflake Setup and Configuration")</f>
        <v>[slipstream - data warehouse solution - git (productization)] Snowflake Setup and Configuration</v>
      </c>
      <c r="H30" t="str">
        <f>HYPERLINK("https://app.clickup.com/t/86931cq82", "[certification] Alteryx")</f>
        <v>[certification] Alteryx</v>
      </c>
      <c r="J30" t="str">
        <f>HYPERLINK("https://app.clickup.com/t/8696kqh8k", "[internal projects] Tableau server Microsoft Teams app set up")</f>
        <v>[internal projects] Tableau server Microsoft Teams app set up</v>
      </c>
      <c r="K30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  <c r="L30" t="str">
        <f>HYPERLINK("https://app.clickup.com/t/8698jupt0", "[slipstream - data warehouse solution - git (productization)] Build the PowerBI reports for monitoring data Stage progress")</f>
        <v>[slipstream - data warehouse solution - git (productization)] Build the PowerBI reports for monitoring data Stage progress</v>
      </c>
      <c r="O30" t="str">
        <f>HYPERLINK("https://app.clickup.com/t/869a6vnq6", "[om: fatca 2.0 design implementation project (jira tasks)] CDC-2757 Market Conduct: Provide time estimates for deliverables")</f>
        <v>[om: fatca 2.0 design implementation project (jira tasks)] CDC-2757 Market Conduct: Provide time estimates for deliverables</v>
      </c>
      <c r="R30" t="str">
        <f>HYPERLINK("https://app.clickup.com/t/8698jrq49", "[slipstream - data warehouse solution - git (productization)] Testing - data Audit processes")</f>
        <v>[slipstream - data warehouse solution - git (productization)] Testing - data Audit processes</v>
      </c>
    </row>
    <row r="31" spans="1:18" x14ac:dyDescent="0.3">
      <c r="B31" t="str">
        <f>HYPERLINK("https://app.clickup.com/t/869474qb4", "[internal projects] Commit code to GitHub")</f>
        <v>[internal projects] Commit code to GitHub</v>
      </c>
      <c r="C31" t="str">
        <f>HYPERLINK("https://app.clickup.com/t/862k18nwr", "[internal projects] SLA performance for each customer")</f>
        <v>[internal projects] SLA performance for each customer</v>
      </c>
      <c r="F31" t="str">
        <f>HYPERLINK("https://app.clickup.com/t/8698jrq40", "[slipstream - data warehouse solution - git (productization)] Optimisation and Enhancemnets post testing")</f>
        <v>[slipstream - data warehouse solution - git (productization)] Optimisation and Enhancemnets post testing</v>
      </c>
      <c r="J31" t="str">
        <f>HYPERLINK("https://app.clickup.com/t/869474qb4", "[internal projects] Commit code to GitHub")</f>
        <v>[internal projects] Commit code to GitHub</v>
      </c>
      <c r="K31" t="str">
        <f>HYPERLINK("https://app.clickup.com/t/869474qb4", "[internal projects] Commit code to GitHub")</f>
        <v>[internal projects] Commit code to GitHub</v>
      </c>
      <c r="L31" t="str">
        <f>HYPERLINK("https://app.clickup.com/t/8698jrq3g", "[slipstream - data warehouse solution - git (productization)] Orchestration")</f>
        <v>[slipstream - data warehouse solution - git (productization)] Orchestration</v>
      </c>
      <c r="O31" t="str">
        <f>HYPERLINK("https://app.clickup.com/t/869a1x6nk", "[om: fatca 2.0 design implementation project (jira tasks)] CDC-2062 Highlight where field values do not map to static reference tables in the raw schema")</f>
        <v>[om: fatca 2.0 design implementation project (jira tasks)] CDC-2062 Highlight where field values do not map to static reference tables in the raw schema</v>
      </c>
      <c r="R31" t="str">
        <f>HYPERLINK("https://app.clickup.com/t/8698jrq3g", "[slipstream - data warehouse solution - git (productization)] Orchestration")</f>
        <v>[slipstream - data warehouse solution - git (productization)] Orchestration</v>
      </c>
    </row>
    <row r="32" spans="1:18" x14ac:dyDescent="0.3">
      <c r="C32" t="str">
        <f>HYPERLINK("https://app.clickup.com/t/8694x2b1k", "[certification] Alteryx Designer Advanced")</f>
        <v>[certification] Alteryx Designer Advanced</v>
      </c>
      <c r="F32" t="str">
        <f>HYPERLINK("https://app.clickup.com/t/869474qb4", "[internal projects] Commit code to GitHub")</f>
        <v>[internal projects] Commit code to GitHub</v>
      </c>
      <c r="J32" t="str">
        <f>HYPERLINK("https://app.clickup.com/t/8698rmb2r", "[certification] AWS Certified Solutions Architect - Associate")</f>
        <v>[certification] AWS Certified Solutions Architect - Associate</v>
      </c>
      <c r="K32" t="str">
        <f>HYPERLINK("https://app.clickup.com/t/86971xvd4", "[discovery invest - dw maintenance] Run the file extracts")</f>
        <v>[discovery invest - dw maintenance] Run the file extracts</v>
      </c>
      <c r="O32" t="str">
        <f>HYPERLINK("https://app.clickup.com/t/869a1bu7g", "[om: fatca 2.0 design implementation project (jira tasks)] CDC-2563 Business Rule - Tax Free investments")</f>
        <v>[om: fatca 2.0 design implementation project (jira tasks)] CDC-2563 Business Rule - Tax Free investments</v>
      </c>
      <c r="R32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</row>
    <row r="33" spans="6:18" x14ac:dyDescent="0.3">
      <c r="F33" t="str">
        <f>HYPERLINK("https://app.clickup.com/t/86931cq56", "[certification] Snowflake")</f>
        <v>[certification] Snowflake</v>
      </c>
      <c r="K33" t="str">
        <f>HYPERLINK("https://app.clickup.com/t/86971xv4x", "[discovery invest - dw maintenance] Validating the marts")</f>
        <v>[discovery invest - dw maintenance] Validating the marts</v>
      </c>
      <c r="O33" t="str">
        <f>HYPERLINK("https://app.clickup.com/t/869a01gfm", "[om: fatca 2.0 design implementation project (jira tasks)] CDC-2509 Investigate subset where controlling person and entity has different entity_ids")</f>
        <v>[om: fatca 2.0 design implementation project (jira tasks)] CDC-2509 Investigate subset where controlling person and entity has different entity_ids</v>
      </c>
      <c r="R33" t="str">
        <f>HYPERLINK("https://app.clickup.com/t/869ag79ab", "[internal projects] Test Framework UAT doc")</f>
        <v>[internal projects] Test Framework UAT doc</v>
      </c>
    </row>
    <row r="34" spans="6:18" x14ac:dyDescent="0.3">
      <c r="K34" t="str">
        <f>HYPERLINK("https://app.clickup.com/t/86971xv04", "[discovery invest - dw maintenance] Run mart code")</f>
        <v>[discovery invest - dw maintenance] Run mart code</v>
      </c>
      <c r="O34" t="str">
        <f>HYPERLINK("https://app.clickup.com/t/8699yvvh7", "[om: fatca 2.0 design implementation project (jira tasks)] CDC-2560 SARS TPAH Template Update the rule to avoid referencing the database table")</f>
        <v>[om: fatca 2.0 design implementation project (jira tasks)] CDC-2560 SARS TPAH Template Update the rule to avoid referencing the database table</v>
      </c>
      <c r="R34" t="str">
        <f>HYPERLINK("https://app.clickup.com/t/869a70f9p", "[internal projects] Billed VS Invoiced VS SLA")</f>
        <v>[internal projects] Billed VS Invoiced VS SLA</v>
      </c>
    </row>
    <row r="35" spans="6:18" x14ac:dyDescent="0.3">
      <c r="K35" t="str">
        <f>HYPERLINK("https://app.clickup.com/t/86971xur8", "[discovery invest - dw maintenance] Run implied deletes code")</f>
        <v>[discovery invest - dw maintenance] Run implied deletes code</v>
      </c>
      <c r="O35" t="str">
        <f>HYPERLINK("https://app.clickup.com/t/8699yvveh", "[om: fatca 2.0 design implementation project (jira tasks)] CDC-2559 SARS TPAH Template Remove all spaces and special characters")</f>
        <v>[om: fatca 2.0 design implementation project (jira tasks)] CDC-2559 SARS TPAH Template Remove all spaces and special characters</v>
      </c>
      <c r="R35" t="str">
        <f>HYPERLINK("https://app.clickup.com/t/8697xudfa", "[internal projects] Income statement dashboard")</f>
        <v>[internal projects] Income statement dashboard</v>
      </c>
    </row>
    <row r="36" spans="6:18" x14ac:dyDescent="0.3">
      <c r="K36" t="str">
        <f>HYPERLINK("https://app.clickup.com/t/86971xtt3", "[discovery invest - dw maintenance] Validating the DWH")</f>
        <v>[discovery invest - dw maintenance] Validating the DWH</v>
      </c>
      <c r="R36" t="str">
        <f>HYPERLINK("https://app.clickup.com/t/8697t8mu2", "[internal projects] Sales Dashboard Additional requirements")</f>
        <v>[internal projects] Sales Dashboard Additional requirements</v>
      </c>
    </row>
    <row r="37" spans="6:18" x14ac:dyDescent="0.3">
      <c r="O37" t="str">
        <f>HYPERLINK("https://app.clickup.com/t/8699yvuqh", "[om: fatca 2.0 design implementation project (jira tasks)] CDC-2555 Entities former COB")</f>
        <v>[om: fatca 2.0 design implementation project (jira tasks)] CDC-2555 Entities former COB</v>
      </c>
      <c r="R37" t="str">
        <f>HYPERLINK("https://app.clickup.com/t/8697my8gd", "[internal projects] Financial and Sales Dashboard enhancement")</f>
        <v>[internal projects] Financial and Sales Dashboard enhancement</v>
      </c>
    </row>
    <row r="38" spans="6:18" x14ac:dyDescent="0.3">
      <c r="O38" t="str">
        <f>HYPERLINK("https://app.clickup.com/t/8699yvtjg", "[om: fatca 2.0 design implementation project (jira tasks)] CDC-2553 Flexcube SARS Templates - rename the RFI to source system code at scheme level")</f>
        <v>[om: fatca 2.0 design implementation project (jira tasks)] CDC-2553 Flexcube SARS Templates - rename the RFI to source system code at scheme level</v>
      </c>
      <c r="R38" t="str">
        <f>HYPERLINK("https://app.clickup.com/t/8696yar98", "[internal projects] Resource Utilization Dashboard Refinements")</f>
        <v>[internal projects] Resource Utilization Dashboard Refinements</v>
      </c>
    </row>
    <row r="39" spans="6:18" x14ac:dyDescent="0.3">
      <c r="O39" t="str">
        <f>HYPERLINK("https://app.clickup.com/t/8699yvruw", "[om: fatca 2.0 design implementation project (jira tasks)] CDC-2561 Diminmus rules to be applied at scheme level and not at OMUT level")</f>
        <v>[om: fatca 2.0 design implementation project (jira tasks)] CDC-2561 Diminmus rules to be applied at scheme level and not at OMUT level</v>
      </c>
      <c r="R39" t="str">
        <f>HYPERLINK("https://app.clickup.com/t/8696u6wyy", "[internal projects] Alteryx Server SLA Report process")</f>
        <v>[internal projects] Alteryx Server SLA Report process</v>
      </c>
    </row>
    <row r="40" spans="6:18" x14ac:dyDescent="0.3">
      <c r="O40" t="str">
        <f>HYPERLINK("https://app.clickup.com/t/8699yvra6", "[om: fatca 2.0 design implementation project (jira tasks)] CDC-2554 Entities COB")</f>
        <v>[om: fatca 2.0 design implementation project (jira tasks)] CDC-2554 Entities COB</v>
      </c>
      <c r="R40" t="str">
        <f>HYPERLINK("https://app.clickup.com/t/8695mj63r", "[internal projects] Shoprite B2B SLA Document")</f>
        <v>[internal projects] Shoprite B2B SLA Document</v>
      </c>
    </row>
    <row r="41" spans="6:18" x14ac:dyDescent="0.3">
      <c r="R41" t="str">
        <f>HYPERLINK("https://app.clickup.com/t/869474qb4", "[internal projects] Commit code to GitHub")</f>
        <v>[internal projects] Commit code to GitHub</v>
      </c>
    </row>
    <row r="42" spans="6:18" x14ac:dyDescent="0.3">
      <c r="R42" t="str">
        <f>HYPERLINK("https://app.clickup.com/t/869agp147", "[certification] Snowflake Sales Professional")</f>
        <v>[certification] Snowflake Sales Professional</v>
      </c>
    </row>
    <row r="43" spans="6:18" x14ac:dyDescent="0.3">
      <c r="R43" t="str">
        <f>HYPERLINK("https://app.clickup.com/t/869agp0uz", "[certification] Snowflake Technical Sales Professional")</f>
        <v>[certification] Snowflake Technical Sales Professional</v>
      </c>
    </row>
    <row r="44" spans="6:18" x14ac:dyDescent="0.3">
      <c r="R44" t="str">
        <f>HYPERLINK("https://app.clickup.com/t/869af829t", "[certification] Salesforce Certified Agentforce Specialist")</f>
        <v>[certification] Salesforce Certified Agentforce Specialist</v>
      </c>
    </row>
    <row r="45" spans="6:18" x14ac:dyDescent="0.3">
      <c r="R45" t="str">
        <f>HYPERLINK("https://app.clickup.com/t/869ab9g7u", "[certification] AWS Data Engineer - Associate")</f>
        <v>[certification] AWS Data Engineer - Associate</v>
      </c>
    </row>
    <row r="46" spans="6:18" x14ac:dyDescent="0.3">
      <c r="R46" t="str">
        <f>HYPERLINK("https://app.clickup.com/t/869b6v0gh", "[om: fatca 2.0 design implementation project (jira tasks)] CDC-2562 Develop a Foreigners List dashboard")</f>
        <v>[om: fatca 2.0 design implementation project (jira tasks)] CDC-2562 Develop a Foreigners List dashboard</v>
      </c>
    </row>
    <row r="47" spans="6:18" x14ac:dyDescent="0.3">
      <c r="R47" t="str">
        <f>HYPERLINK("https://app.clickup.com/t/869ax6j44", "[om: fatca 2.0 design implementation project (jira tasks)] Titanium Reports")</f>
        <v>[om: fatca 2.0 design implementation project (jira tasks)] Titanium Reports</v>
      </c>
    </row>
    <row r="48" spans="6:18" x14ac:dyDescent="0.3">
      <c r="R48" t="str">
        <f>HYPERLINK("https://app.clickup.com/t/869ax6j0z", "[om: fatca 2.0 design implementation project (jira tasks)] CDC-3034-aws-s3-bucket-investigation")</f>
        <v>[om: fatca 2.0 design implementation project (jira tasks)] CDC-3034-aws-s3-bucket-investigation</v>
      </c>
    </row>
    <row r="49" spans="18:18" x14ac:dyDescent="0.3">
      <c r="R49" t="str">
        <f>HYPERLINK("https://app.clickup.com/t/869avjm5f", "[om: fatca 2.0 design implementation project (jira tasks)] CBR Quarterly Run")</f>
        <v>[om: fatca 2.0 design implementation project (jira tasks)] CBR Quarterly Run</v>
      </c>
    </row>
    <row r="50" spans="18:18" x14ac:dyDescent="0.3">
      <c r="R50" t="str">
        <f>HYPERLINK("https://app.clickup.com/t/869auvvmp", "[om: fatca 2.0 design implementation project (jira tasks)] Advisor Recon Report Manual Run")</f>
        <v>[om: fatca 2.0 design implementation project (jira tasks)] Advisor Recon Report Manual Run</v>
      </c>
    </row>
    <row r="51" spans="18:18" x14ac:dyDescent="0.3">
      <c r="R51" t="str">
        <f>HYPERLINK("https://app.clickup.com/t/869arkz3a", "[om: fatca 2.0 design implementation project (jira tasks)] CDC-2914 Create Test Cases Cura Reg Change (Framework) Dashboard")</f>
        <v>[om: fatca 2.0 design implementation project (jira tasks)] CDC-2914 Create Test Cases Cura Reg Change (Framework) Dashboard</v>
      </c>
    </row>
    <row r="52" spans="18:18" x14ac:dyDescent="0.3">
      <c r="R52" t="str">
        <f>HYPERLINK("https://app.clickup.com/t/869am7mt7", "[om: fatca 2.0 design implementation project (jira tasks)] CDC-2913 Cura Reg Change Dashboard Modifications")</f>
        <v>[om: fatca 2.0 design implementation project (jira tasks)] CDC-2913 Cura Reg Change Dashboard Modifications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52"/>
  <sheetViews>
    <sheetView workbookViewId="0"/>
  </sheetViews>
  <sheetFormatPr defaultRowHeight="14.4" x14ac:dyDescent="0.3"/>
  <cols>
    <col min="1" max="1" width="20" customWidth="1"/>
    <col min="2" max="4" width="50" customWidth="1"/>
    <col min="5" max="5" width="35" customWidth="1"/>
    <col min="6" max="12" width="50" customWidth="1"/>
    <col min="13" max="14" width="35" customWidth="1"/>
    <col min="15" max="16" width="50" customWidth="1"/>
    <col min="17" max="17" width="35" customWidth="1"/>
    <col min="18" max="18" width="50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</row>
    <row r="3" spans="1:17" x14ac:dyDescent="0.3">
      <c r="A3" t="s">
        <v>18</v>
      </c>
    </row>
    <row r="4" spans="1:17" x14ac:dyDescent="0.3">
      <c r="A4" t="s">
        <v>19</v>
      </c>
    </row>
    <row r="5" spans="1:17" x14ac:dyDescent="0.3">
      <c r="A5" t="s">
        <v>20</v>
      </c>
    </row>
    <row r="6" spans="1:17" x14ac:dyDescent="0.3">
      <c r="A6" t="s">
        <v>21</v>
      </c>
    </row>
    <row r="7" spans="1:17" x14ac:dyDescent="0.3">
      <c r="A7" t="s">
        <v>22</v>
      </c>
    </row>
    <row r="8" spans="1:17" x14ac:dyDescent="0.3">
      <c r="A8" t="s">
        <v>23</v>
      </c>
    </row>
    <row r="9" spans="1:17" x14ac:dyDescent="0.3">
      <c r="A9" t="s">
        <v>24</v>
      </c>
    </row>
    <row r="10" spans="1:17" x14ac:dyDescent="0.3">
      <c r="A10" t="s">
        <v>25</v>
      </c>
    </row>
    <row r="11" spans="1:17" x14ac:dyDescent="0.3">
      <c r="A11" t="s">
        <v>26</v>
      </c>
    </row>
    <row r="12" spans="1:17" x14ac:dyDescent="0.3">
      <c r="A12" t="s">
        <v>27</v>
      </c>
    </row>
    <row r="13" spans="1:17" x14ac:dyDescent="0.3">
      <c r="A13" t="s">
        <v>28</v>
      </c>
    </row>
    <row r="14" spans="1:17" x14ac:dyDescent="0.3">
      <c r="A14" t="s">
        <v>29</v>
      </c>
    </row>
    <row r="15" spans="1:17" x14ac:dyDescent="0.3">
      <c r="A15" t="s">
        <v>30</v>
      </c>
    </row>
    <row r="16" spans="1:17" x14ac:dyDescent="0.3">
      <c r="A16" t="s">
        <v>31</v>
      </c>
    </row>
    <row r="17" spans="1:18" x14ac:dyDescent="0.3">
      <c r="A17" t="s">
        <v>32</v>
      </c>
    </row>
    <row r="18" spans="1:18" x14ac:dyDescent="0.3">
      <c r="A18" t="s">
        <v>33</v>
      </c>
    </row>
    <row r="19" spans="1:18" x14ac:dyDescent="0.3">
      <c r="A19" t="s">
        <v>34</v>
      </c>
    </row>
    <row r="20" spans="1:18" x14ac:dyDescent="0.3">
      <c r="A20" t="s">
        <v>35</v>
      </c>
    </row>
    <row r="21" spans="1:18" x14ac:dyDescent="0.3">
      <c r="A21" t="s">
        <v>36</v>
      </c>
    </row>
    <row r="24" spans="1:18" x14ac:dyDescent="0.3">
      <c r="A24" t="s">
        <v>37</v>
      </c>
      <c r="B24">
        <f t="shared" ref="B24:Q24" si="0">ROUND(COUNTIF(B2:B19,"&lt;&gt;")/18,4)</f>
        <v>0</v>
      </c>
      <c r="C24">
        <f t="shared" si="0"/>
        <v>0</v>
      </c>
      <c r="D24">
        <f t="shared" si="0"/>
        <v>0</v>
      </c>
      <c r="E24">
        <f t="shared" si="0"/>
        <v>0</v>
      </c>
      <c r="F24">
        <f t="shared" si="0"/>
        <v>0</v>
      </c>
      <c r="G24">
        <f t="shared" si="0"/>
        <v>0</v>
      </c>
      <c r="H24">
        <f t="shared" si="0"/>
        <v>0</v>
      </c>
      <c r="I24">
        <f t="shared" si="0"/>
        <v>0</v>
      </c>
      <c r="J24">
        <f t="shared" si="0"/>
        <v>0</v>
      </c>
      <c r="K24">
        <f t="shared" si="0"/>
        <v>0</v>
      </c>
      <c r="L24">
        <f t="shared" si="0"/>
        <v>0</v>
      </c>
      <c r="M24">
        <f t="shared" si="0"/>
        <v>0</v>
      </c>
      <c r="N24">
        <f t="shared" si="0"/>
        <v>0</v>
      </c>
      <c r="O24">
        <f t="shared" si="0"/>
        <v>0</v>
      </c>
      <c r="P24">
        <f t="shared" si="0"/>
        <v>0</v>
      </c>
      <c r="Q24">
        <f t="shared" si="0"/>
        <v>0</v>
      </c>
    </row>
    <row r="27" spans="1:18" x14ac:dyDescent="0.3">
      <c r="A27" t="s">
        <v>38</v>
      </c>
      <c r="B27" t="s">
        <v>39</v>
      </c>
      <c r="C27" t="s">
        <v>2</v>
      </c>
      <c r="D27" t="s">
        <v>3</v>
      </c>
      <c r="E27" t="s">
        <v>4</v>
      </c>
      <c r="F27" t="s">
        <v>40</v>
      </c>
      <c r="G27" t="s">
        <v>6</v>
      </c>
      <c r="H27" t="s">
        <v>7</v>
      </c>
      <c r="I27" t="s">
        <v>8</v>
      </c>
      <c r="J27" t="s">
        <v>9</v>
      </c>
      <c r="K27" t="s">
        <v>10</v>
      </c>
      <c r="L27" t="s">
        <v>11</v>
      </c>
      <c r="M27" t="s">
        <v>41</v>
      </c>
      <c r="N27" t="s">
        <v>13</v>
      </c>
      <c r="O27" t="s">
        <v>14</v>
      </c>
      <c r="P27" t="s">
        <v>15</v>
      </c>
      <c r="Q27" t="s">
        <v>16</v>
      </c>
      <c r="R27" t="s">
        <v>42</v>
      </c>
    </row>
    <row r="28" spans="1:18" x14ac:dyDescent="0.3">
      <c r="B28" t="str">
        <f>HYPERLINK("https://app.clickup.com/t/8698kwuqq", "[slipstream - data warehouse solution - git (productization)] Design and Build Costing reports in Snowflake")</f>
        <v>[slipstream - data warehouse solution - git (productization)] Design and Build Costing reports in Snowflake</v>
      </c>
      <c r="C28" t="str">
        <f>HYPERLINK("https://app.clickup.com/t/86995td5m", "[slipstream - data warehouse solution - git (productization)] Build the data deployment pipelines for DEV to QA")</f>
        <v>[slipstream - data warehouse solution - git (productization)] Build the data deployment pipelines for DEV to QA</v>
      </c>
      <c r="D28" t="str">
        <f>HYPERLINK("https://app.clickup.com/t/86995td5m", "[slipstream - data warehouse solution - git (productization)] Build the data deployment pipelines for DEV to QA")</f>
        <v>[slipstream - data warehouse solution - git (productization)] Build the data deployment pipelines for DEV to QA</v>
      </c>
      <c r="F28" t="str">
        <f>HYPERLINK("https://app.clickup.com/t/869a2knmy", "[slipstream - data warehouse solution - git (productization)] Create views as exploitation layer out of data lake")</f>
        <v>[slipstream - data warehouse solution - git (productization)] Create views as exploitation layer out of data lake</v>
      </c>
      <c r="G28" t="str">
        <f>HYPERLINK("https://app.clickup.com/t/869474qb4", "[internal projects] Commit code to GitHub")</f>
        <v>[internal projects] Commit code to GitHub</v>
      </c>
      <c r="H28" t="str">
        <f>HYPERLINK("https://app.clickup.com/t/869474qb4", "[internal projects] Commit code to GitHub")</f>
        <v>[internal projects] Commit code to GitHub</v>
      </c>
      <c r="I28" t="str">
        <f>HYPERLINK("https://app.clickup.com/t/869atfeg3", "[freshdesk] 1375 FPM Look through results compared to Reg30 rounding differences")</f>
        <v>[freshdesk] 1375 FPM Look through results compared to Reg30 rounding differences</v>
      </c>
      <c r="J28" t="str">
        <f>HYPERLINK("https://app.clickup.com/t/869bd0zxj", "[freshdesk] 1430 Athena Connection Setup")</f>
        <v>[freshdesk] 1430 Athena Connection Setup</v>
      </c>
      <c r="K28" t="str">
        <f>HYPERLINK("https://app.clickup.com/t/8698jrq49", "[slipstream - data warehouse solution - git (productization)] Testing - data Audit processes")</f>
        <v>[slipstream - data warehouse solution - git (productization)] Testing - data Audit processes</v>
      </c>
      <c r="L28" t="str">
        <f>HYPERLINK("https://app.clickup.com/t/869a5344p", "[freshdesk] Documentation")</f>
        <v>[freshdesk] Documentation</v>
      </c>
      <c r="O28" t="str">
        <f>HYPERLINK("https://app.clickup.com/t/869474qb4", "[internal projects] Commit code to GitHub")</f>
        <v>[internal projects] Commit code to GitHub</v>
      </c>
      <c r="P28" t="str">
        <f>HYPERLINK("https://app.clickup.com/t/869bd6a0f", "[wonga: data warehouse development &amp; migration onto snowflake project] Dim_Funnel_Checks")</f>
        <v>[wonga: data warehouse development &amp; migration onto snowflake project] Dim_Funnel_Checks</v>
      </c>
      <c r="R28" t="str">
        <f>HYPERLINK("https://app.clickup.com/t/869bbt350", "[freshdesk] 1428 SSO Intergations for data connections within Alteryx")</f>
        <v>[freshdesk] 1428 SSO Intergations for data connections within Alteryx</v>
      </c>
    </row>
    <row r="29" spans="1:18" x14ac:dyDescent="0.3">
      <c r="B29" t="str">
        <f>HYPERLINK("https://app.clickup.com/t/8698jrq4e", "[slipstream - data warehouse solution - git (productization)] Support. Includes platform optimisation, query optimisation etc.")</f>
        <v>[slipstream - data warehouse solution - git (productization)] Support. Includes platform optimisation, query optimisation etc.</v>
      </c>
      <c r="C29" t="str">
        <f>HYPERLINK("https://app.clickup.com/t/8695qbamh", "[internal projects] Testing")</f>
        <v>[internal projects] Testing</v>
      </c>
      <c r="D29" t="str">
        <f>HYPERLINK("https://app.clickup.com/t/869474qb4", "[internal projects] Commit code to GitHub")</f>
        <v>[internal projects] Commit code to GitHub</v>
      </c>
      <c r="F29" t="str">
        <f>HYPERLINK("https://app.clickup.com/t/8698kwuqq", "[slipstream - data warehouse solution - git (productization)] Design and Build Costing reports in Snowflake")</f>
        <v>[slipstream - data warehouse solution - git (productization)] Design and Build Costing reports in Snowflake</v>
      </c>
      <c r="G29" t="str">
        <f>HYPERLINK("https://app.clickup.com/t/8696c93m9", "[discovery invest - dw maintenance] Change LAst_seed_Process = 2 for 7 tables")</f>
        <v>[discovery invest - dw maintenance] Change LAst_seed_Process = 2 for 7 tables</v>
      </c>
      <c r="H29" t="str">
        <f>HYPERLINK("https://app.clickup.com/t/862k4g368", "[internal projects] Integrate data to Tableau report")</f>
        <v>[internal projects] Integrate data to Tableau report</v>
      </c>
      <c r="I29" t="str">
        <f>HYPERLINK("https://app.clickup.com/t/869474qb4", "[internal projects] Commit code to GitHub")</f>
        <v>[internal projects] Commit code to GitHub</v>
      </c>
      <c r="J29" t="str">
        <f>HYPERLINK("https://app.clickup.com/t/8696q3a3m", "[internal projects] Team Skills")</f>
        <v>[internal projects] Team Skills</v>
      </c>
      <c r="K29" t="str">
        <f>HYPERLINK("https://app.clickup.com/t/8698jrq40", "[slipstream - data warehouse solution - git (productization)] Optimisation and Enhancemnets post testing")</f>
        <v>[slipstream - data warehouse solution - git (productization)] Optimisation and Enhancemnets post testing</v>
      </c>
      <c r="L29" t="str">
        <f>HYPERLINK("https://app.clickup.com/t/8698juq5h", "[slipstream - data warehouse solution - git (productization)] Build the PowerBI reports for monitoring data Lake progress")</f>
        <v>[slipstream - data warehouse solution - git (productization)] Build the PowerBI reports for monitoring data Lake progress</v>
      </c>
      <c r="O29" t="str">
        <f>HYPERLINK("https://app.clickup.com/t/869a9nmh7", "[om: fatca 2.0 design implementation project (jira tasks)] CDC-2626 Setup Non-prod and Prod space on Alteryx Servers")</f>
        <v>[om: fatca 2.0 design implementation project (jira tasks)] CDC-2626 Setup Non-prod and Prod space on Alteryx Servers</v>
      </c>
      <c r="R29" t="str">
        <f>HYPERLINK("https://app.clickup.com/t/869b88fev", "[freshdesk] 1421 OTIF Schedule date changes")</f>
        <v>[freshdesk] 1421 OTIF Schedule date changes</v>
      </c>
    </row>
    <row r="30" spans="1:18" x14ac:dyDescent="0.3">
      <c r="B30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  <c r="C30" t="str">
        <f>HYPERLINK("https://app.clickup.com/t/869474qb4", "[internal projects] Commit code to GitHub")</f>
        <v>[internal projects] Commit code to GitHub</v>
      </c>
      <c r="F30" t="str">
        <f>HYPERLINK("https://app.clickup.com/t/8698jrxaj", "[slipstream - data warehouse solution - git (productization)] Snowflake Setup and Configuration")</f>
        <v>[slipstream - data warehouse solution - git (productization)] Snowflake Setup and Configuration</v>
      </c>
      <c r="H30" t="str">
        <f>HYPERLINK("https://app.clickup.com/t/86931cq82", "[certification] Alteryx")</f>
        <v>[certification] Alteryx</v>
      </c>
      <c r="J30" t="str">
        <f>HYPERLINK("https://app.clickup.com/t/8696kqh8k", "[internal projects] Tableau server Microsoft Teams app set up")</f>
        <v>[internal projects] Tableau server Microsoft Teams app set up</v>
      </c>
      <c r="K30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  <c r="L30" t="str">
        <f>HYPERLINK("https://app.clickup.com/t/8698jupt0", "[slipstream - data warehouse solution - git (productization)] Build the PowerBI reports for monitoring data Stage progress")</f>
        <v>[slipstream - data warehouse solution - git (productization)] Build the PowerBI reports for monitoring data Stage progress</v>
      </c>
      <c r="O30" t="str">
        <f>HYPERLINK("https://app.clickup.com/t/869a6vnq6", "[om: fatca 2.0 design implementation project (jira tasks)] CDC-2757 Market Conduct: Provide time estimates for deliverables")</f>
        <v>[om: fatca 2.0 design implementation project (jira tasks)] CDC-2757 Market Conduct: Provide time estimates for deliverables</v>
      </c>
      <c r="R30" t="str">
        <f>HYPERLINK("https://app.clickup.com/t/8698jrq49", "[slipstream - data warehouse solution - git (productization)] Testing - data Audit processes")</f>
        <v>[slipstream - data warehouse solution - git (productization)] Testing - data Audit processes</v>
      </c>
    </row>
    <row r="31" spans="1:18" x14ac:dyDescent="0.3">
      <c r="B31" t="str">
        <f>HYPERLINK("https://app.clickup.com/t/869474qb4", "[internal projects] Commit code to GitHub")</f>
        <v>[internal projects] Commit code to GitHub</v>
      </c>
      <c r="C31" t="str">
        <f>HYPERLINK("https://app.clickup.com/t/862k18nwr", "[internal projects] SLA performance for each customer")</f>
        <v>[internal projects] SLA performance for each customer</v>
      </c>
      <c r="F31" t="str">
        <f>HYPERLINK("https://app.clickup.com/t/8698jrq40", "[slipstream - data warehouse solution - git (productization)] Optimisation and Enhancemnets post testing")</f>
        <v>[slipstream - data warehouse solution - git (productization)] Optimisation and Enhancemnets post testing</v>
      </c>
      <c r="J31" t="str">
        <f>HYPERLINK("https://app.clickup.com/t/869474qb4", "[internal projects] Commit code to GitHub")</f>
        <v>[internal projects] Commit code to GitHub</v>
      </c>
      <c r="K31" t="str">
        <f>HYPERLINK("https://app.clickup.com/t/869474qb4", "[internal projects] Commit code to GitHub")</f>
        <v>[internal projects] Commit code to GitHub</v>
      </c>
      <c r="L31" t="str">
        <f>HYPERLINK("https://app.clickup.com/t/8698jrq3g", "[slipstream - data warehouse solution - git (productization)] Orchestration")</f>
        <v>[slipstream - data warehouse solution - git (productization)] Orchestration</v>
      </c>
      <c r="O31" t="str">
        <f>HYPERLINK("https://app.clickup.com/t/869a1x6nk", "[om: fatca 2.0 design implementation project (jira tasks)] CDC-2062 Highlight where field values do not map to static reference tables in the raw schema")</f>
        <v>[om: fatca 2.0 design implementation project (jira tasks)] CDC-2062 Highlight where field values do not map to static reference tables in the raw schema</v>
      </c>
      <c r="R31" t="str">
        <f>HYPERLINK("https://app.clickup.com/t/8698jrq3g", "[slipstream - data warehouse solution - git (productization)] Orchestration")</f>
        <v>[slipstream - data warehouse solution - git (productization)] Orchestration</v>
      </c>
    </row>
    <row r="32" spans="1:18" x14ac:dyDescent="0.3">
      <c r="C32" t="str">
        <f>HYPERLINK("https://app.clickup.com/t/8694x2b1k", "[certification] Alteryx Designer Advanced")</f>
        <v>[certification] Alteryx Designer Advanced</v>
      </c>
      <c r="F32" t="str">
        <f>HYPERLINK("https://app.clickup.com/t/869474qb4", "[internal projects] Commit code to GitHub")</f>
        <v>[internal projects] Commit code to GitHub</v>
      </c>
      <c r="J32" t="str">
        <f>HYPERLINK("https://app.clickup.com/t/8698rmb2r", "[certification] AWS Certified Solutions Architect - Associate")</f>
        <v>[certification] AWS Certified Solutions Architect - Associate</v>
      </c>
      <c r="K32" t="str">
        <f>HYPERLINK("https://app.clickup.com/t/86971xvd4", "[discovery invest - dw maintenance] Run the file extracts")</f>
        <v>[discovery invest - dw maintenance] Run the file extracts</v>
      </c>
      <c r="O32" t="str">
        <f>HYPERLINK("https://app.clickup.com/t/869a1bu7g", "[om: fatca 2.0 design implementation project (jira tasks)] CDC-2563 Business Rule - Tax Free investments")</f>
        <v>[om: fatca 2.0 design implementation project (jira tasks)] CDC-2563 Business Rule - Tax Free investments</v>
      </c>
      <c r="R32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</row>
    <row r="33" spans="6:18" x14ac:dyDescent="0.3">
      <c r="F33" t="str">
        <f>HYPERLINK("https://app.clickup.com/t/86931cq56", "[certification] Snowflake")</f>
        <v>[certification] Snowflake</v>
      </c>
      <c r="K33" t="str">
        <f>HYPERLINK("https://app.clickup.com/t/86971xv4x", "[discovery invest - dw maintenance] Validating the marts")</f>
        <v>[discovery invest - dw maintenance] Validating the marts</v>
      </c>
      <c r="O33" t="str">
        <f>HYPERLINK("https://app.clickup.com/t/869a01gfm", "[om: fatca 2.0 design implementation project (jira tasks)] CDC-2509 Investigate subset where controlling person and entity has different entity_ids")</f>
        <v>[om: fatca 2.0 design implementation project (jira tasks)] CDC-2509 Investigate subset where controlling person and entity has different entity_ids</v>
      </c>
      <c r="R33" t="str">
        <f>HYPERLINK("https://app.clickup.com/t/869ag79ab", "[internal projects] Test Framework UAT doc")</f>
        <v>[internal projects] Test Framework UAT doc</v>
      </c>
    </row>
    <row r="34" spans="6:18" x14ac:dyDescent="0.3">
      <c r="K34" t="str">
        <f>HYPERLINK("https://app.clickup.com/t/86971xv04", "[discovery invest - dw maintenance] Run mart code")</f>
        <v>[discovery invest - dw maintenance] Run mart code</v>
      </c>
      <c r="O34" t="str">
        <f>HYPERLINK("https://app.clickup.com/t/8699yvvh7", "[om: fatca 2.0 design implementation project (jira tasks)] CDC-2560 SARS TPAH Template Update the rule to avoid referencing the database table")</f>
        <v>[om: fatca 2.0 design implementation project (jira tasks)] CDC-2560 SARS TPAH Template Update the rule to avoid referencing the database table</v>
      </c>
      <c r="R34" t="str">
        <f>HYPERLINK("https://app.clickup.com/t/869a70f9p", "[internal projects] Billed VS Invoiced VS SLA")</f>
        <v>[internal projects] Billed VS Invoiced VS SLA</v>
      </c>
    </row>
    <row r="35" spans="6:18" x14ac:dyDescent="0.3">
      <c r="K35" t="str">
        <f>HYPERLINK("https://app.clickup.com/t/86971xur8", "[discovery invest - dw maintenance] Run implied deletes code")</f>
        <v>[discovery invest - dw maintenance] Run implied deletes code</v>
      </c>
      <c r="O35" t="str">
        <f>HYPERLINK("https://app.clickup.com/t/8699yvveh", "[om: fatca 2.0 design implementation project (jira tasks)] CDC-2559 SARS TPAH Template Remove all spaces and special characters")</f>
        <v>[om: fatca 2.0 design implementation project (jira tasks)] CDC-2559 SARS TPAH Template Remove all spaces and special characters</v>
      </c>
      <c r="R35" t="str">
        <f>HYPERLINK("https://app.clickup.com/t/8697xudfa", "[internal projects] Income statement dashboard")</f>
        <v>[internal projects] Income statement dashboard</v>
      </c>
    </row>
    <row r="36" spans="6:18" x14ac:dyDescent="0.3">
      <c r="K36" t="str">
        <f>HYPERLINK("https://app.clickup.com/t/86971xtt3", "[discovery invest - dw maintenance] Validating the DWH")</f>
        <v>[discovery invest - dw maintenance] Validating the DWH</v>
      </c>
      <c r="R36" t="str">
        <f>HYPERLINK("https://app.clickup.com/t/8697t8mu2", "[internal projects] Sales Dashboard Additional requirements")</f>
        <v>[internal projects] Sales Dashboard Additional requirements</v>
      </c>
    </row>
    <row r="37" spans="6:18" x14ac:dyDescent="0.3">
      <c r="O37" t="str">
        <f>HYPERLINK("https://app.clickup.com/t/8699yvuqh", "[om: fatca 2.0 design implementation project (jira tasks)] CDC-2555 Entities former COB")</f>
        <v>[om: fatca 2.0 design implementation project (jira tasks)] CDC-2555 Entities former COB</v>
      </c>
      <c r="R37" t="str">
        <f>HYPERLINK("https://app.clickup.com/t/8697my8gd", "[internal projects] Financial and Sales Dashboard enhancement")</f>
        <v>[internal projects] Financial and Sales Dashboard enhancement</v>
      </c>
    </row>
    <row r="38" spans="6:18" x14ac:dyDescent="0.3">
      <c r="O38" t="str">
        <f>HYPERLINK("https://app.clickup.com/t/8699yvtjg", "[om: fatca 2.0 design implementation project (jira tasks)] CDC-2553 Flexcube SARS Templates - rename the RFI to source system code at scheme level")</f>
        <v>[om: fatca 2.0 design implementation project (jira tasks)] CDC-2553 Flexcube SARS Templates - rename the RFI to source system code at scheme level</v>
      </c>
      <c r="R38" t="str">
        <f>HYPERLINK("https://app.clickup.com/t/8696yar98", "[internal projects] Resource Utilization Dashboard Refinements")</f>
        <v>[internal projects] Resource Utilization Dashboard Refinements</v>
      </c>
    </row>
    <row r="39" spans="6:18" x14ac:dyDescent="0.3">
      <c r="O39" t="str">
        <f>HYPERLINK("https://app.clickup.com/t/8699yvruw", "[om: fatca 2.0 design implementation project (jira tasks)] CDC-2561 Diminmus rules to be applied at scheme level and not at OMUT level")</f>
        <v>[om: fatca 2.0 design implementation project (jira tasks)] CDC-2561 Diminmus rules to be applied at scheme level and not at OMUT level</v>
      </c>
      <c r="R39" t="str">
        <f>HYPERLINK("https://app.clickup.com/t/8696u6wyy", "[internal projects] Alteryx Server SLA Report process")</f>
        <v>[internal projects] Alteryx Server SLA Report process</v>
      </c>
    </row>
    <row r="40" spans="6:18" x14ac:dyDescent="0.3">
      <c r="O40" t="str">
        <f>HYPERLINK("https://app.clickup.com/t/8699yvra6", "[om: fatca 2.0 design implementation project (jira tasks)] CDC-2554 Entities COB")</f>
        <v>[om: fatca 2.0 design implementation project (jira tasks)] CDC-2554 Entities COB</v>
      </c>
      <c r="R40" t="str">
        <f>HYPERLINK("https://app.clickup.com/t/8695mj63r", "[internal projects] Shoprite B2B SLA Document")</f>
        <v>[internal projects] Shoprite B2B SLA Document</v>
      </c>
    </row>
    <row r="41" spans="6:18" x14ac:dyDescent="0.3">
      <c r="R41" t="str">
        <f>HYPERLINK("https://app.clickup.com/t/869474qb4", "[internal projects] Commit code to GitHub")</f>
        <v>[internal projects] Commit code to GitHub</v>
      </c>
    </row>
    <row r="42" spans="6:18" x14ac:dyDescent="0.3">
      <c r="R42" t="str">
        <f>HYPERLINK("https://app.clickup.com/t/869agp147", "[certification] Snowflake Sales Professional")</f>
        <v>[certification] Snowflake Sales Professional</v>
      </c>
    </row>
    <row r="43" spans="6:18" x14ac:dyDescent="0.3">
      <c r="R43" t="str">
        <f>HYPERLINK("https://app.clickup.com/t/869agp0uz", "[certification] Snowflake Technical Sales Professional")</f>
        <v>[certification] Snowflake Technical Sales Professional</v>
      </c>
    </row>
    <row r="44" spans="6:18" x14ac:dyDescent="0.3">
      <c r="R44" t="str">
        <f>HYPERLINK("https://app.clickup.com/t/869af829t", "[certification] Salesforce Certified Agentforce Specialist")</f>
        <v>[certification] Salesforce Certified Agentforce Specialist</v>
      </c>
    </row>
    <row r="45" spans="6:18" x14ac:dyDescent="0.3">
      <c r="R45" t="str">
        <f>HYPERLINK("https://app.clickup.com/t/869ab9g7u", "[certification] AWS Data Engineer - Associate")</f>
        <v>[certification] AWS Data Engineer - Associate</v>
      </c>
    </row>
    <row r="46" spans="6:18" x14ac:dyDescent="0.3">
      <c r="R46" t="str">
        <f>HYPERLINK("https://app.clickup.com/t/869b6v0gh", "[om: fatca 2.0 design implementation project (jira tasks)] CDC-2562 Develop a Foreigners List dashboard")</f>
        <v>[om: fatca 2.0 design implementation project (jira tasks)] CDC-2562 Develop a Foreigners List dashboard</v>
      </c>
    </row>
    <row r="47" spans="6:18" x14ac:dyDescent="0.3">
      <c r="R47" t="str">
        <f>HYPERLINK("https://app.clickup.com/t/869ax6j44", "[om: fatca 2.0 design implementation project (jira tasks)] Titanium Reports")</f>
        <v>[om: fatca 2.0 design implementation project (jira tasks)] Titanium Reports</v>
      </c>
    </row>
    <row r="48" spans="6:18" x14ac:dyDescent="0.3">
      <c r="R48" t="str">
        <f>HYPERLINK("https://app.clickup.com/t/869ax6j0z", "[om: fatca 2.0 design implementation project (jira tasks)] CDC-3034-aws-s3-bucket-investigation")</f>
        <v>[om: fatca 2.0 design implementation project (jira tasks)] CDC-3034-aws-s3-bucket-investigation</v>
      </c>
    </row>
    <row r="49" spans="18:18" x14ac:dyDescent="0.3">
      <c r="R49" t="str">
        <f>HYPERLINK("https://app.clickup.com/t/869avjm5f", "[om: fatca 2.0 design implementation project (jira tasks)] CBR Quarterly Run")</f>
        <v>[om: fatca 2.0 design implementation project (jira tasks)] CBR Quarterly Run</v>
      </c>
    </row>
    <row r="50" spans="18:18" x14ac:dyDescent="0.3">
      <c r="R50" t="str">
        <f>HYPERLINK("https://app.clickup.com/t/869auvvmp", "[om: fatca 2.0 design implementation project (jira tasks)] Advisor Recon Report Manual Run")</f>
        <v>[om: fatca 2.0 design implementation project (jira tasks)] Advisor Recon Report Manual Run</v>
      </c>
    </row>
    <row r="51" spans="18:18" x14ac:dyDescent="0.3">
      <c r="R51" t="str">
        <f>HYPERLINK("https://app.clickup.com/t/869arkz3a", "[om: fatca 2.0 design implementation project (jira tasks)] CDC-2914 Create Test Cases Cura Reg Change (Framework) Dashboard")</f>
        <v>[om: fatca 2.0 design implementation project (jira tasks)] CDC-2914 Create Test Cases Cura Reg Change (Framework) Dashboard</v>
      </c>
    </row>
    <row r="52" spans="18:18" x14ac:dyDescent="0.3">
      <c r="R52" t="str">
        <f>HYPERLINK("https://app.clickup.com/t/869am7mt7", "[om: fatca 2.0 design implementation project (jira tasks)] CDC-2913 Cura Reg Change Dashboard Modifications")</f>
        <v>[om: fatca 2.0 design implementation project (jira tasks)] CDC-2913 Cura Reg Change Dashboard Modifications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52"/>
  <sheetViews>
    <sheetView workbookViewId="0"/>
  </sheetViews>
  <sheetFormatPr defaultRowHeight="14.4" x14ac:dyDescent="0.3"/>
  <cols>
    <col min="1" max="1" width="20" customWidth="1"/>
    <col min="2" max="4" width="50" customWidth="1"/>
    <col min="5" max="5" width="35" customWidth="1"/>
    <col min="6" max="12" width="50" customWidth="1"/>
    <col min="13" max="14" width="35" customWidth="1"/>
    <col min="15" max="16" width="50" customWidth="1"/>
    <col min="17" max="17" width="35" customWidth="1"/>
    <col min="18" max="18" width="50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</row>
    <row r="3" spans="1:17" x14ac:dyDescent="0.3">
      <c r="A3" t="s">
        <v>18</v>
      </c>
    </row>
    <row r="4" spans="1:17" x14ac:dyDescent="0.3">
      <c r="A4" t="s">
        <v>19</v>
      </c>
    </row>
    <row r="5" spans="1:17" x14ac:dyDescent="0.3">
      <c r="A5" t="s">
        <v>20</v>
      </c>
    </row>
    <row r="6" spans="1:17" x14ac:dyDescent="0.3">
      <c r="A6" t="s">
        <v>21</v>
      </c>
    </row>
    <row r="7" spans="1:17" x14ac:dyDescent="0.3">
      <c r="A7" t="s">
        <v>22</v>
      </c>
    </row>
    <row r="8" spans="1:17" x14ac:dyDescent="0.3">
      <c r="A8" t="s">
        <v>23</v>
      </c>
    </row>
    <row r="9" spans="1:17" x14ac:dyDescent="0.3">
      <c r="A9" t="s">
        <v>24</v>
      </c>
    </row>
    <row r="10" spans="1:17" x14ac:dyDescent="0.3">
      <c r="A10" t="s">
        <v>25</v>
      </c>
    </row>
    <row r="11" spans="1:17" x14ac:dyDescent="0.3">
      <c r="A11" t="s">
        <v>26</v>
      </c>
    </row>
    <row r="12" spans="1:17" x14ac:dyDescent="0.3">
      <c r="A12" t="s">
        <v>27</v>
      </c>
    </row>
    <row r="13" spans="1:17" x14ac:dyDescent="0.3">
      <c r="A13" t="s">
        <v>28</v>
      </c>
    </row>
    <row r="14" spans="1:17" x14ac:dyDescent="0.3">
      <c r="A14" t="s">
        <v>29</v>
      </c>
    </row>
    <row r="15" spans="1:17" x14ac:dyDescent="0.3">
      <c r="A15" t="s">
        <v>30</v>
      </c>
    </row>
    <row r="16" spans="1:17" x14ac:dyDescent="0.3">
      <c r="A16" t="s">
        <v>31</v>
      </c>
    </row>
    <row r="17" spans="1:18" x14ac:dyDescent="0.3">
      <c r="A17" t="s">
        <v>32</v>
      </c>
    </row>
    <row r="18" spans="1:18" x14ac:dyDescent="0.3">
      <c r="A18" t="s">
        <v>33</v>
      </c>
    </row>
    <row r="19" spans="1:18" x14ac:dyDescent="0.3">
      <c r="A19" t="s">
        <v>34</v>
      </c>
    </row>
    <row r="20" spans="1:18" x14ac:dyDescent="0.3">
      <c r="A20" t="s">
        <v>35</v>
      </c>
    </row>
    <row r="21" spans="1:18" x14ac:dyDescent="0.3">
      <c r="A21" t="s">
        <v>36</v>
      </c>
    </row>
    <row r="24" spans="1:18" x14ac:dyDescent="0.3">
      <c r="A24" t="s">
        <v>37</v>
      </c>
      <c r="B24">
        <f t="shared" ref="B24:Q24" si="0">ROUND(COUNTIF(B2:B19,"&lt;&gt;")/18,4)</f>
        <v>0</v>
      </c>
      <c r="C24">
        <f t="shared" si="0"/>
        <v>0</v>
      </c>
      <c r="D24">
        <f t="shared" si="0"/>
        <v>0</v>
      </c>
      <c r="E24">
        <f t="shared" si="0"/>
        <v>0</v>
      </c>
      <c r="F24">
        <f t="shared" si="0"/>
        <v>0</v>
      </c>
      <c r="G24">
        <f t="shared" si="0"/>
        <v>0</v>
      </c>
      <c r="H24">
        <f t="shared" si="0"/>
        <v>0</v>
      </c>
      <c r="I24">
        <f t="shared" si="0"/>
        <v>0</v>
      </c>
      <c r="J24">
        <f t="shared" si="0"/>
        <v>0</v>
      </c>
      <c r="K24">
        <f t="shared" si="0"/>
        <v>0</v>
      </c>
      <c r="L24">
        <f t="shared" si="0"/>
        <v>0</v>
      </c>
      <c r="M24">
        <f t="shared" si="0"/>
        <v>0</v>
      </c>
      <c r="N24">
        <f t="shared" si="0"/>
        <v>0</v>
      </c>
      <c r="O24">
        <f t="shared" si="0"/>
        <v>0</v>
      </c>
      <c r="P24">
        <f t="shared" si="0"/>
        <v>0</v>
      </c>
      <c r="Q24">
        <f t="shared" si="0"/>
        <v>0</v>
      </c>
    </row>
    <row r="27" spans="1:18" x14ac:dyDescent="0.3">
      <c r="A27" t="s">
        <v>38</v>
      </c>
      <c r="B27" t="s">
        <v>39</v>
      </c>
      <c r="C27" t="s">
        <v>2</v>
      </c>
      <c r="D27" t="s">
        <v>3</v>
      </c>
      <c r="E27" t="s">
        <v>4</v>
      </c>
      <c r="F27" t="s">
        <v>40</v>
      </c>
      <c r="G27" t="s">
        <v>6</v>
      </c>
      <c r="H27" t="s">
        <v>7</v>
      </c>
      <c r="I27" t="s">
        <v>8</v>
      </c>
      <c r="J27" t="s">
        <v>9</v>
      </c>
      <c r="K27" t="s">
        <v>10</v>
      </c>
      <c r="L27" t="s">
        <v>11</v>
      </c>
      <c r="M27" t="s">
        <v>41</v>
      </c>
      <c r="N27" t="s">
        <v>13</v>
      </c>
      <c r="O27" t="s">
        <v>14</v>
      </c>
      <c r="P27" t="s">
        <v>15</v>
      </c>
      <c r="Q27" t="s">
        <v>16</v>
      </c>
      <c r="R27" t="s">
        <v>42</v>
      </c>
    </row>
    <row r="28" spans="1:18" x14ac:dyDescent="0.3">
      <c r="B28" t="str">
        <f>HYPERLINK("https://app.clickup.com/t/8698kwuqq", "[slipstream - data warehouse solution - git (productization)] Design and Build Costing reports in Snowflake")</f>
        <v>[slipstream - data warehouse solution - git (productization)] Design and Build Costing reports in Snowflake</v>
      </c>
      <c r="C28" t="str">
        <f>HYPERLINK("https://app.clickup.com/t/86995td5m", "[slipstream - data warehouse solution - git (productization)] Build the data deployment pipelines for DEV to QA")</f>
        <v>[slipstream - data warehouse solution - git (productization)] Build the data deployment pipelines for DEV to QA</v>
      </c>
      <c r="D28" t="str">
        <f>HYPERLINK("https://app.clickup.com/t/86995td5m", "[slipstream - data warehouse solution - git (productization)] Build the data deployment pipelines for DEV to QA")</f>
        <v>[slipstream - data warehouse solution - git (productization)] Build the data deployment pipelines for DEV to QA</v>
      </c>
      <c r="F28" t="str">
        <f>HYPERLINK("https://app.clickup.com/t/869a2knmy", "[slipstream - data warehouse solution - git (productization)] Create views as exploitation layer out of data lake")</f>
        <v>[slipstream - data warehouse solution - git (productization)] Create views as exploitation layer out of data lake</v>
      </c>
      <c r="G28" t="str">
        <f>HYPERLINK("https://app.clickup.com/t/869474qb4", "[internal projects] Commit code to GitHub")</f>
        <v>[internal projects] Commit code to GitHub</v>
      </c>
      <c r="H28" t="str">
        <f>HYPERLINK("https://app.clickup.com/t/869474qb4", "[internal projects] Commit code to GitHub")</f>
        <v>[internal projects] Commit code to GitHub</v>
      </c>
      <c r="I28" t="str">
        <f>HYPERLINK("https://app.clickup.com/t/869atfeg3", "[freshdesk] 1375 FPM Look through results compared to Reg30 rounding differences")</f>
        <v>[freshdesk] 1375 FPM Look through results compared to Reg30 rounding differences</v>
      </c>
      <c r="J28" t="str">
        <f>HYPERLINK("https://app.clickup.com/t/869bd0zxj", "[freshdesk] 1430 Athena Connection Setup")</f>
        <v>[freshdesk] 1430 Athena Connection Setup</v>
      </c>
      <c r="K28" t="str">
        <f>HYPERLINK("https://app.clickup.com/t/8698jrq49", "[slipstream - data warehouse solution - git (productization)] Testing - data Audit processes")</f>
        <v>[slipstream - data warehouse solution - git (productization)] Testing - data Audit processes</v>
      </c>
      <c r="L28" t="str">
        <f>HYPERLINK("https://app.clickup.com/t/869a5344p", "[freshdesk] Documentation")</f>
        <v>[freshdesk] Documentation</v>
      </c>
      <c r="O28" t="str">
        <f>HYPERLINK("https://app.clickup.com/t/869474qb4", "[internal projects] Commit code to GitHub")</f>
        <v>[internal projects] Commit code to GitHub</v>
      </c>
      <c r="P28" t="str">
        <f>HYPERLINK("https://app.clickup.com/t/869bd6a0f", "[wonga: data warehouse development &amp; migration onto snowflake project] Dim_Funnel_Checks")</f>
        <v>[wonga: data warehouse development &amp; migration onto snowflake project] Dim_Funnel_Checks</v>
      </c>
      <c r="R28" t="str">
        <f>HYPERLINK("https://app.clickup.com/t/869bbt350", "[freshdesk] 1428 SSO Intergations for data connections within Alteryx")</f>
        <v>[freshdesk] 1428 SSO Intergations for data connections within Alteryx</v>
      </c>
    </row>
    <row r="29" spans="1:18" x14ac:dyDescent="0.3">
      <c r="B29" t="str">
        <f>HYPERLINK("https://app.clickup.com/t/8698jrq4e", "[slipstream - data warehouse solution - git (productization)] Support. Includes platform optimisation, query optimisation etc.")</f>
        <v>[slipstream - data warehouse solution - git (productization)] Support. Includes platform optimisation, query optimisation etc.</v>
      </c>
      <c r="C29" t="str">
        <f>HYPERLINK("https://app.clickup.com/t/8695qbamh", "[internal projects] Testing")</f>
        <v>[internal projects] Testing</v>
      </c>
      <c r="D29" t="str">
        <f>HYPERLINK("https://app.clickup.com/t/869474qb4", "[internal projects] Commit code to GitHub")</f>
        <v>[internal projects] Commit code to GitHub</v>
      </c>
      <c r="F29" t="str">
        <f>HYPERLINK("https://app.clickup.com/t/8698kwuqq", "[slipstream - data warehouse solution - git (productization)] Design and Build Costing reports in Snowflake")</f>
        <v>[slipstream - data warehouse solution - git (productization)] Design and Build Costing reports in Snowflake</v>
      </c>
      <c r="G29" t="str">
        <f>HYPERLINK("https://app.clickup.com/t/8696c93m9", "[discovery invest - dw maintenance] Change LAst_seed_Process = 2 for 7 tables")</f>
        <v>[discovery invest - dw maintenance] Change LAst_seed_Process = 2 for 7 tables</v>
      </c>
      <c r="H29" t="str">
        <f>HYPERLINK("https://app.clickup.com/t/862k4g368", "[internal projects] Integrate data to Tableau report")</f>
        <v>[internal projects] Integrate data to Tableau report</v>
      </c>
      <c r="I29" t="str">
        <f>HYPERLINK("https://app.clickup.com/t/869474qb4", "[internal projects] Commit code to GitHub")</f>
        <v>[internal projects] Commit code to GitHub</v>
      </c>
      <c r="J29" t="str">
        <f>HYPERLINK("https://app.clickup.com/t/8696q3a3m", "[internal projects] Team Skills")</f>
        <v>[internal projects] Team Skills</v>
      </c>
      <c r="K29" t="str">
        <f>HYPERLINK("https://app.clickup.com/t/8698jrq40", "[slipstream - data warehouse solution - git (productization)] Optimisation and Enhancemnets post testing")</f>
        <v>[slipstream - data warehouse solution - git (productization)] Optimisation and Enhancemnets post testing</v>
      </c>
      <c r="L29" t="str">
        <f>HYPERLINK("https://app.clickup.com/t/8698juq5h", "[slipstream - data warehouse solution - git (productization)] Build the PowerBI reports for monitoring data Lake progress")</f>
        <v>[slipstream - data warehouse solution - git (productization)] Build the PowerBI reports for monitoring data Lake progress</v>
      </c>
      <c r="O29" t="str">
        <f>HYPERLINK("https://app.clickup.com/t/869a9nmh7", "[om: fatca 2.0 design implementation project (jira tasks)] CDC-2626 Setup Non-prod and Prod space on Alteryx Servers")</f>
        <v>[om: fatca 2.0 design implementation project (jira tasks)] CDC-2626 Setup Non-prod and Prod space on Alteryx Servers</v>
      </c>
      <c r="R29" t="str">
        <f>HYPERLINK("https://app.clickup.com/t/869b88fev", "[freshdesk] 1421 OTIF Schedule date changes")</f>
        <v>[freshdesk] 1421 OTIF Schedule date changes</v>
      </c>
    </row>
    <row r="30" spans="1:18" x14ac:dyDescent="0.3">
      <c r="B30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  <c r="C30" t="str">
        <f>HYPERLINK("https://app.clickup.com/t/869474qb4", "[internal projects] Commit code to GitHub")</f>
        <v>[internal projects] Commit code to GitHub</v>
      </c>
      <c r="F30" t="str">
        <f>HYPERLINK("https://app.clickup.com/t/8698jrxaj", "[slipstream - data warehouse solution - git (productization)] Snowflake Setup and Configuration")</f>
        <v>[slipstream - data warehouse solution - git (productization)] Snowflake Setup and Configuration</v>
      </c>
      <c r="H30" t="str">
        <f>HYPERLINK("https://app.clickup.com/t/86931cq82", "[certification] Alteryx")</f>
        <v>[certification] Alteryx</v>
      </c>
      <c r="J30" t="str">
        <f>HYPERLINK("https://app.clickup.com/t/8696kqh8k", "[internal projects] Tableau server Microsoft Teams app set up")</f>
        <v>[internal projects] Tableau server Microsoft Teams app set up</v>
      </c>
      <c r="K30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  <c r="L30" t="str">
        <f>HYPERLINK("https://app.clickup.com/t/8698jupt0", "[slipstream - data warehouse solution - git (productization)] Build the PowerBI reports for monitoring data Stage progress")</f>
        <v>[slipstream - data warehouse solution - git (productization)] Build the PowerBI reports for monitoring data Stage progress</v>
      </c>
      <c r="O30" t="str">
        <f>HYPERLINK("https://app.clickup.com/t/869a6vnq6", "[om: fatca 2.0 design implementation project (jira tasks)] CDC-2757 Market Conduct: Provide time estimates for deliverables")</f>
        <v>[om: fatca 2.0 design implementation project (jira tasks)] CDC-2757 Market Conduct: Provide time estimates for deliverables</v>
      </c>
      <c r="R30" t="str">
        <f>HYPERLINK("https://app.clickup.com/t/8698jrq49", "[slipstream - data warehouse solution - git (productization)] Testing - data Audit processes")</f>
        <v>[slipstream - data warehouse solution - git (productization)] Testing - data Audit processes</v>
      </c>
    </row>
    <row r="31" spans="1:18" x14ac:dyDescent="0.3">
      <c r="B31" t="str">
        <f>HYPERLINK("https://app.clickup.com/t/869474qb4", "[internal projects] Commit code to GitHub")</f>
        <v>[internal projects] Commit code to GitHub</v>
      </c>
      <c r="C31" t="str">
        <f>HYPERLINK("https://app.clickup.com/t/862k18nwr", "[internal projects] SLA performance for each customer")</f>
        <v>[internal projects] SLA performance for each customer</v>
      </c>
      <c r="F31" t="str">
        <f>HYPERLINK("https://app.clickup.com/t/8698jrq40", "[slipstream - data warehouse solution - git (productization)] Optimisation and Enhancemnets post testing")</f>
        <v>[slipstream - data warehouse solution - git (productization)] Optimisation and Enhancemnets post testing</v>
      </c>
      <c r="J31" t="str">
        <f>HYPERLINK("https://app.clickup.com/t/869474qb4", "[internal projects] Commit code to GitHub")</f>
        <v>[internal projects] Commit code to GitHub</v>
      </c>
      <c r="K31" t="str">
        <f>HYPERLINK("https://app.clickup.com/t/869474qb4", "[internal projects] Commit code to GitHub")</f>
        <v>[internal projects] Commit code to GitHub</v>
      </c>
      <c r="L31" t="str">
        <f>HYPERLINK("https://app.clickup.com/t/8698jrq3g", "[slipstream - data warehouse solution - git (productization)] Orchestration")</f>
        <v>[slipstream - data warehouse solution - git (productization)] Orchestration</v>
      </c>
      <c r="O31" t="str">
        <f>HYPERLINK("https://app.clickup.com/t/869a1x6nk", "[om: fatca 2.0 design implementation project (jira tasks)] CDC-2062 Highlight where field values do not map to static reference tables in the raw schema")</f>
        <v>[om: fatca 2.0 design implementation project (jira tasks)] CDC-2062 Highlight where field values do not map to static reference tables in the raw schema</v>
      </c>
      <c r="R31" t="str">
        <f>HYPERLINK("https://app.clickup.com/t/8698jrq3g", "[slipstream - data warehouse solution - git (productization)] Orchestration")</f>
        <v>[slipstream - data warehouse solution - git (productization)] Orchestration</v>
      </c>
    </row>
    <row r="32" spans="1:18" x14ac:dyDescent="0.3">
      <c r="C32" t="str">
        <f>HYPERLINK("https://app.clickup.com/t/8694x2b1k", "[certification] Alteryx Designer Advanced")</f>
        <v>[certification] Alteryx Designer Advanced</v>
      </c>
      <c r="F32" t="str">
        <f>HYPERLINK("https://app.clickup.com/t/869474qb4", "[internal projects] Commit code to GitHub")</f>
        <v>[internal projects] Commit code to GitHub</v>
      </c>
      <c r="J32" t="str">
        <f>HYPERLINK("https://app.clickup.com/t/8698rmb2r", "[certification] AWS Certified Solutions Architect - Associate")</f>
        <v>[certification] AWS Certified Solutions Architect - Associate</v>
      </c>
      <c r="K32" t="str">
        <f>HYPERLINK("https://app.clickup.com/t/86971xvd4", "[discovery invest - dw maintenance] Run the file extracts")</f>
        <v>[discovery invest - dw maintenance] Run the file extracts</v>
      </c>
      <c r="O32" t="str">
        <f>HYPERLINK("https://app.clickup.com/t/869a1bu7g", "[om: fatca 2.0 design implementation project (jira tasks)] CDC-2563 Business Rule - Tax Free investments")</f>
        <v>[om: fatca 2.0 design implementation project (jira tasks)] CDC-2563 Business Rule - Tax Free investments</v>
      </c>
      <c r="R32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</row>
    <row r="33" spans="6:18" x14ac:dyDescent="0.3">
      <c r="F33" t="str">
        <f>HYPERLINK("https://app.clickup.com/t/86931cq56", "[certification] Snowflake")</f>
        <v>[certification] Snowflake</v>
      </c>
      <c r="K33" t="str">
        <f>HYPERLINK("https://app.clickup.com/t/86971xv4x", "[discovery invest - dw maintenance] Validating the marts")</f>
        <v>[discovery invest - dw maintenance] Validating the marts</v>
      </c>
      <c r="O33" t="str">
        <f>HYPERLINK("https://app.clickup.com/t/869a01gfm", "[om: fatca 2.0 design implementation project (jira tasks)] CDC-2509 Investigate subset where controlling person and entity has different entity_ids")</f>
        <v>[om: fatca 2.0 design implementation project (jira tasks)] CDC-2509 Investigate subset where controlling person and entity has different entity_ids</v>
      </c>
      <c r="R33" t="str">
        <f>HYPERLINK("https://app.clickup.com/t/869ag79ab", "[internal projects] Test Framework UAT doc")</f>
        <v>[internal projects] Test Framework UAT doc</v>
      </c>
    </row>
    <row r="34" spans="6:18" x14ac:dyDescent="0.3">
      <c r="K34" t="str">
        <f>HYPERLINK("https://app.clickup.com/t/86971xv04", "[discovery invest - dw maintenance] Run mart code")</f>
        <v>[discovery invest - dw maintenance] Run mart code</v>
      </c>
      <c r="O34" t="str">
        <f>HYPERLINK("https://app.clickup.com/t/8699yvvh7", "[om: fatca 2.0 design implementation project (jira tasks)] CDC-2560 SARS TPAH Template Update the rule to avoid referencing the database table")</f>
        <v>[om: fatca 2.0 design implementation project (jira tasks)] CDC-2560 SARS TPAH Template Update the rule to avoid referencing the database table</v>
      </c>
      <c r="R34" t="str">
        <f>HYPERLINK("https://app.clickup.com/t/869a70f9p", "[internal projects] Billed VS Invoiced VS SLA")</f>
        <v>[internal projects] Billed VS Invoiced VS SLA</v>
      </c>
    </row>
    <row r="35" spans="6:18" x14ac:dyDescent="0.3">
      <c r="K35" t="str">
        <f>HYPERLINK("https://app.clickup.com/t/86971xur8", "[discovery invest - dw maintenance] Run implied deletes code")</f>
        <v>[discovery invest - dw maintenance] Run implied deletes code</v>
      </c>
      <c r="O35" t="str">
        <f>HYPERLINK("https://app.clickup.com/t/8699yvveh", "[om: fatca 2.0 design implementation project (jira tasks)] CDC-2559 SARS TPAH Template Remove all spaces and special characters")</f>
        <v>[om: fatca 2.0 design implementation project (jira tasks)] CDC-2559 SARS TPAH Template Remove all spaces and special characters</v>
      </c>
      <c r="R35" t="str">
        <f>HYPERLINK("https://app.clickup.com/t/8697xudfa", "[internal projects] Income statement dashboard")</f>
        <v>[internal projects] Income statement dashboard</v>
      </c>
    </row>
    <row r="36" spans="6:18" x14ac:dyDescent="0.3">
      <c r="K36" t="str">
        <f>HYPERLINK("https://app.clickup.com/t/86971xtt3", "[discovery invest - dw maintenance] Validating the DWH")</f>
        <v>[discovery invest - dw maintenance] Validating the DWH</v>
      </c>
      <c r="R36" t="str">
        <f>HYPERLINK("https://app.clickup.com/t/8697t8mu2", "[internal projects] Sales Dashboard Additional requirements")</f>
        <v>[internal projects] Sales Dashboard Additional requirements</v>
      </c>
    </row>
    <row r="37" spans="6:18" x14ac:dyDescent="0.3">
      <c r="O37" t="str">
        <f>HYPERLINK("https://app.clickup.com/t/8699yvuqh", "[om: fatca 2.0 design implementation project (jira tasks)] CDC-2555 Entities former COB")</f>
        <v>[om: fatca 2.0 design implementation project (jira tasks)] CDC-2555 Entities former COB</v>
      </c>
      <c r="R37" t="str">
        <f>HYPERLINK("https://app.clickup.com/t/8697my8gd", "[internal projects] Financial and Sales Dashboard enhancement")</f>
        <v>[internal projects] Financial and Sales Dashboard enhancement</v>
      </c>
    </row>
    <row r="38" spans="6:18" x14ac:dyDescent="0.3">
      <c r="O38" t="str">
        <f>HYPERLINK("https://app.clickup.com/t/8699yvtjg", "[om: fatca 2.0 design implementation project (jira tasks)] CDC-2553 Flexcube SARS Templates - rename the RFI to source system code at scheme level")</f>
        <v>[om: fatca 2.0 design implementation project (jira tasks)] CDC-2553 Flexcube SARS Templates - rename the RFI to source system code at scheme level</v>
      </c>
      <c r="R38" t="str">
        <f>HYPERLINK("https://app.clickup.com/t/8696yar98", "[internal projects] Resource Utilization Dashboard Refinements")</f>
        <v>[internal projects] Resource Utilization Dashboard Refinements</v>
      </c>
    </row>
    <row r="39" spans="6:18" x14ac:dyDescent="0.3">
      <c r="O39" t="str">
        <f>HYPERLINK("https://app.clickup.com/t/8699yvruw", "[om: fatca 2.0 design implementation project (jira tasks)] CDC-2561 Diminmus rules to be applied at scheme level and not at OMUT level")</f>
        <v>[om: fatca 2.0 design implementation project (jira tasks)] CDC-2561 Diminmus rules to be applied at scheme level and not at OMUT level</v>
      </c>
      <c r="R39" t="str">
        <f>HYPERLINK("https://app.clickup.com/t/8696u6wyy", "[internal projects] Alteryx Server SLA Report process")</f>
        <v>[internal projects] Alteryx Server SLA Report process</v>
      </c>
    </row>
    <row r="40" spans="6:18" x14ac:dyDescent="0.3">
      <c r="O40" t="str">
        <f>HYPERLINK("https://app.clickup.com/t/8699yvra6", "[om: fatca 2.0 design implementation project (jira tasks)] CDC-2554 Entities COB")</f>
        <v>[om: fatca 2.0 design implementation project (jira tasks)] CDC-2554 Entities COB</v>
      </c>
      <c r="R40" t="str">
        <f>HYPERLINK("https://app.clickup.com/t/8695mj63r", "[internal projects] Shoprite B2B SLA Document")</f>
        <v>[internal projects] Shoprite B2B SLA Document</v>
      </c>
    </row>
    <row r="41" spans="6:18" x14ac:dyDescent="0.3">
      <c r="R41" t="str">
        <f>HYPERLINK("https://app.clickup.com/t/869474qb4", "[internal projects] Commit code to GitHub")</f>
        <v>[internal projects] Commit code to GitHub</v>
      </c>
    </row>
    <row r="42" spans="6:18" x14ac:dyDescent="0.3">
      <c r="R42" t="str">
        <f>HYPERLINK("https://app.clickup.com/t/869agp147", "[certification] Snowflake Sales Professional")</f>
        <v>[certification] Snowflake Sales Professional</v>
      </c>
    </row>
    <row r="43" spans="6:18" x14ac:dyDescent="0.3">
      <c r="R43" t="str">
        <f>HYPERLINK("https://app.clickup.com/t/869agp0uz", "[certification] Snowflake Technical Sales Professional")</f>
        <v>[certification] Snowflake Technical Sales Professional</v>
      </c>
    </row>
    <row r="44" spans="6:18" x14ac:dyDescent="0.3">
      <c r="R44" t="str">
        <f>HYPERLINK("https://app.clickup.com/t/869af829t", "[certification] Salesforce Certified Agentforce Specialist")</f>
        <v>[certification] Salesforce Certified Agentforce Specialist</v>
      </c>
    </row>
    <row r="45" spans="6:18" x14ac:dyDescent="0.3">
      <c r="R45" t="str">
        <f>HYPERLINK("https://app.clickup.com/t/869ab9g7u", "[certification] AWS Data Engineer - Associate")</f>
        <v>[certification] AWS Data Engineer - Associate</v>
      </c>
    </row>
    <row r="46" spans="6:18" x14ac:dyDescent="0.3">
      <c r="R46" t="str">
        <f>HYPERLINK("https://app.clickup.com/t/869b6v0gh", "[om: fatca 2.0 design implementation project (jira tasks)] CDC-2562 Develop a Foreigners List dashboard")</f>
        <v>[om: fatca 2.0 design implementation project (jira tasks)] CDC-2562 Develop a Foreigners List dashboard</v>
      </c>
    </row>
    <row r="47" spans="6:18" x14ac:dyDescent="0.3">
      <c r="R47" t="str">
        <f>HYPERLINK("https://app.clickup.com/t/869ax6j44", "[om: fatca 2.0 design implementation project (jira tasks)] Titanium Reports")</f>
        <v>[om: fatca 2.0 design implementation project (jira tasks)] Titanium Reports</v>
      </c>
    </row>
    <row r="48" spans="6:18" x14ac:dyDescent="0.3">
      <c r="R48" t="str">
        <f>HYPERLINK("https://app.clickup.com/t/869ax6j0z", "[om: fatca 2.0 design implementation project (jira tasks)] CDC-3034-aws-s3-bucket-investigation")</f>
        <v>[om: fatca 2.0 design implementation project (jira tasks)] CDC-3034-aws-s3-bucket-investigation</v>
      </c>
    </row>
    <row r="49" spans="18:18" x14ac:dyDescent="0.3">
      <c r="R49" t="str">
        <f>HYPERLINK("https://app.clickup.com/t/869avjm5f", "[om: fatca 2.0 design implementation project (jira tasks)] CBR Quarterly Run")</f>
        <v>[om: fatca 2.0 design implementation project (jira tasks)] CBR Quarterly Run</v>
      </c>
    </row>
    <row r="50" spans="18:18" x14ac:dyDescent="0.3">
      <c r="R50" t="str">
        <f>HYPERLINK("https://app.clickup.com/t/869auvvmp", "[om: fatca 2.0 design implementation project (jira tasks)] Advisor Recon Report Manual Run")</f>
        <v>[om: fatca 2.0 design implementation project (jira tasks)] Advisor Recon Report Manual Run</v>
      </c>
    </row>
    <row r="51" spans="18:18" x14ac:dyDescent="0.3">
      <c r="R51" t="str">
        <f>HYPERLINK("https://app.clickup.com/t/869arkz3a", "[om: fatca 2.0 design implementation project (jira tasks)] CDC-2914 Create Test Cases Cura Reg Change (Framework) Dashboard")</f>
        <v>[om: fatca 2.0 design implementation project (jira tasks)] CDC-2914 Create Test Cases Cura Reg Change (Framework) Dashboard</v>
      </c>
    </row>
    <row r="52" spans="18:18" x14ac:dyDescent="0.3">
      <c r="R52" t="str">
        <f>HYPERLINK("https://app.clickup.com/t/869am7mt7", "[om: fatca 2.0 design implementation project (jira tasks)] CDC-2913 Cura Reg Change Dashboard Modifications")</f>
        <v>[om: fatca 2.0 design implementation project (jira tasks)] CDC-2913 Cura Reg Change Dashboard Modifications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52"/>
  <sheetViews>
    <sheetView workbookViewId="0"/>
  </sheetViews>
  <sheetFormatPr defaultRowHeight="14.4" x14ac:dyDescent="0.3"/>
  <cols>
    <col min="1" max="1" width="20" customWidth="1"/>
    <col min="2" max="4" width="50" customWidth="1"/>
    <col min="5" max="5" width="35" customWidth="1"/>
    <col min="6" max="12" width="50" customWidth="1"/>
    <col min="13" max="13" width="35" customWidth="1"/>
    <col min="14" max="16" width="50" customWidth="1"/>
    <col min="17" max="17" width="35" customWidth="1"/>
    <col min="18" max="18" width="50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</row>
    <row r="3" spans="1:17" x14ac:dyDescent="0.3">
      <c r="A3" t="s">
        <v>18</v>
      </c>
      <c r="B3" t="s">
        <v>43</v>
      </c>
      <c r="C3" t="s">
        <v>44</v>
      </c>
      <c r="D3" t="s">
        <v>44</v>
      </c>
      <c r="E3" t="s">
        <v>44</v>
      </c>
      <c r="F3" t="s">
        <v>44</v>
      </c>
      <c r="G3" t="s">
        <v>43</v>
      </c>
      <c r="H3" t="s">
        <v>44</v>
      </c>
      <c r="I3" t="s">
        <v>43</v>
      </c>
      <c r="J3" t="s">
        <v>44</v>
      </c>
      <c r="K3" t="s">
        <v>44</v>
      </c>
      <c r="L3" t="s">
        <v>44</v>
      </c>
      <c r="M3" t="s">
        <v>44</v>
      </c>
      <c r="N3" t="s">
        <v>44</v>
      </c>
      <c r="O3" t="s">
        <v>44</v>
      </c>
      <c r="P3" t="s">
        <v>44</v>
      </c>
      <c r="Q3" t="s">
        <v>44</v>
      </c>
    </row>
    <row r="4" spans="1:17" x14ac:dyDescent="0.3">
      <c r="A4" t="s">
        <v>19</v>
      </c>
      <c r="B4" t="s">
        <v>45</v>
      </c>
      <c r="E4" t="s">
        <v>46</v>
      </c>
      <c r="F4" t="s">
        <v>45</v>
      </c>
      <c r="L4" t="s">
        <v>47</v>
      </c>
      <c r="N4" t="s">
        <v>94</v>
      </c>
    </row>
    <row r="5" spans="1:17" x14ac:dyDescent="0.3">
      <c r="A5" t="s">
        <v>20</v>
      </c>
      <c r="B5" t="s">
        <v>45</v>
      </c>
      <c r="E5" t="s">
        <v>46</v>
      </c>
      <c r="F5" t="s">
        <v>45</v>
      </c>
      <c r="G5" t="s">
        <v>48</v>
      </c>
      <c r="L5" t="s">
        <v>47</v>
      </c>
      <c r="N5" t="s">
        <v>94</v>
      </c>
    </row>
    <row r="6" spans="1:17" x14ac:dyDescent="0.3">
      <c r="A6" t="s">
        <v>21</v>
      </c>
      <c r="B6" t="s">
        <v>45</v>
      </c>
      <c r="D6" t="s">
        <v>49</v>
      </c>
      <c r="E6" t="s">
        <v>46</v>
      </c>
      <c r="F6" t="s">
        <v>45</v>
      </c>
      <c r="G6" t="s">
        <v>48</v>
      </c>
      <c r="J6" t="s">
        <v>49</v>
      </c>
      <c r="L6" t="s">
        <v>47</v>
      </c>
      <c r="N6" t="s">
        <v>45</v>
      </c>
    </row>
    <row r="7" spans="1:17" x14ac:dyDescent="0.3">
      <c r="A7" t="s">
        <v>22</v>
      </c>
      <c r="E7" t="s">
        <v>46</v>
      </c>
      <c r="L7" t="s">
        <v>47</v>
      </c>
    </row>
    <row r="8" spans="1:17" x14ac:dyDescent="0.3">
      <c r="A8" t="s">
        <v>23</v>
      </c>
      <c r="E8" t="s">
        <v>46</v>
      </c>
      <c r="G8" t="s">
        <v>51</v>
      </c>
      <c r="Q8" t="s">
        <v>52</v>
      </c>
    </row>
    <row r="9" spans="1:17" x14ac:dyDescent="0.3">
      <c r="A9" t="s">
        <v>24</v>
      </c>
      <c r="D9" t="s">
        <v>95</v>
      </c>
      <c r="E9" t="s">
        <v>46</v>
      </c>
      <c r="G9" t="s">
        <v>51</v>
      </c>
      <c r="I9" t="s">
        <v>96</v>
      </c>
      <c r="Q9" t="s">
        <v>52</v>
      </c>
    </row>
    <row r="10" spans="1:17" x14ac:dyDescent="0.3">
      <c r="A10" t="s">
        <v>25</v>
      </c>
      <c r="C10" t="s">
        <v>97</v>
      </c>
      <c r="E10" t="s">
        <v>46</v>
      </c>
      <c r="G10" t="s">
        <v>53</v>
      </c>
      <c r="H10" t="s">
        <v>54</v>
      </c>
      <c r="Q10" t="s">
        <v>52</v>
      </c>
    </row>
    <row r="11" spans="1:17" x14ac:dyDescent="0.3">
      <c r="A11" t="s">
        <v>26</v>
      </c>
      <c r="E11" t="s">
        <v>98</v>
      </c>
      <c r="G11" t="s">
        <v>55</v>
      </c>
      <c r="H11" t="s">
        <v>54</v>
      </c>
      <c r="Q11" t="s">
        <v>52</v>
      </c>
    </row>
    <row r="12" spans="1:17" x14ac:dyDescent="0.3">
      <c r="A12" t="s">
        <v>27</v>
      </c>
      <c r="G12" t="s">
        <v>55</v>
      </c>
      <c r="H12" t="s">
        <v>54</v>
      </c>
      <c r="Q12" t="s">
        <v>52</v>
      </c>
    </row>
    <row r="13" spans="1:17" x14ac:dyDescent="0.3">
      <c r="A13" t="s">
        <v>28</v>
      </c>
      <c r="F13" t="s">
        <v>99</v>
      </c>
      <c r="G13" t="s">
        <v>55</v>
      </c>
      <c r="H13" t="s">
        <v>54</v>
      </c>
      <c r="Q13" t="s">
        <v>58</v>
      </c>
    </row>
    <row r="14" spans="1:17" x14ac:dyDescent="0.3">
      <c r="A14" t="s">
        <v>29</v>
      </c>
      <c r="E14" t="s">
        <v>46</v>
      </c>
      <c r="G14" t="s">
        <v>100</v>
      </c>
      <c r="Q14" t="s">
        <v>58</v>
      </c>
    </row>
    <row r="15" spans="1:17" x14ac:dyDescent="0.3">
      <c r="A15" t="s">
        <v>30</v>
      </c>
      <c r="E15" t="s">
        <v>46</v>
      </c>
      <c r="Q15" t="s">
        <v>58</v>
      </c>
    </row>
    <row r="16" spans="1:17" x14ac:dyDescent="0.3">
      <c r="A16" t="s">
        <v>31</v>
      </c>
      <c r="E16" t="s">
        <v>46</v>
      </c>
      <c r="I16" t="s">
        <v>101</v>
      </c>
    </row>
    <row r="17" spans="1:18" x14ac:dyDescent="0.3">
      <c r="A17" t="s">
        <v>32</v>
      </c>
      <c r="E17" t="s">
        <v>46</v>
      </c>
      <c r="I17" t="s">
        <v>101</v>
      </c>
    </row>
    <row r="18" spans="1:18" x14ac:dyDescent="0.3">
      <c r="A18" t="s">
        <v>33</v>
      </c>
      <c r="L18" t="s">
        <v>65</v>
      </c>
      <c r="Q18" t="s">
        <v>66</v>
      </c>
    </row>
    <row r="19" spans="1:18" x14ac:dyDescent="0.3">
      <c r="A19" t="s">
        <v>34</v>
      </c>
      <c r="L19" t="s">
        <v>65</v>
      </c>
      <c r="Q19" t="s">
        <v>66</v>
      </c>
    </row>
    <row r="20" spans="1:18" x14ac:dyDescent="0.3">
      <c r="A20" t="s">
        <v>35</v>
      </c>
    </row>
    <row r="21" spans="1:18" x14ac:dyDescent="0.3">
      <c r="A21" t="s">
        <v>36</v>
      </c>
    </row>
    <row r="24" spans="1:18" x14ac:dyDescent="0.3">
      <c r="A24" t="s">
        <v>37</v>
      </c>
      <c r="B24">
        <f t="shared" ref="B24:Q24" si="0">ROUND(COUNTIF(B2:B19,"&lt;&gt;")/18,4)</f>
        <v>0.22220000000000001</v>
      </c>
      <c r="C24">
        <f t="shared" si="0"/>
        <v>0.1111</v>
      </c>
      <c r="D24">
        <f t="shared" si="0"/>
        <v>0.16669999999999999</v>
      </c>
      <c r="E24">
        <f t="shared" si="0"/>
        <v>0.72219999999999995</v>
      </c>
      <c r="F24">
        <f t="shared" si="0"/>
        <v>0.27779999999999999</v>
      </c>
      <c r="G24">
        <f t="shared" si="0"/>
        <v>0.55559999999999998</v>
      </c>
      <c r="H24">
        <f t="shared" si="0"/>
        <v>0.27779999999999999</v>
      </c>
      <c r="I24">
        <f t="shared" si="0"/>
        <v>0.22220000000000001</v>
      </c>
      <c r="J24">
        <f t="shared" si="0"/>
        <v>0.1111</v>
      </c>
      <c r="K24">
        <f t="shared" si="0"/>
        <v>5.5599999999999997E-2</v>
      </c>
      <c r="L24">
        <f t="shared" si="0"/>
        <v>0.38890000000000002</v>
      </c>
      <c r="M24">
        <f t="shared" si="0"/>
        <v>5.5599999999999997E-2</v>
      </c>
      <c r="N24">
        <f t="shared" si="0"/>
        <v>0.22220000000000001</v>
      </c>
      <c r="O24">
        <f t="shared" si="0"/>
        <v>5.5599999999999997E-2</v>
      </c>
      <c r="P24">
        <f t="shared" si="0"/>
        <v>5.5599999999999997E-2</v>
      </c>
      <c r="Q24">
        <f t="shared" si="0"/>
        <v>0.61109999999999998</v>
      </c>
    </row>
    <row r="27" spans="1:18" x14ac:dyDescent="0.3">
      <c r="A27" t="s">
        <v>38</v>
      </c>
      <c r="B27" t="s">
        <v>39</v>
      </c>
      <c r="C27" t="s">
        <v>2</v>
      </c>
      <c r="D27" t="s">
        <v>3</v>
      </c>
      <c r="E27" t="s">
        <v>4</v>
      </c>
      <c r="F27" t="s">
        <v>40</v>
      </c>
      <c r="G27" t="s">
        <v>6</v>
      </c>
      <c r="H27" t="s">
        <v>7</v>
      </c>
      <c r="I27" t="s">
        <v>8</v>
      </c>
      <c r="J27" t="s">
        <v>9</v>
      </c>
      <c r="K27" t="s">
        <v>10</v>
      </c>
      <c r="L27" t="s">
        <v>11</v>
      </c>
      <c r="M27" t="s">
        <v>41</v>
      </c>
      <c r="N27" t="s">
        <v>13</v>
      </c>
      <c r="O27" t="s">
        <v>14</v>
      </c>
      <c r="P27" t="s">
        <v>15</v>
      </c>
      <c r="Q27" t="s">
        <v>16</v>
      </c>
      <c r="R27" t="s">
        <v>42</v>
      </c>
    </row>
    <row r="28" spans="1:18" x14ac:dyDescent="0.3">
      <c r="B28" t="str">
        <f>HYPERLINK("https://app.clickup.com/t/8698kwuqq", "[slipstream - data warehouse solution - git (productization)] Design and Build Costing reports in Snowflake")</f>
        <v>[slipstream - data warehouse solution - git (productization)] Design and Build Costing reports in Snowflake</v>
      </c>
      <c r="C28" t="str">
        <f>HYPERLINK("https://app.clickup.com/t/86995td5m", "[slipstream - data warehouse solution - git (productization)] Build the data deployment pipelines for DEV to QA")</f>
        <v>[slipstream - data warehouse solution - git (productization)] Build the data deployment pipelines for DEV to QA</v>
      </c>
      <c r="D28" t="str">
        <f>HYPERLINK("https://app.clickup.com/t/86995td5m", "[slipstream - data warehouse solution - git (productization)] Build the data deployment pipelines for DEV to QA")</f>
        <v>[slipstream - data warehouse solution - git (productization)] Build the data deployment pipelines for DEV to QA</v>
      </c>
      <c r="F28" t="str">
        <f>HYPERLINK("https://app.clickup.com/t/869a2knmy", "[slipstream - data warehouse solution - git (productization)] Create views as exploitation layer out of data lake")</f>
        <v>[slipstream - data warehouse solution - git (productization)] Create views as exploitation layer out of data lake</v>
      </c>
      <c r="G28" t="str">
        <f>HYPERLINK("https://app.clickup.com/t/869474qb4", "[internal projects] Commit code to GitHub")</f>
        <v>[internal projects] Commit code to GitHub</v>
      </c>
      <c r="H28" t="str">
        <f>HYPERLINK("https://app.clickup.com/t/869474qb4", "[internal projects] Commit code to GitHub")</f>
        <v>[internal projects] Commit code to GitHub</v>
      </c>
      <c r="I28" t="str">
        <f>HYPERLINK("https://app.clickup.com/t/869atfeg3", "[freshdesk] 1375 FPM Look through results compared to Reg30 rounding differences")</f>
        <v>[freshdesk] 1375 FPM Look through results compared to Reg30 rounding differences</v>
      </c>
      <c r="J28" t="str">
        <f>HYPERLINK("https://app.clickup.com/t/869bd0zxj", "[freshdesk] 1430 Athena Connection Setup")</f>
        <v>[freshdesk] 1430 Athena Connection Setup</v>
      </c>
      <c r="K28" t="str">
        <f>HYPERLINK("https://app.clickup.com/t/8698jrq49", "[slipstream - data warehouse solution - git (productization)] Testing - data Audit processes")</f>
        <v>[slipstream - data warehouse solution - git (productization)] Testing - data Audit processes</v>
      </c>
      <c r="L28" t="str">
        <f>HYPERLINK("https://app.clickup.com/t/869a5344p", "[freshdesk] Documentation")</f>
        <v>[freshdesk] Documentation</v>
      </c>
      <c r="O28" t="str">
        <f>HYPERLINK("https://app.clickup.com/t/869474qb4", "[internal projects] Commit code to GitHub")</f>
        <v>[internal projects] Commit code to GitHub</v>
      </c>
      <c r="P28" t="str">
        <f>HYPERLINK("https://app.clickup.com/t/869bd6a0f", "[wonga: data warehouse development &amp; migration onto snowflake project] Dim_Funnel_Checks")</f>
        <v>[wonga: data warehouse development &amp; migration onto snowflake project] Dim_Funnel_Checks</v>
      </c>
      <c r="R28" t="str">
        <f>HYPERLINK("https://app.clickup.com/t/869bbt350", "[freshdesk] 1428 SSO Intergations for data connections within Alteryx")</f>
        <v>[freshdesk] 1428 SSO Intergations for data connections within Alteryx</v>
      </c>
    </row>
    <row r="29" spans="1:18" x14ac:dyDescent="0.3">
      <c r="B29" t="str">
        <f>HYPERLINK("https://app.clickup.com/t/8698jrq4e", "[slipstream - data warehouse solution - git (productization)] Support. Includes platform optimisation, query optimisation etc.")</f>
        <v>[slipstream - data warehouse solution - git (productization)] Support. Includes platform optimisation, query optimisation etc.</v>
      </c>
      <c r="C29" t="str">
        <f>HYPERLINK("https://app.clickup.com/t/8695qbamh", "[internal projects] Testing")</f>
        <v>[internal projects] Testing</v>
      </c>
      <c r="D29" t="str">
        <f>HYPERLINK("https://app.clickup.com/t/869474qb4", "[internal projects] Commit code to GitHub")</f>
        <v>[internal projects] Commit code to GitHub</v>
      </c>
      <c r="F29" t="str">
        <f>HYPERLINK("https://app.clickup.com/t/8698kwuqq", "[slipstream - data warehouse solution - git (productization)] Design and Build Costing reports in Snowflake")</f>
        <v>[slipstream - data warehouse solution - git (productization)] Design and Build Costing reports in Snowflake</v>
      </c>
      <c r="G29" t="str">
        <f>HYPERLINK("https://app.clickup.com/t/8696c93m9", "[discovery invest - dw maintenance] Change LAst_seed_Process = 2 for 7 tables")</f>
        <v>[discovery invest - dw maintenance] Change LAst_seed_Process = 2 for 7 tables</v>
      </c>
      <c r="H29" t="str">
        <f>HYPERLINK("https://app.clickup.com/t/862k4g368", "[internal projects] Integrate data to Tableau report")</f>
        <v>[internal projects] Integrate data to Tableau report</v>
      </c>
      <c r="I29" t="str">
        <f>HYPERLINK("https://app.clickup.com/t/869474qb4", "[internal projects] Commit code to GitHub")</f>
        <v>[internal projects] Commit code to GitHub</v>
      </c>
      <c r="J29" t="str">
        <f>HYPERLINK("https://app.clickup.com/t/8696q3a3m", "[internal projects] Team Skills")</f>
        <v>[internal projects] Team Skills</v>
      </c>
      <c r="K29" t="str">
        <f>HYPERLINK("https://app.clickup.com/t/8698jrq40", "[slipstream - data warehouse solution - git (productization)] Optimisation and Enhancemnets post testing")</f>
        <v>[slipstream - data warehouse solution - git (productization)] Optimisation and Enhancemnets post testing</v>
      </c>
      <c r="L29" t="str">
        <f>HYPERLINK("https://app.clickup.com/t/8698juq5h", "[slipstream - data warehouse solution - git (productization)] Build the PowerBI reports for monitoring data Lake progress")</f>
        <v>[slipstream - data warehouse solution - git (productization)] Build the PowerBI reports for monitoring data Lake progress</v>
      </c>
      <c r="O29" t="str">
        <f>HYPERLINK("https://app.clickup.com/t/869a9nmh7", "[om: fatca 2.0 design implementation project (jira tasks)] CDC-2626 Setup Non-prod and Prod space on Alteryx Servers")</f>
        <v>[om: fatca 2.0 design implementation project (jira tasks)] CDC-2626 Setup Non-prod and Prod space on Alteryx Servers</v>
      </c>
      <c r="R29" t="str">
        <f>HYPERLINK("https://app.clickup.com/t/869b88fev", "[freshdesk] 1421 OTIF Schedule date changes")</f>
        <v>[freshdesk] 1421 OTIF Schedule date changes</v>
      </c>
    </row>
    <row r="30" spans="1:18" x14ac:dyDescent="0.3">
      <c r="B30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  <c r="C30" t="str">
        <f>HYPERLINK("https://app.clickup.com/t/869474qb4", "[internal projects] Commit code to GitHub")</f>
        <v>[internal projects] Commit code to GitHub</v>
      </c>
      <c r="F30" t="str">
        <f>HYPERLINK("https://app.clickup.com/t/8698jrxaj", "[slipstream - data warehouse solution - git (productization)] Snowflake Setup and Configuration")</f>
        <v>[slipstream - data warehouse solution - git (productization)] Snowflake Setup and Configuration</v>
      </c>
      <c r="H30" t="str">
        <f>HYPERLINK("https://app.clickup.com/t/86931cq82", "[certification] Alteryx")</f>
        <v>[certification] Alteryx</v>
      </c>
      <c r="J30" t="str">
        <f>HYPERLINK("https://app.clickup.com/t/8696kqh8k", "[internal projects] Tableau server Microsoft Teams app set up")</f>
        <v>[internal projects] Tableau server Microsoft Teams app set up</v>
      </c>
      <c r="K30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  <c r="L30" t="str">
        <f>HYPERLINK("https://app.clickup.com/t/8698jupt0", "[slipstream - data warehouse solution - git (productization)] Build the PowerBI reports for monitoring data Stage progress")</f>
        <v>[slipstream - data warehouse solution - git (productization)] Build the PowerBI reports for monitoring data Stage progress</v>
      </c>
      <c r="O30" t="str">
        <f>HYPERLINK("https://app.clickup.com/t/869a6vnq6", "[om: fatca 2.0 design implementation project (jira tasks)] CDC-2757 Market Conduct: Provide time estimates for deliverables")</f>
        <v>[om: fatca 2.0 design implementation project (jira tasks)] CDC-2757 Market Conduct: Provide time estimates for deliverables</v>
      </c>
      <c r="R30" t="str">
        <f>HYPERLINK("https://app.clickup.com/t/8698jrq49", "[slipstream - data warehouse solution - git (productization)] Testing - data Audit processes")</f>
        <v>[slipstream - data warehouse solution - git (productization)] Testing - data Audit processes</v>
      </c>
    </row>
    <row r="31" spans="1:18" x14ac:dyDescent="0.3">
      <c r="B31" t="str">
        <f>HYPERLINK("https://app.clickup.com/t/869474qb4", "[internal projects] Commit code to GitHub")</f>
        <v>[internal projects] Commit code to GitHub</v>
      </c>
      <c r="C31" t="str">
        <f>HYPERLINK("https://app.clickup.com/t/862k18nwr", "[internal projects] SLA performance for each customer")</f>
        <v>[internal projects] SLA performance for each customer</v>
      </c>
      <c r="F31" t="str">
        <f>HYPERLINK("https://app.clickup.com/t/8698jrq40", "[slipstream - data warehouse solution - git (productization)] Optimisation and Enhancemnets post testing")</f>
        <v>[slipstream - data warehouse solution - git (productization)] Optimisation and Enhancemnets post testing</v>
      </c>
      <c r="J31" t="str">
        <f>HYPERLINK("https://app.clickup.com/t/869474qb4", "[internal projects] Commit code to GitHub")</f>
        <v>[internal projects] Commit code to GitHub</v>
      </c>
      <c r="K31" t="str">
        <f>HYPERLINK("https://app.clickup.com/t/869474qb4", "[internal projects] Commit code to GitHub")</f>
        <v>[internal projects] Commit code to GitHub</v>
      </c>
      <c r="L31" t="str">
        <f>HYPERLINK("https://app.clickup.com/t/8698jrq3g", "[slipstream - data warehouse solution - git (productization)] Orchestration")</f>
        <v>[slipstream - data warehouse solution - git (productization)] Orchestration</v>
      </c>
      <c r="O31" t="str">
        <f>HYPERLINK("https://app.clickup.com/t/869a1x6nk", "[om: fatca 2.0 design implementation project (jira tasks)] CDC-2062 Highlight where field values do not map to static reference tables in the raw schema")</f>
        <v>[om: fatca 2.0 design implementation project (jira tasks)] CDC-2062 Highlight where field values do not map to static reference tables in the raw schema</v>
      </c>
      <c r="R31" t="str">
        <f>HYPERLINK("https://app.clickup.com/t/8698jrq3g", "[slipstream - data warehouse solution - git (productization)] Orchestration")</f>
        <v>[slipstream - data warehouse solution - git (productization)] Orchestration</v>
      </c>
    </row>
    <row r="32" spans="1:18" x14ac:dyDescent="0.3">
      <c r="C32" t="str">
        <f>HYPERLINK("https://app.clickup.com/t/8694x2b1k", "[certification] Alteryx Designer Advanced")</f>
        <v>[certification] Alteryx Designer Advanced</v>
      </c>
      <c r="F32" t="str">
        <f>HYPERLINK("https://app.clickup.com/t/869474qb4", "[internal projects] Commit code to GitHub")</f>
        <v>[internal projects] Commit code to GitHub</v>
      </c>
      <c r="J32" t="str">
        <f>HYPERLINK("https://app.clickup.com/t/8698rmb2r", "[certification] AWS Certified Solutions Architect - Associate")</f>
        <v>[certification] AWS Certified Solutions Architect - Associate</v>
      </c>
      <c r="K32" t="str">
        <f>HYPERLINK("https://app.clickup.com/t/86971xvd4", "[discovery invest - dw maintenance] Run the file extracts")</f>
        <v>[discovery invest - dw maintenance] Run the file extracts</v>
      </c>
      <c r="O32" t="str">
        <f>HYPERLINK("https://app.clickup.com/t/869a1bu7g", "[om: fatca 2.0 design implementation project (jira tasks)] CDC-2563 Business Rule - Tax Free investments")</f>
        <v>[om: fatca 2.0 design implementation project (jira tasks)] CDC-2563 Business Rule - Tax Free investments</v>
      </c>
      <c r="R32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</row>
    <row r="33" spans="6:18" x14ac:dyDescent="0.3">
      <c r="F33" t="str">
        <f>HYPERLINK("https://app.clickup.com/t/86931cq56", "[certification] Snowflake")</f>
        <v>[certification] Snowflake</v>
      </c>
      <c r="K33" t="str">
        <f>HYPERLINK("https://app.clickup.com/t/86971xv4x", "[discovery invest - dw maintenance] Validating the marts")</f>
        <v>[discovery invest - dw maintenance] Validating the marts</v>
      </c>
      <c r="O33" t="str">
        <f>HYPERLINK("https://app.clickup.com/t/869a01gfm", "[om: fatca 2.0 design implementation project (jira tasks)] CDC-2509 Investigate subset where controlling person and entity has different entity_ids")</f>
        <v>[om: fatca 2.0 design implementation project (jira tasks)] CDC-2509 Investigate subset where controlling person and entity has different entity_ids</v>
      </c>
      <c r="R33" t="str">
        <f>HYPERLINK("https://app.clickup.com/t/869ag79ab", "[internal projects] Test Framework UAT doc")</f>
        <v>[internal projects] Test Framework UAT doc</v>
      </c>
    </row>
    <row r="34" spans="6:18" x14ac:dyDescent="0.3">
      <c r="K34" t="str">
        <f>HYPERLINK("https://app.clickup.com/t/86971xv04", "[discovery invest - dw maintenance] Run mart code")</f>
        <v>[discovery invest - dw maintenance] Run mart code</v>
      </c>
      <c r="O34" t="str">
        <f>HYPERLINK("https://app.clickup.com/t/8699yvvh7", "[om: fatca 2.0 design implementation project (jira tasks)] CDC-2560 SARS TPAH Template Update the rule to avoid referencing the database table")</f>
        <v>[om: fatca 2.0 design implementation project (jira tasks)] CDC-2560 SARS TPAH Template Update the rule to avoid referencing the database table</v>
      </c>
      <c r="R34" t="str">
        <f>HYPERLINK("https://app.clickup.com/t/869a70f9p", "[internal projects] Billed VS Invoiced VS SLA")</f>
        <v>[internal projects] Billed VS Invoiced VS SLA</v>
      </c>
    </row>
    <row r="35" spans="6:18" x14ac:dyDescent="0.3">
      <c r="K35" t="str">
        <f>HYPERLINK("https://app.clickup.com/t/86971xur8", "[discovery invest - dw maintenance] Run implied deletes code")</f>
        <v>[discovery invest - dw maintenance] Run implied deletes code</v>
      </c>
      <c r="O35" t="str">
        <f>HYPERLINK("https://app.clickup.com/t/8699yvveh", "[om: fatca 2.0 design implementation project (jira tasks)] CDC-2559 SARS TPAH Template Remove all spaces and special characters")</f>
        <v>[om: fatca 2.0 design implementation project (jira tasks)] CDC-2559 SARS TPAH Template Remove all spaces and special characters</v>
      </c>
      <c r="R35" t="str">
        <f>HYPERLINK("https://app.clickup.com/t/8697xudfa", "[internal projects] Income statement dashboard")</f>
        <v>[internal projects] Income statement dashboard</v>
      </c>
    </row>
    <row r="36" spans="6:18" x14ac:dyDescent="0.3">
      <c r="K36" t="str">
        <f>HYPERLINK("https://app.clickup.com/t/86971xtt3", "[discovery invest - dw maintenance] Validating the DWH")</f>
        <v>[discovery invest - dw maintenance] Validating the DWH</v>
      </c>
      <c r="R36" t="str">
        <f>HYPERLINK("https://app.clickup.com/t/8697t8mu2", "[internal projects] Sales Dashboard Additional requirements")</f>
        <v>[internal projects] Sales Dashboard Additional requirements</v>
      </c>
    </row>
    <row r="37" spans="6:18" x14ac:dyDescent="0.3">
      <c r="O37" t="str">
        <f>HYPERLINK("https://app.clickup.com/t/8699yvuqh", "[om: fatca 2.0 design implementation project (jira tasks)] CDC-2555 Entities former COB")</f>
        <v>[om: fatca 2.0 design implementation project (jira tasks)] CDC-2555 Entities former COB</v>
      </c>
      <c r="R37" t="str">
        <f>HYPERLINK("https://app.clickup.com/t/8697my8gd", "[internal projects] Financial and Sales Dashboard enhancement")</f>
        <v>[internal projects] Financial and Sales Dashboard enhancement</v>
      </c>
    </row>
    <row r="38" spans="6:18" x14ac:dyDescent="0.3">
      <c r="O38" t="str">
        <f>HYPERLINK("https://app.clickup.com/t/8699yvtjg", "[om: fatca 2.0 design implementation project (jira tasks)] CDC-2553 Flexcube SARS Templates - rename the RFI to source system code at scheme level")</f>
        <v>[om: fatca 2.0 design implementation project (jira tasks)] CDC-2553 Flexcube SARS Templates - rename the RFI to source system code at scheme level</v>
      </c>
      <c r="R38" t="str">
        <f>HYPERLINK("https://app.clickup.com/t/8696yar98", "[internal projects] Resource Utilization Dashboard Refinements")</f>
        <v>[internal projects] Resource Utilization Dashboard Refinements</v>
      </c>
    </row>
    <row r="39" spans="6:18" x14ac:dyDescent="0.3">
      <c r="O39" t="str">
        <f>HYPERLINK("https://app.clickup.com/t/8699yvruw", "[om: fatca 2.0 design implementation project (jira tasks)] CDC-2561 Diminmus rules to be applied at scheme level and not at OMUT level")</f>
        <v>[om: fatca 2.0 design implementation project (jira tasks)] CDC-2561 Diminmus rules to be applied at scheme level and not at OMUT level</v>
      </c>
      <c r="R39" t="str">
        <f>HYPERLINK("https://app.clickup.com/t/8696u6wyy", "[internal projects] Alteryx Server SLA Report process")</f>
        <v>[internal projects] Alteryx Server SLA Report process</v>
      </c>
    </row>
    <row r="40" spans="6:18" x14ac:dyDescent="0.3">
      <c r="O40" t="str">
        <f>HYPERLINK("https://app.clickup.com/t/8699yvra6", "[om: fatca 2.0 design implementation project (jira tasks)] CDC-2554 Entities COB")</f>
        <v>[om: fatca 2.0 design implementation project (jira tasks)] CDC-2554 Entities COB</v>
      </c>
      <c r="R40" t="str">
        <f>HYPERLINK("https://app.clickup.com/t/8695mj63r", "[internal projects] Shoprite B2B SLA Document")</f>
        <v>[internal projects] Shoprite B2B SLA Document</v>
      </c>
    </row>
    <row r="41" spans="6:18" x14ac:dyDescent="0.3">
      <c r="R41" t="str">
        <f>HYPERLINK("https://app.clickup.com/t/869474qb4", "[internal projects] Commit code to GitHub")</f>
        <v>[internal projects] Commit code to GitHub</v>
      </c>
    </row>
    <row r="42" spans="6:18" x14ac:dyDescent="0.3">
      <c r="R42" t="str">
        <f>HYPERLINK("https://app.clickup.com/t/869agp147", "[certification] Snowflake Sales Professional")</f>
        <v>[certification] Snowflake Sales Professional</v>
      </c>
    </row>
    <row r="43" spans="6:18" x14ac:dyDescent="0.3">
      <c r="R43" t="str">
        <f>HYPERLINK("https://app.clickup.com/t/869agp0uz", "[certification] Snowflake Technical Sales Professional")</f>
        <v>[certification] Snowflake Technical Sales Professional</v>
      </c>
    </row>
    <row r="44" spans="6:18" x14ac:dyDescent="0.3">
      <c r="R44" t="str">
        <f>HYPERLINK("https://app.clickup.com/t/869af829t", "[certification] Salesforce Certified Agentforce Specialist")</f>
        <v>[certification] Salesforce Certified Agentforce Specialist</v>
      </c>
    </row>
    <row r="45" spans="6:18" x14ac:dyDescent="0.3">
      <c r="R45" t="str">
        <f>HYPERLINK("https://app.clickup.com/t/869ab9g7u", "[certification] AWS Data Engineer - Associate")</f>
        <v>[certification] AWS Data Engineer - Associate</v>
      </c>
    </row>
    <row r="46" spans="6:18" x14ac:dyDescent="0.3">
      <c r="R46" t="str">
        <f>HYPERLINK("https://app.clickup.com/t/869b6v0gh", "[om: fatca 2.0 design implementation project (jira tasks)] CDC-2562 Develop a Foreigners List dashboard")</f>
        <v>[om: fatca 2.0 design implementation project (jira tasks)] CDC-2562 Develop a Foreigners List dashboard</v>
      </c>
    </row>
    <row r="47" spans="6:18" x14ac:dyDescent="0.3">
      <c r="R47" t="str">
        <f>HYPERLINK("https://app.clickup.com/t/869ax6j44", "[om: fatca 2.0 design implementation project (jira tasks)] Titanium Reports")</f>
        <v>[om: fatca 2.0 design implementation project (jira tasks)] Titanium Reports</v>
      </c>
    </row>
    <row r="48" spans="6:18" x14ac:dyDescent="0.3">
      <c r="R48" t="str">
        <f>HYPERLINK("https://app.clickup.com/t/869ax6j0z", "[om: fatca 2.0 design implementation project (jira tasks)] CDC-3034-aws-s3-bucket-investigation")</f>
        <v>[om: fatca 2.0 design implementation project (jira tasks)] CDC-3034-aws-s3-bucket-investigation</v>
      </c>
    </row>
    <row r="49" spans="18:18" x14ac:dyDescent="0.3">
      <c r="R49" t="str">
        <f>HYPERLINK("https://app.clickup.com/t/869avjm5f", "[om: fatca 2.0 design implementation project (jira tasks)] CBR Quarterly Run")</f>
        <v>[om: fatca 2.0 design implementation project (jira tasks)] CBR Quarterly Run</v>
      </c>
    </row>
    <row r="50" spans="18:18" x14ac:dyDescent="0.3">
      <c r="R50" t="str">
        <f>HYPERLINK("https://app.clickup.com/t/869auvvmp", "[om: fatca 2.0 design implementation project (jira tasks)] Advisor Recon Report Manual Run")</f>
        <v>[om: fatca 2.0 design implementation project (jira tasks)] Advisor Recon Report Manual Run</v>
      </c>
    </row>
    <row r="51" spans="18:18" x14ac:dyDescent="0.3">
      <c r="R51" t="str">
        <f>HYPERLINK("https://app.clickup.com/t/869arkz3a", "[om: fatca 2.0 design implementation project (jira tasks)] CDC-2914 Create Test Cases Cura Reg Change (Framework) Dashboard")</f>
        <v>[om: fatca 2.0 design implementation project (jira tasks)] CDC-2914 Create Test Cases Cura Reg Change (Framework) Dashboard</v>
      </c>
    </row>
    <row r="52" spans="18:18" x14ac:dyDescent="0.3">
      <c r="R52" t="str">
        <f>HYPERLINK("https://app.clickup.com/t/869am7mt7", "[om: fatca 2.0 design implementation project (jira tasks)] CDC-2913 Cura Reg Change Dashboard Modifications")</f>
        <v>[om: fatca 2.0 design implementation project (jira tasks)] CDC-2913 Cura Reg Change Dashboard Modifications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R52"/>
  <sheetViews>
    <sheetView workbookViewId="0"/>
  </sheetViews>
  <sheetFormatPr defaultRowHeight="14.4" x14ac:dyDescent="0.3"/>
  <cols>
    <col min="1" max="1" width="20" customWidth="1"/>
    <col min="2" max="18" width="50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</row>
    <row r="3" spans="1:17" x14ac:dyDescent="0.3">
      <c r="A3" t="s">
        <v>18</v>
      </c>
      <c r="B3" t="s">
        <v>44</v>
      </c>
      <c r="C3" t="s">
        <v>44</v>
      </c>
      <c r="D3" t="s">
        <v>44</v>
      </c>
      <c r="E3" t="s">
        <v>44</v>
      </c>
      <c r="F3" t="s">
        <v>44</v>
      </c>
      <c r="G3" t="s">
        <v>44</v>
      </c>
      <c r="H3" t="s">
        <v>44</v>
      </c>
      <c r="I3" t="s">
        <v>67</v>
      </c>
      <c r="J3" t="s">
        <v>44</v>
      </c>
      <c r="K3" t="s">
        <v>44</v>
      </c>
      <c r="L3" t="s">
        <v>44</v>
      </c>
      <c r="M3" t="s">
        <v>44</v>
      </c>
      <c r="N3" t="s">
        <v>44</v>
      </c>
      <c r="O3" t="s">
        <v>44</v>
      </c>
      <c r="P3" t="s">
        <v>44</v>
      </c>
      <c r="Q3" t="s">
        <v>44</v>
      </c>
    </row>
    <row r="4" spans="1:17" x14ac:dyDescent="0.3">
      <c r="A4" t="s">
        <v>19</v>
      </c>
      <c r="E4" t="s">
        <v>102</v>
      </c>
      <c r="G4" t="s">
        <v>68</v>
      </c>
      <c r="L4" t="s">
        <v>47</v>
      </c>
    </row>
    <row r="5" spans="1:17" x14ac:dyDescent="0.3">
      <c r="A5" t="s">
        <v>20</v>
      </c>
      <c r="B5" t="s">
        <v>70</v>
      </c>
      <c r="C5" t="s">
        <v>70</v>
      </c>
      <c r="D5" t="s">
        <v>70</v>
      </c>
      <c r="E5" t="s">
        <v>71</v>
      </c>
      <c r="G5" t="s">
        <v>48</v>
      </c>
      <c r="I5" t="s">
        <v>103</v>
      </c>
      <c r="J5" t="s">
        <v>70</v>
      </c>
      <c r="K5" t="s">
        <v>70</v>
      </c>
      <c r="L5" t="s">
        <v>72</v>
      </c>
      <c r="M5" t="s">
        <v>70</v>
      </c>
      <c r="N5" t="s">
        <v>70</v>
      </c>
      <c r="P5" t="s">
        <v>70</v>
      </c>
      <c r="Q5" t="s">
        <v>70</v>
      </c>
    </row>
    <row r="6" spans="1:17" x14ac:dyDescent="0.3">
      <c r="A6" t="s">
        <v>21</v>
      </c>
      <c r="D6" t="s">
        <v>49</v>
      </c>
      <c r="E6" t="s">
        <v>46</v>
      </c>
      <c r="G6" t="s">
        <v>48</v>
      </c>
      <c r="J6" t="s">
        <v>49</v>
      </c>
      <c r="L6" t="s">
        <v>47</v>
      </c>
      <c r="Q6" t="s">
        <v>104</v>
      </c>
    </row>
    <row r="7" spans="1:17" x14ac:dyDescent="0.3">
      <c r="A7" t="s">
        <v>22</v>
      </c>
      <c r="B7" t="s">
        <v>105</v>
      </c>
      <c r="E7" t="s">
        <v>106</v>
      </c>
      <c r="L7" t="s">
        <v>47</v>
      </c>
      <c r="N7" t="s">
        <v>73</v>
      </c>
      <c r="O7" t="s">
        <v>105</v>
      </c>
    </row>
    <row r="8" spans="1:17" x14ac:dyDescent="0.3">
      <c r="A8" t="s">
        <v>23</v>
      </c>
      <c r="B8" t="s">
        <v>105</v>
      </c>
      <c r="E8" t="s">
        <v>106</v>
      </c>
      <c r="O8" t="s">
        <v>105</v>
      </c>
      <c r="Q8" t="s">
        <v>52</v>
      </c>
    </row>
    <row r="9" spans="1:17" x14ac:dyDescent="0.3">
      <c r="A9" t="s">
        <v>24</v>
      </c>
      <c r="E9" t="s">
        <v>46</v>
      </c>
      <c r="I9" t="s">
        <v>107</v>
      </c>
      <c r="J9" t="s">
        <v>108</v>
      </c>
      <c r="Q9" t="s">
        <v>52</v>
      </c>
    </row>
    <row r="10" spans="1:17" x14ac:dyDescent="0.3">
      <c r="A10" t="s">
        <v>25</v>
      </c>
      <c r="E10" t="s">
        <v>46</v>
      </c>
      <c r="H10" t="s">
        <v>54</v>
      </c>
      <c r="I10" t="s">
        <v>107</v>
      </c>
      <c r="Q10" t="s">
        <v>52</v>
      </c>
    </row>
    <row r="11" spans="1:17" x14ac:dyDescent="0.3">
      <c r="A11" t="s">
        <v>26</v>
      </c>
      <c r="E11" t="s">
        <v>46</v>
      </c>
      <c r="H11" t="s">
        <v>54</v>
      </c>
      <c r="Q11" t="s">
        <v>52</v>
      </c>
    </row>
    <row r="12" spans="1:17" x14ac:dyDescent="0.3">
      <c r="A12" t="s">
        <v>27</v>
      </c>
      <c r="G12" t="s">
        <v>75</v>
      </c>
      <c r="H12" t="s">
        <v>54</v>
      </c>
      <c r="Q12" t="s">
        <v>52</v>
      </c>
    </row>
    <row r="13" spans="1:17" x14ac:dyDescent="0.3">
      <c r="A13" t="s">
        <v>28</v>
      </c>
      <c r="G13" t="s">
        <v>75</v>
      </c>
      <c r="H13" t="s">
        <v>54</v>
      </c>
      <c r="K13" t="s">
        <v>109</v>
      </c>
      <c r="Q13" t="s">
        <v>58</v>
      </c>
    </row>
    <row r="14" spans="1:17" x14ac:dyDescent="0.3">
      <c r="A14" t="s">
        <v>29</v>
      </c>
      <c r="E14" t="s">
        <v>46</v>
      </c>
      <c r="G14" t="s">
        <v>75</v>
      </c>
      <c r="L14" t="s">
        <v>110</v>
      </c>
      <c r="Q14" t="s">
        <v>58</v>
      </c>
    </row>
    <row r="15" spans="1:17" x14ac:dyDescent="0.3">
      <c r="A15" t="s">
        <v>30</v>
      </c>
      <c r="E15" t="s">
        <v>46</v>
      </c>
      <c r="G15" t="s">
        <v>75</v>
      </c>
      <c r="Q15" t="s">
        <v>58</v>
      </c>
    </row>
    <row r="16" spans="1:17" x14ac:dyDescent="0.3">
      <c r="A16" t="s">
        <v>31</v>
      </c>
      <c r="E16" t="s">
        <v>46</v>
      </c>
    </row>
    <row r="17" spans="1:18" x14ac:dyDescent="0.3">
      <c r="A17" t="s">
        <v>32</v>
      </c>
      <c r="E17" t="s">
        <v>46</v>
      </c>
    </row>
    <row r="18" spans="1:18" x14ac:dyDescent="0.3">
      <c r="A18" t="s">
        <v>33</v>
      </c>
      <c r="E18" t="s">
        <v>46</v>
      </c>
      <c r="G18" t="s">
        <v>68</v>
      </c>
      <c r="L18" t="s">
        <v>65</v>
      </c>
      <c r="Q18" t="s">
        <v>66</v>
      </c>
    </row>
    <row r="19" spans="1:18" x14ac:dyDescent="0.3">
      <c r="A19" t="s">
        <v>34</v>
      </c>
      <c r="E19" t="s">
        <v>46</v>
      </c>
      <c r="L19" t="s">
        <v>65</v>
      </c>
      <c r="Q19" t="s">
        <v>66</v>
      </c>
    </row>
    <row r="20" spans="1:18" x14ac:dyDescent="0.3">
      <c r="A20" t="s">
        <v>35</v>
      </c>
    </row>
    <row r="21" spans="1:18" x14ac:dyDescent="0.3">
      <c r="A21" t="s">
        <v>36</v>
      </c>
    </row>
    <row r="24" spans="1:18" x14ac:dyDescent="0.3">
      <c r="A24" t="s">
        <v>37</v>
      </c>
      <c r="B24">
        <f t="shared" ref="B24:Q24" si="0">ROUND(COUNTIF(B2:B19,"&lt;&gt;")/18,4)</f>
        <v>0.22220000000000001</v>
      </c>
      <c r="C24">
        <f t="shared" si="0"/>
        <v>0.1111</v>
      </c>
      <c r="D24">
        <f t="shared" si="0"/>
        <v>0.16669999999999999</v>
      </c>
      <c r="E24">
        <f t="shared" si="0"/>
        <v>0.83330000000000004</v>
      </c>
      <c r="F24">
        <f t="shared" si="0"/>
        <v>5.5599999999999997E-2</v>
      </c>
      <c r="G24">
        <f t="shared" si="0"/>
        <v>0.5</v>
      </c>
      <c r="H24">
        <f t="shared" si="0"/>
        <v>0.27779999999999999</v>
      </c>
      <c r="I24">
        <f t="shared" si="0"/>
        <v>0.22220000000000001</v>
      </c>
      <c r="J24">
        <f t="shared" si="0"/>
        <v>0.22220000000000001</v>
      </c>
      <c r="K24">
        <f t="shared" si="0"/>
        <v>0.16669999999999999</v>
      </c>
      <c r="L24">
        <f t="shared" si="0"/>
        <v>0.44440000000000002</v>
      </c>
      <c r="M24">
        <f t="shared" si="0"/>
        <v>0.1111</v>
      </c>
      <c r="N24">
        <f t="shared" si="0"/>
        <v>0.16669999999999999</v>
      </c>
      <c r="O24">
        <f t="shared" si="0"/>
        <v>0.16669999999999999</v>
      </c>
      <c r="P24">
        <f t="shared" si="0"/>
        <v>0.1111</v>
      </c>
      <c r="Q24">
        <f t="shared" si="0"/>
        <v>0.72219999999999995</v>
      </c>
    </row>
    <row r="27" spans="1:18" x14ac:dyDescent="0.3">
      <c r="A27" t="s">
        <v>38</v>
      </c>
      <c r="B27" t="s">
        <v>39</v>
      </c>
      <c r="C27" t="s">
        <v>2</v>
      </c>
      <c r="D27" t="s">
        <v>3</v>
      </c>
      <c r="E27" t="s">
        <v>4</v>
      </c>
      <c r="F27" t="s">
        <v>40</v>
      </c>
      <c r="G27" t="s">
        <v>6</v>
      </c>
      <c r="H27" t="s">
        <v>7</v>
      </c>
      <c r="I27" t="s">
        <v>8</v>
      </c>
      <c r="J27" t="s">
        <v>9</v>
      </c>
      <c r="K27" t="s">
        <v>10</v>
      </c>
      <c r="L27" t="s">
        <v>11</v>
      </c>
      <c r="M27" t="s">
        <v>41</v>
      </c>
      <c r="N27" t="s">
        <v>13</v>
      </c>
      <c r="O27" t="s">
        <v>14</v>
      </c>
      <c r="P27" t="s">
        <v>15</v>
      </c>
      <c r="Q27" t="s">
        <v>16</v>
      </c>
      <c r="R27" t="s">
        <v>42</v>
      </c>
    </row>
    <row r="28" spans="1:18" x14ac:dyDescent="0.3">
      <c r="B28" t="str">
        <f>HYPERLINK("https://app.clickup.com/t/8698kwuqq", "[slipstream - data warehouse solution - git (productization)] Design and Build Costing reports in Snowflake")</f>
        <v>[slipstream - data warehouse solution - git (productization)] Design and Build Costing reports in Snowflake</v>
      </c>
      <c r="C28" t="str">
        <f>HYPERLINK("https://app.clickup.com/t/86995td5m", "[slipstream - data warehouse solution - git (productization)] Build the data deployment pipelines for DEV to QA")</f>
        <v>[slipstream - data warehouse solution - git (productization)] Build the data deployment pipelines for DEV to QA</v>
      </c>
      <c r="D28" t="str">
        <f>HYPERLINK("https://app.clickup.com/t/86995td5m", "[slipstream - data warehouse solution - git (productization)] Build the data deployment pipelines for DEV to QA")</f>
        <v>[slipstream - data warehouse solution - git (productization)] Build the data deployment pipelines for DEV to QA</v>
      </c>
      <c r="F28" t="str">
        <f>HYPERLINK("https://app.clickup.com/t/869a2knmy", "[slipstream - data warehouse solution - git (productization)] Create views as exploitation layer out of data lake")</f>
        <v>[slipstream - data warehouse solution - git (productization)] Create views as exploitation layer out of data lake</v>
      </c>
      <c r="G28" t="str">
        <f>HYPERLINK("https://app.clickup.com/t/869474qb4", "[internal projects] Commit code to GitHub")</f>
        <v>[internal projects] Commit code to GitHub</v>
      </c>
      <c r="H28" t="str">
        <f>HYPERLINK("https://app.clickup.com/t/869474qb4", "[internal projects] Commit code to GitHub")</f>
        <v>[internal projects] Commit code to GitHub</v>
      </c>
      <c r="I28" t="str">
        <f>HYPERLINK("https://app.clickup.com/t/869atfeg3", "[freshdesk] 1375 FPM Look through results compared to Reg30 rounding differences")</f>
        <v>[freshdesk] 1375 FPM Look through results compared to Reg30 rounding differences</v>
      </c>
      <c r="J28" t="str">
        <f>HYPERLINK("https://app.clickup.com/t/869bd0zxj", "[freshdesk] 1430 Athena Connection Setup")</f>
        <v>[freshdesk] 1430 Athena Connection Setup</v>
      </c>
      <c r="K28" t="str">
        <f>HYPERLINK("https://app.clickup.com/t/8698jrq49", "[slipstream - data warehouse solution - git (productization)] Testing - data Audit processes")</f>
        <v>[slipstream - data warehouse solution - git (productization)] Testing - data Audit processes</v>
      </c>
      <c r="L28" t="str">
        <f>HYPERLINK("https://app.clickup.com/t/869a5344p", "[freshdesk] Documentation")</f>
        <v>[freshdesk] Documentation</v>
      </c>
      <c r="O28" t="str">
        <f>HYPERLINK("https://app.clickup.com/t/869474qb4", "[internal projects] Commit code to GitHub")</f>
        <v>[internal projects] Commit code to GitHub</v>
      </c>
      <c r="P28" t="str">
        <f>HYPERLINK("https://app.clickup.com/t/869bd6a0f", "[wonga: data warehouse development &amp; migration onto snowflake project] Dim_Funnel_Checks")</f>
        <v>[wonga: data warehouse development &amp; migration onto snowflake project] Dim_Funnel_Checks</v>
      </c>
      <c r="R28" t="str">
        <f>HYPERLINK("https://app.clickup.com/t/869bbt350", "[freshdesk] 1428 SSO Intergations for data connections within Alteryx")</f>
        <v>[freshdesk] 1428 SSO Intergations for data connections within Alteryx</v>
      </c>
    </row>
    <row r="29" spans="1:18" x14ac:dyDescent="0.3">
      <c r="B29" t="str">
        <f>HYPERLINK("https://app.clickup.com/t/8698jrq4e", "[slipstream - data warehouse solution - git (productization)] Support. Includes platform optimisation, query optimisation etc.")</f>
        <v>[slipstream - data warehouse solution - git (productization)] Support. Includes platform optimisation, query optimisation etc.</v>
      </c>
      <c r="C29" t="str">
        <f>HYPERLINK("https://app.clickup.com/t/8695qbamh", "[internal projects] Testing")</f>
        <v>[internal projects] Testing</v>
      </c>
      <c r="D29" t="str">
        <f>HYPERLINK("https://app.clickup.com/t/869474qb4", "[internal projects] Commit code to GitHub")</f>
        <v>[internal projects] Commit code to GitHub</v>
      </c>
      <c r="F29" t="str">
        <f>HYPERLINK("https://app.clickup.com/t/8698kwuqq", "[slipstream - data warehouse solution - git (productization)] Design and Build Costing reports in Snowflake")</f>
        <v>[slipstream - data warehouse solution - git (productization)] Design and Build Costing reports in Snowflake</v>
      </c>
      <c r="G29" t="str">
        <f>HYPERLINK("https://app.clickup.com/t/8696c93m9", "[discovery invest - dw maintenance] Change LAst_seed_Process = 2 for 7 tables")</f>
        <v>[discovery invest - dw maintenance] Change LAst_seed_Process = 2 for 7 tables</v>
      </c>
      <c r="H29" t="str">
        <f>HYPERLINK("https://app.clickup.com/t/862k4g368", "[internal projects] Integrate data to Tableau report")</f>
        <v>[internal projects] Integrate data to Tableau report</v>
      </c>
      <c r="I29" t="str">
        <f>HYPERLINK("https://app.clickup.com/t/869474qb4", "[internal projects] Commit code to GitHub")</f>
        <v>[internal projects] Commit code to GitHub</v>
      </c>
      <c r="J29" t="str">
        <f>HYPERLINK("https://app.clickup.com/t/8696q3a3m", "[internal projects] Team Skills")</f>
        <v>[internal projects] Team Skills</v>
      </c>
      <c r="K29" t="str">
        <f>HYPERLINK("https://app.clickup.com/t/8698jrq40", "[slipstream - data warehouse solution - git (productization)] Optimisation and Enhancemnets post testing")</f>
        <v>[slipstream - data warehouse solution - git (productization)] Optimisation and Enhancemnets post testing</v>
      </c>
      <c r="L29" t="str">
        <f>HYPERLINK("https://app.clickup.com/t/8698juq5h", "[slipstream - data warehouse solution - git (productization)] Build the PowerBI reports for monitoring data Lake progress")</f>
        <v>[slipstream - data warehouse solution - git (productization)] Build the PowerBI reports for monitoring data Lake progress</v>
      </c>
      <c r="O29" t="str">
        <f>HYPERLINK("https://app.clickup.com/t/869a9nmh7", "[om: fatca 2.0 design implementation project (jira tasks)] CDC-2626 Setup Non-prod and Prod space on Alteryx Servers")</f>
        <v>[om: fatca 2.0 design implementation project (jira tasks)] CDC-2626 Setup Non-prod and Prod space on Alteryx Servers</v>
      </c>
      <c r="R29" t="str">
        <f>HYPERLINK("https://app.clickup.com/t/869b88fev", "[freshdesk] 1421 OTIF Schedule date changes")</f>
        <v>[freshdesk] 1421 OTIF Schedule date changes</v>
      </c>
    </row>
    <row r="30" spans="1:18" x14ac:dyDescent="0.3">
      <c r="B30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  <c r="C30" t="str">
        <f>HYPERLINK("https://app.clickup.com/t/869474qb4", "[internal projects] Commit code to GitHub")</f>
        <v>[internal projects] Commit code to GitHub</v>
      </c>
      <c r="F30" t="str">
        <f>HYPERLINK("https://app.clickup.com/t/8698jrxaj", "[slipstream - data warehouse solution - git (productization)] Snowflake Setup and Configuration")</f>
        <v>[slipstream - data warehouse solution - git (productization)] Snowflake Setup and Configuration</v>
      </c>
      <c r="H30" t="str">
        <f>HYPERLINK("https://app.clickup.com/t/86931cq82", "[certification] Alteryx")</f>
        <v>[certification] Alteryx</v>
      </c>
      <c r="J30" t="str">
        <f>HYPERLINK("https://app.clickup.com/t/8696kqh8k", "[internal projects] Tableau server Microsoft Teams app set up")</f>
        <v>[internal projects] Tableau server Microsoft Teams app set up</v>
      </c>
      <c r="K30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  <c r="L30" t="str">
        <f>HYPERLINK("https://app.clickup.com/t/8698jupt0", "[slipstream - data warehouse solution - git (productization)] Build the PowerBI reports for monitoring data Stage progress")</f>
        <v>[slipstream - data warehouse solution - git (productization)] Build the PowerBI reports for monitoring data Stage progress</v>
      </c>
      <c r="O30" t="str">
        <f>HYPERLINK("https://app.clickup.com/t/869a6vnq6", "[om: fatca 2.0 design implementation project (jira tasks)] CDC-2757 Market Conduct: Provide time estimates for deliverables")</f>
        <v>[om: fatca 2.0 design implementation project (jira tasks)] CDC-2757 Market Conduct: Provide time estimates for deliverables</v>
      </c>
      <c r="R30" t="str">
        <f>HYPERLINK("https://app.clickup.com/t/8698jrq49", "[slipstream - data warehouse solution - git (productization)] Testing - data Audit processes")</f>
        <v>[slipstream - data warehouse solution - git (productization)] Testing - data Audit processes</v>
      </c>
    </row>
    <row r="31" spans="1:18" x14ac:dyDescent="0.3">
      <c r="B31" t="str">
        <f>HYPERLINK("https://app.clickup.com/t/869474qb4", "[internal projects] Commit code to GitHub")</f>
        <v>[internal projects] Commit code to GitHub</v>
      </c>
      <c r="C31" t="str">
        <f>HYPERLINK("https://app.clickup.com/t/862k18nwr", "[internal projects] SLA performance for each customer")</f>
        <v>[internal projects] SLA performance for each customer</v>
      </c>
      <c r="F31" t="str">
        <f>HYPERLINK("https://app.clickup.com/t/8698jrq40", "[slipstream - data warehouse solution - git (productization)] Optimisation and Enhancemnets post testing")</f>
        <v>[slipstream - data warehouse solution - git (productization)] Optimisation and Enhancemnets post testing</v>
      </c>
      <c r="J31" t="str">
        <f>HYPERLINK("https://app.clickup.com/t/869474qb4", "[internal projects] Commit code to GitHub")</f>
        <v>[internal projects] Commit code to GitHub</v>
      </c>
      <c r="K31" t="str">
        <f>HYPERLINK("https://app.clickup.com/t/869474qb4", "[internal projects] Commit code to GitHub")</f>
        <v>[internal projects] Commit code to GitHub</v>
      </c>
      <c r="L31" t="str">
        <f>HYPERLINK("https://app.clickup.com/t/8698jrq3g", "[slipstream - data warehouse solution - git (productization)] Orchestration")</f>
        <v>[slipstream - data warehouse solution - git (productization)] Orchestration</v>
      </c>
      <c r="O31" t="str">
        <f>HYPERLINK("https://app.clickup.com/t/869a1x6nk", "[om: fatca 2.0 design implementation project (jira tasks)] CDC-2062 Highlight where field values do not map to static reference tables in the raw schema")</f>
        <v>[om: fatca 2.0 design implementation project (jira tasks)] CDC-2062 Highlight where field values do not map to static reference tables in the raw schema</v>
      </c>
      <c r="R31" t="str">
        <f>HYPERLINK("https://app.clickup.com/t/8698jrq3g", "[slipstream - data warehouse solution - git (productization)] Orchestration")</f>
        <v>[slipstream - data warehouse solution - git (productization)] Orchestration</v>
      </c>
    </row>
    <row r="32" spans="1:18" x14ac:dyDescent="0.3">
      <c r="C32" t="str">
        <f>HYPERLINK("https://app.clickup.com/t/8694x2b1k", "[certification] Alteryx Designer Advanced")</f>
        <v>[certification] Alteryx Designer Advanced</v>
      </c>
      <c r="F32" t="str">
        <f>HYPERLINK("https://app.clickup.com/t/869474qb4", "[internal projects] Commit code to GitHub")</f>
        <v>[internal projects] Commit code to GitHub</v>
      </c>
      <c r="J32" t="str">
        <f>HYPERLINK("https://app.clickup.com/t/8698rmb2r", "[certification] AWS Certified Solutions Architect - Associate")</f>
        <v>[certification] AWS Certified Solutions Architect - Associate</v>
      </c>
      <c r="K32" t="str">
        <f>HYPERLINK("https://app.clickup.com/t/86971xvd4", "[discovery invest - dw maintenance] Run the file extracts")</f>
        <v>[discovery invest - dw maintenance] Run the file extracts</v>
      </c>
      <c r="O32" t="str">
        <f>HYPERLINK("https://app.clickup.com/t/869a1bu7g", "[om: fatca 2.0 design implementation project (jira tasks)] CDC-2563 Business Rule - Tax Free investments")</f>
        <v>[om: fatca 2.0 design implementation project (jira tasks)] CDC-2563 Business Rule - Tax Free investments</v>
      </c>
      <c r="R32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</row>
    <row r="33" spans="6:18" x14ac:dyDescent="0.3">
      <c r="F33" t="str">
        <f>HYPERLINK("https://app.clickup.com/t/86931cq56", "[certification] Snowflake")</f>
        <v>[certification] Snowflake</v>
      </c>
      <c r="K33" t="str">
        <f>HYPERLINK("https://app.clickup.com/t/86971xv4x", "[discovery invest - dw maintenance] Validating the marts")</f>
        <v>[discovery invest - dw maintenance] Validating the marts</v>
      </c>
      <c r="O33" t="str">
        <f>HYPERLINK("https://app.clickup.com/t/869a01gfm", "[om: fatca 2.0 design implementation project (jira tasks)] CDC-2509 Investigate subset where controlling person and entity has different entity_ids")</f>
        <v>[om: fatca 2.0 design implementation project (jira tasks)] CDC-2509 Investigate subset where controlling person and entity has different entity_ids</v>
      </c>
      <c r="R33" t="str">
        <f>HYPERLINK("https://app.clickup.com/t/869ag79ab", "[internal projects] Test Framework UAT doc")</f>
        <v>[internal projects] Test Framework UAT doc</v>
      </c>
    </row>
    <row r="34" spans="6:18" x14ac:dyDescent="0.3">
      <c r="K34" t="str">
        <f>HYPERLINK("https://app.clickup.com/t/86971xv04", "[discovery invest - dw maintenance] Run mart code")</f>
        <v>[discovery invest - dw maintenance] Run mart code</v>
      </c>
      <c r="O34" t="str">
        <f>HYPERLINK("https://app.clickup.com/t/8699yvvh7", "[om: fatca 2.0 design implementation project (jira tasks)] CDC-2560 SARS TPAH Template Update the rule to avoid referencing the database table")</f>
        <v>[om: fatca 2.0 design implementation project (jira tasks)] CDC-2560 SARS TPAH Template Update the rule to avoid referencing the database table</v>
      </c>
      <c r="R34" t="str">
        <f>HYPERLINK("https://app.clickup.com/t/869a70f9p", "[internal projects] Billed VS Invoiced VS SLA")</f>
        <v>[internal projects] Billed VS Invoiced VS SLA</v>
      </c>
    </row>
    <row r="35" spans="6:18" x14ac:dyDescent="0.3">
      <c r="K35" t="str">
        <f>HYPERLINK("https://app.clickup.com/t/86971xur8", "[discovery invest - dw maintenance] Run implied deletes code")</f>
        <v>[discovery invest - dw maintenance] Run implied deletes code</v>
      </c>
      <c r="O35" t="str">
        <f>HYPERLINK("https://app.clickup.com/t/8699yvveh", "[om: fatca 2.0 design implementation project (jira tasks)] CDC-2559 SARS TPAH Template Remove all spaces and special characters")</f>
        <v>[om: fatca 2.0 design implementation project (jira tasks)] CDC-2559 SARS TPAH Template Remove all spaces and special characters</v>
      </c>
      <c r="R35" t="str">
        <f>HYPERLINK("https://app.clickup.com/t/8697xudfa", "[internal projects] Income statement dashboard")</f>
        <v>[internal projects] Income statement dashboard</v>
      </c>
    </row>
    <row r="36" spans="6:18" x14ac:dyDescent="0.3">
      <c r="K36" t="str">
        <f>HYPERLINK("https://app.clickup.com/t/86971xtt3", "[discovery invest - dw maintenance] Validating the DWH")</f>
        <v>[discovery invest - dw maintenance] Validating the DWH</v>
      </c>
      <c r="R36" t="str">
        <f>HYPERLINK("https://app.clickup.com/t/8697t8mu2", "[internal projects] Sales Dashboard Additional requirements")</f>
        <v>[internal projects] Sales Dashboard Additional requirements</v>
      </c>
    </row>
    <row r="37" spans="6:18" x14ac:dyDescent="0.3">
      <c r="O37" t="str">
        <f>HYPERLINK("https://app.clickup.com/t/8699yvuqh", "[om: fatca 2.0 design implementation project (jira tasks)] CDC-2555 Entities former COB")</f>
        <v>[om: fatca 2.0 design implementation project (jira tasks)] CDC-2555 Entities former COB</v>
      </c>
      <c r="R37" t="str">
        <f>HYPERLINK("https://app.clickup.com/t/8697my8gd", "[internal projects] Financial and Sales Dashboard enhancement")</f>
        <v>[internal projects] Financial and Sales Dashboard enhancement</v>
      </c>
    </row>
    <row r="38" spans="6:18" x14ac:dyDescent="0.3">
      <c r="O38" t="str">
        <f>HYPERLINK("https://app.clickup.com/t/8699yvtjg", "[om: fatca 2.0 design implementation project (jira tasks)] CDC-2553 Flexcube SARS Templates - rename the RFI to source system code at scheme level")</f>
        <v>[om: fatca 2.0 design implementation project (jira tasks)] CDC-2553 Flexcube SARS Templates - rename the RFI to source system code at scheme level</v>
      </c>
      <c r="R38" t="str">
        <f>HYPERLINK("https://app.clickup.com/t/8696yar98", "[internal projects] Resource Utilization Dashboard Refinements")</f>
        <v>[internal projects] Resource Utilization Dashboard Refinements</v>
      </c>
    </row>
    <row r="39" spans="6:18" x14ac:dyDescent="0.3">
      <c r="O39" t="str">
        <f>HYPERLINK("https://app.clickup.com/t/8699yvruw", "[om: fatca 2.0 design implementation project (jira tasks)] CDC-2561 Diminmus rules to be applied at scheme level and not at OMUT level")</f>
        <v>[om: fatca 2.0 design implementation project (jira tasks)] CDC-2561 Diminmus rules to be applied at scheme level and not at OMUT level</v>
      </c>
      <c r="R39" t="str">
        <f>HYPERLINK("https://app.clickup.com/t/8696u6wyy", "[internal projects] Alteryx Server SLA Report process")</f>
        <v>[internal projects] Alteryx Server SLA Report process</v>
      </c>
    </row>
    <row r="40" spans="6:18" x14ac:dyDescent="0.3">
      <c r="O40" t="str">
        <f>HYPERLINK("https://app.clickup.com/t/8699yvra6", "[om: fatca 2.0 design implementation project (jira tasks)] CDC-2554 Entities COB")</f>
        <v>[om: fatca 2.0 design implementation project (jira tasks)] CDC-2554 Entities COB</v>
      </c>
      <c r="R40" t="str">
        <f>HYPERLINK("https://app.clickup.com/t/8695mj63r", "[internal projects] Shoprite B2B SLA Document")</f>
        <v>[internal projects] Shoprite B2B SLA Document</v>
      </c>
    </row>
    <row r="41" spans="6:18" x14ac:dyDescent="0.3">
      <c r="R41" t="str">
        <f>HYPERLINK("https://app.clickup.com/t/869474qb4", "[internal projects] Commit code to GitHub")</f>
        <v>[internal projects] Commit code to GitHub</v>
      </c>
    </row>
    <row r="42" spans="6:18" x14ac:dyDescent="0.3">
      <c r="R42" t="str">
        <f>HYPERLINK("https://app.clickup.com/t/869agp147", "[certification] Snowflake Sales Professional")</f>
        <v>[certification] Snowflake Sales Professional</v>
      </c>
    </row>
    <row r="43" spans="6:18" x14ac:dyDescent="0.3">
      <c r="R43" t="str">
        <f>HYPERLINK("https://app.clickup.com/t/869agp0uz", "[certification] Snowflake Technical Sales Professional")</f>
        <v>[certification] Snowflake Technical Sales Professional</v>
      </c>
    </row>
    <row r="44" spans="6:18" x14ac:dyDescent="0.3">
      <c r="R44" t="str">
        <f>HYPERLINK("https://app.clickup.com/t/869af829t", "[certification] Salesforce Certified Agentforce Specialist")</f>
        <v>[certification] Salesforce Certified Agentforce Specialist</v>
      </c>
    </row>
    <row r="45" spans="6:18" x14ac:dyDescent="0.3">
      <c r="R45" t="str">
        <f>HYPERLINK("https://app.clickup.com/t/869ab9g7u", "[certification] AWS Data Engineer - Associate")</f>
        <v>[certification] AWS Data Engineer - Associate</v>
      </c>
    </row>
    <row r="46" spans="6:18" x14ac:dyDescent="0.3">
      <c r="R46" t="str">
        <f>HYPERLINK("https://app.clickup.com/t/869b6v0gh", "[om: fatca 2.0 design implementation project (jira tasks)] CDC-2562 Develop a Foreigners List dashboard")</f>
        <v>[om: fatca 2.0 design implementation project (jira tasks)] CDC-2562 Develop a Foreigners List dashboard</v>
      </c>
    </row>
    <row r="47" spans="6:18" x14ac:dyDescent="0.3">
      <c r="R47" t="str">
        <f>HYPERLINK("https://app.clickup.com/t/869ax6j44", "[om: fatca 2.0 design implementation project (jira tasks)] Titanium Reports")</f>
        <v>[om: fatca 2.0 design implementation project (jira tasks)] Titanium Reports</v>
      </c>
    </row>
    <row r="48" spans="6:18" x14ac:dyDescent="0.3">
      <c r="R48" t="str">
        <f>HYPERLINK("https://app.clickup.com/t/869ax6j0z", "[om: fatca 2.0 design implementation project (jira tasks)] CDC-3034-aws-s3-bucket-investigation")</f>
        <v>[om: fatca 2.0 design implementation project (jira tasks)] CDC-3034-aws-s3-bucket-investigation</v>
      </c>
    </row>
    <row r="49" spans="18:18" x14ac:dyDescent="0.3">
      <c r="R49" t="str">
        <f>HYPERLINK("https://app.clickup.com/t/869avjm5f", "[om: fatca 2.0 design implementation project (jira tasks)] CBR Quarterly Run")</f>
        <v>[om: fatca 2.0 design implementation project (jira tasks)] CBR Quarterly Run</v>
      </c>
    </row>
    <row r="50" spans="18:18" x14ac:dyDescent="0.3">
      <c r="R50" t="str">
        <f>HYPERLINK("https://app.clickup.com/t/869auvvmp", "[om: fatca 2.0 design implementation project (jira tasks)] Advisor Recon Report Manual Run")</f>
        <v>[om: fatca 2.0 design implementation project (jira tasks)] Advisor Recon Report Manual Run</v>
      </c>
    </row>
    <row r="51" spans="18:18" x14ac:dyDescent="0.3">
      <c r="R51" t="str">
        <f>HYPERLINK("https://app.clickup.com/t/869arkz3a", "[om: fatca 2.0 design implementation project (jira tasks)] CDC-2914 Create Test Cases Cura Reg Change (Framework) Dashboard")</f>
        <v>[om: fatca 2.0 design implementation project (jira tasks)] CDC-2914 Create Test Cases Cura Reg Change (Framework) Dashboard</v>
      </c>
    </row>
    <row r="52" spans="18:18" x14ac:dyDescent="0.3">
      <c r="R52" t="str">
        <f>HYPERLINK("https://app.clickup.com/t/869am7mt7", "[om: fatca 2.0 design implementation project (jira tasks)] CDC-2913 Cura Reg Change Dashboard Modifications")</f>
        <v>[om: fatca 2.0 design implementation project (jira tasks)] CDC-2913 Cura Reg Change Dashboard Modifications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52"/>
  <sheetViews>
    <sheetView workbookViewId="0"/>
  </sheetViews>
  <sheetFormatPr defaultRowHeight="14.4" x14ac:dyDescent="0.3"/>
  <cols>
    <col min="1" max="1" width="20" customWidth="1"/>
    <col min="2" max="18" width="50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</row>
    <row r="3" spans="1:17" x14ac:dyDescent="0.3">
      <c r="A3" t="s">
        <v>18</v>
      </c>
      <c r="B3" t="s">
        <v>44</v>
      </c>
      <c r="C3" t="s">
        <v>44</v>
      </c>
      <c r="D3" t="s">
        <v>44</v>
      </c>
      <c r="E3" t="s">
        <v>44</v>
      </c>
      <c r="F3" t="s">
        <v>44</v>
      </c>
      <c r="G3" t="s">
        <v>44</v>
      </c>
      <c r="H3" t="s">
        <v>44</v>
      </c>
      <c r="I3" t="s">
        <v>67</v>
      </c>
      <c r="J3" t="s">
        <v>44</v>
      </c>
      <c r="K3" t="s">
        <v>44</v>
      </c>
      <c r="L3" t="s">
        <v>44</v>
      </c>
      <c r="M3" t="s">
        <v>44</v>
      </c>
      <c r="N3" t="s">
        <v>44</v>
      </c>
      <c r="O3" t="s">
        <v>44</v>
      </c>
      <c r="P3" t="s">
        <v>44</v>
      </c>
      <c r="Q3" t="s">
        <v>44</v>
      </c>
    </row>
    <row r="4" spans="1:17" x14ac:dyDescent="0.3">
      <c r="A4" t="s">
        <v>19</v>
      </c>
      <c r="E4" t="s">
        <v>111</v>
      </c>
      <c r="G4" t="s">
        <v>68</v>
      </c>
      <c r="L4" t="s">
        <v>47</v>
      </c>
      <c r="O4" t="s">
        <v>112</v>
      </c>
    </row>
    <row r="5" spans="1:17" x14ac:dyDescent="0.3">
      <c r="A5" t="s">
        <v>20</v>
      </c>
      <c r="B5" t="s">
        <v>70</v>
      </c>
      <c r="C5" t="s">
        <v>70</v>
      </c>
      <c r="D5" t="s">
        <v>70</v>
      </c>
      <c r="E5" t="s">
        <v>113</v>
      </c>
      <c r="G5" t="s">
        <v>48</v>
      </c>
      <c r="J5" t="s">
        <v>70</v>
      </c>
      <c r="K5" t="s">
        <v>70</v>
      </c>
      <c r="L5" t="s">
        <v>72</v>
      </c>
      <c r="M5" t="s">
        <v>70</v>
      </c>
      <c r="N5" t="s">
        <v>70</v>
      </c>
      <c r="O5" t="s">
        <v>112</v>
      </c>
      <c r="P5" t="s">
        <v>70</v>
      </c>
      <c r="Q5" t="s">
        <v>70</v>
      </c>
    </row>
    <row r="6" spans="1:17" x14ac:dyDescent="0.3">
      <c r="A6" t="s">
        <v>21</v>
      </c>
      <c r="D6" t="s">
        <v>49</v>
      </c>
      <c r="E6" t="s">
        <v>46</v>
      </c>
      <c r="G6" t="s">
        <v>48</v>
      </c>
      <c r="J6" t="s">
        <v>49</v>
      </c>
      <c r="L6" t="s">
        <v>47</v>
      </c>
      <c r="N6" t="s">
        <v>79</v>
      </c>
      <c r="O6" t="s">
        <v>112</v>
      </c>
    </row>
    <row r="7" spans="1:17" x14ac:dyDescent="0.3">
      <c r="A7" t="s">
        <v>22</v>
      </c>
      <c r="E7" t="s">
        <v>46</v>
      </c>
      <c r="L7" t="s">
        <v>47</v>
      </c>
      <c r="O7" t="s">
        <v>112</v>
      </c>
    </row>
    <row r="8" spans="1:17" x14ac:dyDescent="0.3">
      <c r="A8" t="s">
        <v>23</v>
      </c>
      <c r="E8" t="s">
        <v>46</v>
      </c>
      <c r="Q8" t="s">
        <v>52</v>
      </c>
    </row>
    <row r="9" spans="1:17" x14ac:dyDescent="0.3">
      <c r="A9" t="s">
        <v>24</v>
      </c>
      <c r="E9" t="s">
        <v>46</v>
      </c>
      <c r="O9" t="s">
        <v>114</v>
      </c>
      <c r="Q9" t="s">
        <v>52</v>
      </c>
    </row>
    <row r="10" spans="1:17" x14ac:dyDescent="0.3">
      <c r="A10" t="s">
        <v>25</v>
      </c>
      <c r="E10" t="s">
        <v>46</v>
      </c>
      <c r="H10" t="s">
        <v>54</v>
      </c>
      <c r="Q10" t="s">
        <v>52</v>
      </c>
    </row>
    <row r="11" spans="1:17" x14ac:dyDescent="0.3">
      <c r="A11" t="s">
        <v>26</v>
      </c>
      <c r="E11" t="s">
        <v>46</v>
      </c>
      <c r="H11" t="s">
        <v>54</v>
      </c>
      <c r="Q11" t="s">
        <v>52</v>
      </c>
    </row>
    <row r="12" spans="1:17" x14ac:dyDescent="0.3">
      <c r="A12" t="s">
        <v>27</v>
      </c>
      <c r="G12" t="s">
        <v>75</v>
      </c>
      <c r="H12" t="s">
        <v>54</v>
      </c>
      <c r="Q12" t="s">
        <v>52</v>
      </c>
    </row>
    <row r="13" spans="1:17" x14ac:dyDescent="0.3">
      <c r="A13" t="s">
        <v>28</v>
      </c>
      <c r="G13" t="s">
        <v>75</v>
      </c>
      <c r="H13" t="s">
        <v>54</v>
      </c>
      <c r="Q13" t="s">
        <v>58</v>
      </c>
    </row>
    <row r="14" spans="1:17" x14ac:dyDescent="0.3">
      <c r="A14" t="s">
        <v>29</v>
      </c>
      <c r="E14" t="s">
        <v>46</v>
      </c>
      <c r="G14" t="s">
        <v>75</v>
      </c>
      <c r="Q14" t="s">
        <v>58</v>
      </c>
    </row>
    <row r="15" spans="1:17" x14ac:dyDescent="0.3">
      <c r="A15" t="s">
        <v>30</v>
      </c>
      <c r="E15" t="s">
        <v>46</v>
      </c>
      <c r="G15" t="s">
        <v>75</v>
      </c>
      <c r="Q15" t="s">
        <v>58</v>
      </c>
    </row>
    <row r="16" spans="1:17" x14ac:dyDescent="0.3">
      <c r="A16" t="s">
        <v>31</v>
      </c>
      <c r="E16" t="s">
        <v>46</v>
      </c>
    </row>
    <row r="17" spans="1:18" x14ac:dyDescent="0.3">
      <c r="A17" t="s">
        <v>32</v>
      </c>
      <c r="E17" t="s">
        <v>46</v>
      </c>
    </row>
    <row r="18" spans="1:18" x14ac:dyDescent="0.3">
      <c r="A18" t="s">
        <v>33</v>
      </c>
      <c r="B18" t="s">
        <v>80</v>
      </c>
      <c r="E18" t="s">
        <v>81</v>
      </c>
      <c r="G18" t="s">
        <v>68</v>
      </c>
      <c r="L18" t="s">
        <v>65</v>
      </c>
      <c r="O18" t="s">
        <v>80</v>
      </c>
      <c r="Q18" t="s">
        <v>66</v>
      </c>
    </row>
    <row r="19" spans="1:18" x14ac:dyDescent="0.3">
      <c r="A19" t="s">
        <v>34</v>
      </c>
      <c r="B19" t="s">
        <v>80</v>
      </c>
      <c r="E19" t="s">
        <v>81</v>
      </c>
      <c r="L19" t="s">
        <v>65</v>
      </c>
      <c r="O19" t="s">
        <v>80</v>
      </c>
      <c r="Q19" t="s">
        <v>66</v>
      </c>
    </row>
    <row r="20" spans="1:18" x14ac:dyDescent="0.3">
      <c r="A20" t="s">
        <v>35</v>
      </c>
    </row>
    <row r="21" spans="1:18" x14ac:dyDescent="0.3">
      <c r="A21" t="s">
        <v>36</v>
      </c>
    </row>
    <row r="24" spans="1:18" x14ac:dyDescent="0.3">
      <c r="A24" t="s">
        <v>37</v>
      </c>
      <c r="B24">
        <f t="shared" ref="B24:Q24" si="0">ROUND(COUNTIF(B2:B19,"&lt;&gt;")/18,4)</f>
        <v>0.22220000000000001</v>
      </c>
      <c r="C24">
        <f t="shared" si="0"/>
        <v>0.1111</v>
      </c>
      <c r="D24">
        <f t="shared" si="0"/>
        <v>0.16669999999999999</v>
      </c>
      <c r="E24">
        <f t="shared" si="0"/>
        <v>0.83330000000000004</v>
      </c>
      <c r="F24">
        <f t="shared" si="0"/>
        <v>5.5599999999999997E-2</v>
      </c>
      <c r="G24">
        <f t="shared" si="0"/>
        <v>0.5</v>
      </c>
      <c r="H24">
        <f t="shared" si="0"/>
        <v>0.27779999999999999</v>
      </c>
      <c r="I24">
        <f t="shared" si="0"/>
        <v>5.5599999999999997E-2</v>
      </c>
      <c r="J24">
        <f t="shared" si="0"/>
        <v>0.16669999999999999</v>
      </c>
      <c r="K24">
        <f t="shared" si="0"/>
        <v>0.1111</v>
      </c>
      <c r="L24">
        <f t="shared" si="0"/>
        <v>0.38890000000000002</v>
      </c>
      <c r="M24">
        <f t="shared" si="0"/>
        <v>0.1111</v>
      </c>
      <c r="N24">
        <f t="shared" si="0"/>
        <v>0.16669999999999999</v>
      </c>
      <c r="O24">
        <f t="shared" si="0"/>
        <v>0.44440000000000002</v>
      </c>
      <c r="P24">
        <f t="shared" si="0"/>
        <v>0.1111</v>
      </c>
      <c r="Q24">
        <f t="shared" si="0"/>
        <v>0.66669999999999996</v>
      </c>
    </row>
    <row r="27" spans="1:18" x14ac:dyDescent="0.3">
      <c r="A27" t="s">
        <v>38</v>
      </c>
      <c r="B27" t="s">
        <v>39</v>
      </c>
      <c r="C27" t="s">
        <v>2</v>
      </c>
      <c r="D27" t="s">
        <v>3</v>
      </c>
      <c r="E27" t="s">
        <v>4</v>
      </c>
      <c r="F27" t="s">
        <v>40</v>
      </c>
      <c r="G27" t="s">
        <v>6</v>
      </c>
      <c r="H27" t="s">
        <v>7</v>
      </c>
      <c r="I27" t="s">
        <v>8</v>
      </c>
      <c r="J27" t="s">
        <v>9</v>
      </c>
      <c r="K27" t="s">
        <v>10</v>
      </c>
      <c r="L27" t="s">
        <v>11</v>
      </c>
      <c r="M27" t="s">
        <v>41</v>
      </c>
      <c r="N27" t="s">
        <v>13</v>
      </c>
      <c r="O27" t="s">
        <v>14</v>
      </c>
      <c r="P27" t="s">
        <v>15</v>
      </c>
      <c r="Q27" t="s">
        <v>16</v>
      </c>
      <c r="R27" t="s">
        <v>42</v>
      </c>
    </row>
    <row r="28" spans="1:18" x14ac:dyDescent="0.3">
      <c r="B28" t="str">
        <f>HYPERLINK("https://app.clickup.com/t/8698kwuqq", "[slipstream - data warehouse solution - git (productization)] Design and Build Costing reports in Snowflake")</f>
        <v>[slipstream - data warehouse solution - git (productization)] Design and Build Costing reports in Snowflake</v>
      </c>
      <c r="C28" t="str">
        <f>HYPERLINK("https://app.clickup.com/t/86995td5m", "[slipstream - data warehouse solution - git (productization)] Build the data deployment pipelines for DEV to QA")</f>
        <v>[slipstream - data warehouse solution - git (productization)] Build the data deployment pipelines for DEV to QA</v>
      </c>
      <c r="D28" t="str">
        <f>HYPERLINK("https://app.clickup.com/t/86995td5m", "[slipstream - data warehouse solution - git (productization)] Build the data deployment pipelines for DEV to QA")</f>
        <v>[slipstream - data warehouse solution - git (productization)] Build the data deployment pipelines for DEV to QA</v>
      </c>
      <c r="F28" t="str">
        <f>HYPERLINK("https://app.clickup.com/t/869a2knmy", "[slipstream - data warehouse solution - git (productization)] Create views as exploitation layer out of data lake")</f>
        <v>[slipstream - data warehouse solution - git (productization)] Create views as exploitation layer out of data lake</v>
      </c>
      <c r="G28" t="str">
        <f>HYPERLINK("https://app.clickup.com/t/869474qb4", "[internal projects] Commit code to GitHub")</f>
        <v>[internal projects] Commit code to GitHub</v>
      </c>
      <c r="H28" t="str">
        <f>HYPERLINK("https://app.clickup.com/t/869474qb4", "[internal projects] Commit code to GitHub")</f>
        <v>[internal projects] Commit code to GitHub</v>
      </c>
      <c r="I28" t="str">
        <f>HYPERLINK("https://app.clickup.com/t/869atfeg3", "[freshdesk] 1375 FPM Look through results compared to Reg30 rounding differences")</f>
        <v>[freshdesk] 1375 FPM Look through results compared to Reg30 rounding differences</v>
      </c>
      <c r="J28" t="str">
        <f>HYPERLINK("https://app.clickup.com/t/869bd0zxj", "[freshdesk] 1430 Athena Connection Setup")</f>
        <v>[freshdesk] 1430 Athena Connection Setup</v>
      </c>
      <c r="K28" t="str">
        <f>HYPERLINK("https://app.clickup.com/t/8698jrq49", "[slipstream - data warehouse solution - git (productization)] Testing - data Audit processes")</f>
        <v>[slipstream - data warehouse solution - git (productization)] Testing - data Audit processes</v>
      </c>
      <c r="L28" t="str">
        <f>HYPERLINK("https://app.clickup.com/t/869a5344p", "[freshdesk] Documentation")</f>
        <v>[freshdesk] Documentation</v>
      </c>
      <c r="O28" t="str">
        <f>HYPERLINK("https://app.clickup.com/t/869474qb4", "[internal projects] Commit code to GitHub")</f>
        <v>[internal projects] Commit code to GitHub</v>
      </c>
      <c r="P28" t="str">
        <f>HYPERLINK("https://app.clickup.com/t/869bd6a0f", "[wonga: data warehouse development &amp; migration onto snowflake project] Dim_Funnel_Checks")</f>
        <v>[wonga: data warehouse development &amp; migration onto snowflake project] Dim_Funnel_Checks</v>
      </c>
      <c r="R28" t="str">
        <f>HYPERLINK("https://app.clickup.com/t/869bbt350", "[freshdesk] 1428 SSO Intergations for data connections within Alteryx")</f>
        <v>[freshdesk] 1428 SSO Intergations for data connections within Alteryx</v>
      </c>
    </row>
    <row r="29" spans="1:18" x14ac:dyDescent="0.3">
      <c r="B29" t="str">
        <f>HYPERLINK("https://app.clickup.com/t/8698jrq4e", "[slipstream - data warehouse solution - git (productization)] Support. Includes platform optimisation, query optimisation etc.")</f>
        <v>[slipstream - data warehouse solution - git (productization)] Support. Includes platform optimisation, query optimisation etc.</v>
      </c>
      <c r="C29" t="str">
        <f>HYPERLINK("https://app.clickup.com/t/8695qbamh", "[internal projects] Testing")</f>
        <v>[internal projects] Testing</v>
      </c>
      <c r="D29" t="str">
        <f>HYPERLINK("https://app.clickup.com/t/869474qb4", "[internal projects] Commit code to GitHub")</f>
        <v>[internal projects] Commit code to GitHub</v>
      </c>
      <c r="F29" t="str">
        <f>HYPERLINK("https://app.clickup.com/t/8698kwuqq", "[slipstream - data warehouse solution - git (productization)] Design and Build Costing reports in Snowflake")</f>
        <v>[slipstream - data warehouse solution - git (productization)] Design and Build Costing reports in Snowflake</v>
      </c>
      <c r="G29" t="str">
        <f>HYPERLINK("https://app.clickup.com/t/8696c93m9", "[discovery invest - dw maintenance] Change LAst_seed_Process = 2 for 7 tables")</f>
        <v>[discovery invest - dw maintenance] Change LAst_seed_Process = 2 for 7 tables</v>
      </c>
      <c r="H29" t="str">
        <f>HYPERLINK("https://app.clickup.com/t/862k4g368", "[internal projects] Integrate data to Tableau report")</f>
        <v>[internal projects] Integrate data to Tableau report</v>
      </c>
      <c r="I29" t="str">
        <f>HYPERLINK("https://app.clickup.com/t/869474qb4", "[internal projects] Commit code to GitHub")</f>
        <v>[internal projects] Commit code to GitHub</v>
      </c>
      <c r="J29" t="str">
        <f>HYPERLINK("https://app.clickup.com/t/8696q3a3m", "[internal projects] Team Skills")</f>
        <v>[internal projects] Team Skills</v>
      </c>
      <c r="K29" t="str">
        <f>HYPERLINK("https://app.clickup.com/t/8698jrq40", "[slipstream - data warehouse solution - git (productization)] Optimisation and Enhancemnets post testing")</f>
        <v>[slipstream - data warehouse solution - git (productization)] Optimisation and Enhancemnets post testing</v>
      </c>
      <c r="L29" t="str">
        <f>HYPERLINK("https://app.clickup.com/t/8698juq5h", "[slipstream - data warehouse solution - git (productization)] Build the PowerBI reports for monitoring data Lake progress")</f>
        <v>[slipstream - data warehouse solution - git (productization)] Build the PowerBI reports for monitoring data Lake progress</v>
      </c>
      <c r="O29" t="str">
        <f>HYPERLINK("https://app.clickup.com/t/869a9nmh7", "[om: fatca 2.0 design implementation project (jira tasks)] CDC-2626 Setup Non-prod and Prod space on Alteryx Servers")</f>
        <v>[om: fatca 2.0 design implementation project (jira tasks)] CDC-2626 Setup Non-prod and Prod space on Alteryx Servers</v>
      </c>
      <c r="R29" t="str">
        <f>HYPERLINK("https://app.clickup.com/t/869b88fev", "[freshdesk] 1421 OTIF Schedule date changes")</f>
        <v>[freshdesk] 1421 OTIF Schedule date changes</v>
      </c>
    </row>
    <row r="30" spans="1:18" x14ac:dyDescent="0.3">
      <c r="B30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  <c r="C30" t="str">
        <f>HYPERLINK("https://app.clickup.com/t/869474qb4", "[internal projects] Commit code to GitHub")</f>
        <v>[internal projects] Commit code to GitHub</v>
      </c>
      <c r="F30" t="str">
        <f>HYPERLINK("https://app.clickup.com/t/8698jrxaj", "[slipstream - data warehouse solution - git (productization)] Snowflake Setup and Configuration")</f>
        <v>[slipstream - data warehouse solution - git (productization)] Snowflake Setup and Configuration</v>
      </c>
      <c r="H30" t="str">
        <f>HYPERLINK("https://app.clickup.com/t/86931cq82", "[certification] Alteryx")</f>
        <v>[certification] Alteryx</v>
      </c>
      <c r="J30" t="str">
        <f>HYPERLINK("https://app.clickup.com/t/8696kqh8k", "[internal projects] Tableau server Microsoft Teams app set up")</f>
        <v>[internal projects] Tableau server Microsoft Teams app set up</v>
      </c>
      <c r="K30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  <c r="L30" t="str">
        <f>HYPERLINK("https://app.clickup.com/t/8698jupt0", "[slipstream - data warehouse solution - git (productization)] Build the PowerBI reports for monitoring data Stage progress")</f>
        <v>[slipstream - data warehouse solution - git (productization)] Build the PowerBI reports for monitoring data Stage progress</v>
      </c>
      <c r="O30" t="str">
        <f>HYPERLINK("https://app.clickup.com/t/869a6vnq6", "[om: fatca 2.0 design implementation project (jira tasks)] CDC-2757 Market Conduct: Provide time estimates for deliverables")</f>
        <v>[om: fatca 2.0 design implementation project (jira tasks)] CDC-2757 Market Conduct: Provide time estimates for deliverables</v>
      </c>
      <c r="R30" t="str">
        <f>HYPERLINK("https://app.clickup.com/t/8698jrq49", "[slipstream - data warehouse solution - git (productization)] Testing - data Audit processes")</f>
        <v>[slipstream - data warehouse solution - git (productization)] Testing - data Audit processes</v>
      </c>
    </row>
    <row r="31" spans="1:18" x14ac:dyDescent="0.3">
      <c r="B31" t="str">
        <f>HYPERLINK("https://app.clickup.com/t/869474qb4", "[internal projects] Commit code to GitHub")</f>
        <v>[internal projects] Commit code to GitHub</v>
      </c>
      <c r="C31" t="str">
        <f>HYPERLINK("https://app.clickup.com/t/862k18nwr", "[internal projects] SLA performance for each customer")</f>
        <v>[internal projects] SLA performance for each customer</v>
      </c>
      <c r="F31" t="str">
        <f>HYPERLINK("https://app.clickup.com/t/8698jrq40", "[slipstream - data warehouse solution - git (productization)] Optimisation and Enhancemnets post testing")</f>
        <v>[slipstream - data warehouse solution - git (productization)] Optimisation and Enhancemnets post testing</v>
      </c>
      <c r="J31" t="str">
        <f>HYPERLINK("https://app.clickup.com/t/869474qb4", "[internal projects] Commit code to GitHub")</f>
        <v>[internal projects] Commit code to GitHub</v>
      </c>
      <c r="K31" t="str">
        <f>HYPERLINK("https://app.clickup.com/t/869474qb4", "[internal projects] Commit code to GitHub")</f>
        <v>[internal projects] Commit code to GitHub</v>
      </c>
      <c r="L31" t="str">
        <f>HYPERLINK("https://app.clickup.com/t/8698jrq3g", "[slipstream - data warehouse solution - git (productization)] Orchestration")</f>
        <v>[slipstream - data warehouse solution - git (productization)] Orchestration</v>
      </c>
      <c r="O31" t="str">
        <f>HYPERLINK("https://app.clickup.com/t/869a1x6nk", "[om: fatca 2.0 design implementation project (jira tasks)] CDC-2062 Highlight where field values do not map to static reference tables in the raw schema")</f>
        <v>[om: fatca 2.0 design implementation project (jira tasks)] CDC-2062 Highlight where field values do not map to static reference tables in the raw schema</v>
      </c>
      <c r="R31" t="str">
        <f>HYPERLINK("https://app.clickup.com/t/8698jrq3g", "[slipstream - data warehouse solution - git (productization)] Orchestration")</f>
        <v>[slipstream - data warehouse solution - git (productization)] Orchestration</v>
      </c>
    </row>
    <row r="32" spans="1:18" x14ac:dyDescent="0.3">
      <c r="C32" t="str">
        <f>HYPERLINK("https://app.clickup.com/t/8694x2b1k", "[certification] Alteryx Designer Advanced")</f>
        <v>[certification] Alteryx Designer Advanced</v>
      </c>
      <c r="F32" t="str">
        <f>HYPERLINK("https://app.clickup.com/t/869474qb4", "[internal projects] Commit code to GitHub")</f>
        <v>[internal projects] Commit code to GitHub</v>
      </c>
      <c r="J32" t="str">
        <f>HYPERLINK("https://app.clickup.com/t/8698rmb2r", "[certification] AWS Certified Solutions Architect - Associate")</f>
        <v>[certification] AWS Certified Solutions Architect - Associate</v>
      </c>
      <c r="K32" t="str">
        <f>HYPERLINK("https://app.clickup.com/t/86971xvd4", "[discovery invest - dw maintenance] Run the file extracts")</f>
        <v>[discovery invest - dw maintenance] Run the file extracts</v>
      </c>
      <c r="O32" t="str">
        <f>HYPERLINK("https://app.clickup.com/t/869a1bu7g", "[om: fatca 2.0 design implementation project (jira tasks)] CDC-2563 Business Rule - Tax Free investments")</f>
        <v>[om: fatca 2.0 design implementation project (jira tasks)] CDC-2563 Business Rule - Tax Free investments</v>
      </c>
      <c r="R32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</row>
    <row r="33" spans="6:18" x14ac:dyDescent="0.3">
      <c r="F33" t="str">
        <f>HYPERLINK("https://app.clickup.com/t/86931cq56", "[certification] Snowflake")</f>
        <v>[certification] Snowflake</v>
      </c>
      <c r="K33" t="str">
        <f>HYPERLINK("https://app.clickup.com/t/86971xv4x", "[discovery invest - dw maintenance] Validating the marts")</f>
        <v>[discovery invest - dw maintenance] Validating the marts</v>
      </c>
      <c r="O33" t="str">
        <f>HYPERLINK("https://app.clickup.com/t/869a01gfm", "[om: fatca 2.0 design implementation project (jira tasks)] CDC-2509 Investigate subset where controlling person and entity has different entity_ids")</f>
        <v>[om: fatca 2.0 design implementation project (jira tasks)] CDC-2509 Investigate subset where controlling person and entity has different entity_ids</v>
      </c>
      <c r="R33" t="str">
        <f>HYPERLINK("https://app.clickup.com/t/869ag79ab", "[internal projects] Test Framework UAT doc")</f>
        <v>[internal projects] Test Framework UAT doc</v>
      </c>
    </row>
    <row r="34" spans="6:18" x14ac:dyDescent="0.3">
      <c r="K34" t="str">
        <f>HYPERLINK("https://app.clickup.com/t/86971xv04", "[discovery invest - dw maintenance] Run mart code")</f>
        <v>[discovery invest - dw maintenance] Run mart code</v>
      </c>
      <c r="O34" t="str">
        <f>HYPERLINK("https://app.clickup.com/t/8699yvvh7", "[om: fatca 2.0 design implementation project (jira tasks)] CDC-2560 SARS TPAH Template Update the rule to avoid referencing the database table")</f>
        <v>[om: fatca 2.0 design implementation project (jira tasks)] CDC-2560 SARS TPAH Template Update the rule to avoid referencing the database table</v>
      </c>
      <c r="R34" t="str">
        <f>HYPERLINK("https://app.clickup.com/t/869a70f9p", "[internal projects] Billed VS Invoiced VS SLA")</f>
        <v>[internal projects] Billed VS Invoiced VS SLA</v>
      </c>
    </row>
    <row r="35" spans="6:18" x14ac:dyDescent="0.3">
      <c r="K35" t="str">
        <f>HYPERLINK("https://app.clickup.com/t/86971xur8", "[discovery invest - dw maintenance] Run implied deletes code")</f>
        <v>[discovery invest - dw maintenance] Run implied deletes code</v>
      </c>
      <c r="O35" t="str">
        <f>HYPERLINK("https://app.clickup.com/t/8699yvveh", "[om: fatca 2.0 design implementation project (jira tasks)] CDC-2559 SARS TPAH Template Remove all spaces and special characters")</f>
        <v>[om: fatca 2.0 design implementation project (jira tasks)] CDC-2559 SARS TPAH Template Remove all spaces and special characters</v>
      </c>
      <c r="R35" t="str">
        <f>HYPERLINK("https://app.clickup.com/t/8697xudfa", "[internal projects] Income statement dashboard")</f>
        <v>[internal projects] Income statement dashboard</v>
      </c>
    </row>
    <row r="36" spans="6:18" x14ac:dyDescent="0.3">
      <c r="K36" t="str">
        <f>HYPERLINK("https://app.clickup.com/t/86971xtt3", "[discovery invest - dw maintenance] Validating the DWH")</f>
        <v>[discovery invest - dw maintenance] Validating the DWH</v>
      </c>
      <c r="R36" t="str">
        <f>HYPERLINK("https://app.clickup.com/t/8697t8mu2", "[internal projects] Sales Dashboard Additional requirements")</f>
        <v>[internal projects] Sales Dashboard Additional requirements</v>
      </c>
    </row>
    <row r="37" spans="6:18" x14ac:dyDescent="0.3">
      <c r="O37" t="str">
        <f>HYPERLINK("https://app.clickup.com/t/8699yvuqh", "[om: fatca 2.0 design implementation project (jira tasks)] CDC-2555 Entities former COB")</f>
        <v>[om: fatca 2.0 design implementation project (jira tasks)] CDC-2555 Entities former COB</v>
      </c>
      <c r="R37" t="str">
        <f>HYPERLINK("https://app.clickup.com/t/8697my8gd", "[internal projects] Financial and Sales Dashboard enhancement")</f>
        <v>[internal projects] Financial and Sales Dashboard enhancement</v>
      </c>
    </row>
    <row r="38" spans="6:18" x14ac:dyDescent="0.3">
      <c r="O38" t="str">
        <f>HYPERLINK("https://app.clickup.com/t/8699yvtjg", "[om: fatca 2.0 design implementation project (jira tasks)] CDC-2553 Flexcube SARS Templates - rename the RFI to source system code at scheme level")</f>
        <v>[om: fatca 2.0 design implementation project (jira tasks)] CDC-2553 Flexcube SARS Templates - rename the RFI to source system code at scheme level</v>
      </c>
      <c r="R38" t="str">
        <f>HYPERLINK("https://app.clickup.com/t/8696yar98", "[internal projects] Resource Utilization Dashboard Refinements")</f>
        <v>[internal projects] Resource Utilization Dashboard Refinements</v>
      </c>
    </row>
    <row r="39" spans="6:18" x14ac:dyDescent="0.3">
      <c r="O39" t="str">
        <f>HYPERLINK("https://app.clickup.com/t/8699yvruw", "[om: fatca 2.0 design implementation project (jira tasks)] CDC-2561 Diminmus rules to be applied at scheme level and not at OMUT level")</f>
        <v>[om: fatca 2.0 design implementation project (jira tasks)] CDC-2561 Diminmus rules to be applied at scheme level and not at OMUT level</v>
      </c>
      <c r="R39" t="str">
        <f>HYPERLINK("https://app.clickup.com/t/8696u6wyy", "[internal projects] Alteryx Server SLA Report process")</f>
        <v>[internal projects] Alteryx Server SLA Report process</v>
      </c>
    </row>
    <row r="40" spans="6:18" x14ac:dyDescent="0.3">
      <c r="O40" t="str">
        <f>HYPERLINK("https://app.clickup.com/t/8699yvra6", "[om: fatca 2.0 design implementation project (jira tasks)] CDC-2554 Entities COB")</f>
        <v>[om: fatca 2.0 design implementation project (jira tasks)] CDC-2554 Entities COB</v>
      </c>
      <c r="R40" t="str">
        <f>HYPERLINK("https://app.clickup.com/t/8695mj63r", "[internal projects] Shoprite B2B SLA Document")</f>
        <v>[internal projects] Shoprite B2B SLA Document</v>
      </c>
    </row>
    <row r="41" spans="6:18" x14ac:dyDescent="0.3">
      <c r="R41" t="str">
        <f>HYPERLINK("https://app.clickup.com/t/869474qb4", "[internal projects] Commit code to GitHub")</f>
        <v>[internal projects] Commit code to GitHub</v>
      </c>
    </row>
    <row r="42" spans="6:18" x14ac:dyDescent="0.3">
      <c r="R42" t="str">
        <f>HYPERLINK("https://app.clickup.com/t/869agp147", "[certification] Snowflake Sales Professional")</f>
        <v>[certification] Snowflake Sales Professional</v>
      </c>
    </row>
    <row r="43" spans="6:18" x14ac:dyDescent="0.3">
      <c r="R43" t="str">
        <f>HYPERLINK("https://app.clickup.com/t/869agp0uz", "[certification] Snowflake Technical Sales Professional")</f>
        <v>[certification] Snowflake Technical Sales Professional</v>
      </c>
    </row>
    <row r="44" spans="6:18" x14ac:dyDescent="0.3">
      <c r="R44" t="str">
        <f>HYPERLINK("https://app.clickup.com/t/869af829t", "[certification] Salesforce Certified Agentforce Specialist")</f>
        <v>[certification] Salesforce Certified Agentforce Specialist</v>
      </c>
    </row>
    <row r="45" spans="6:18" x14ac:dyDescent="0.3">
      <c r="R45" t="str">
        <f>HYPERLINK("https://app.clickup.com/t/869ab9g7u", "[certification] AWS Data Engineer - Associate")</f>
        <v>[certification] AWS Data Engineer - Associate</v>
      </c>
    </row>
    <row r="46" spans="6:18" x14ac:dyDescent="0.3">
      <c r="R46" t="str">
        <f>HYPERLINK("https://app.clickup.com/t/869b6v0gh", "[om: fatca 2.0 design implementation project (jira tasks)] CDC-2562 Develop a Foreigners List dashboard")</f>
        <v>[om: fatca 2.0 design implementation project (jira tasks)] CDC-2562 Develop a Foreigners List dashboard</v>
      </c>
    </row>
    <row r="47" spans="6:18" x14ac:dyDescent="0.3">
      <c r="R47" t="str">
        <f>HYPERLINK("https://app.clickup.com/t/869ax6j44", "[om: fatca 2.0 design implementation project (jira tasks)] Titanium Reports")</f>
        <v>[om: fatca 2.0 design implementation project (jira tasks)] Titanium Reports</v>
      </c>
    </row>
    <row r="48" spans="6:18" x14ac:dyDescent="0.3">
      <c r="R48" t="str">
        <f>HYPERLINK("https://app.clickup.com/t/869ax6j0z", "[om: fatca 2.0 design implementation project (jira tasks)] CDC-3034-aws-s3-bucket-investigation")</f>
        <v>[om: fatca 2.0 design implementation project (jira tasks)] CDC-3034-aws-s3-bucket-investigation</v>
      </c>
    </row>
    <row r="49" spans="18:18" x14ac:dyDescent="0.3">
      <c r="R49" t="str">
        <f>HYPERLINK("https://app.clickup.com/t/869avjm5f", "[om: fatca 2.0 design implementation project (jira tasks)] CBR Quarterly Run")</f>
        <v>[om: fatca 2.0 design implementation project (jira tasks)] CBR Quarterly Run</v>
      </c>
    </row>
    <row r="50" spans="18:18" x14ac:dyDescent="0.3">
      <c r="R50" t="str">
        <f>HYPERLINK("https://app.clickup.com/t/869auvvmp", "[om: fatca 2.0 design implementation project (jira tasks)] Advisor Recon Report Manual Run")</f>
        <v>[om: fatca 2.0 design implementation project (jira tasks)] Advisor Recon Report Manual Run</v>
      </c>
    </row>
    <row r="51" spans="18:18" x14ac:dyDescent="0.3">
      <c r="R51" t="str">
        <f>HYPERLINK("https://app.clickup.com/t/869arkz3a", "[om: fatca 2.0 design implementation project (jira tasks)] CDC-2914 Create Test Cases Cura Reg Change (Framework) Dashboard")</f>
        <v>[om: fatca 2.0 design implementation project (jira tasks)] CDC-2914 Create Test Cases Cura Reg Change (Framework) Dashboard</v>
      </c>
    </row>
    <row r="52" spans="18:18" x14ac:dyDescent="0.3">
      <c r="R52" t="str">
        <f>HYPERLINK("https://app.clickup.com/t/869am7mt7", "[om: fatca 2.0 design implementation project (jira tasks)] CDC-2913 Cura Reg Change Dashboard Modifications")</f>
        <v>[om: fatca 2.0 design implementation project (jira tasks)] CDC-2913 Cura Reg Change Dashboard Modifications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R52"/>
  <sheetViews>
    <sheetView workbookViewId="0"/>
  </sheetViews>
  <sheetFormatPr defaultRowHeight="14.4" x14ac:dyDescent="0.3"/>
  <cols>
    <col min="1" max="1" width="20" customWidth="1"/>
    <col min="2" max="18" width="50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</row>
    <row r="3" spans="1:17" x14ac:dyDescent="0.3">
      <c r="A3" t="s">
        <v>18</v>
      </c>
      <c r="B3" t="s">
        <v>44</v>
      </c>
      <c r="C3" t="s">
        <v>44</v>
      </c>
      <c r="D3" t="s">
        <v>44</v>
      </c>
      <c r="E3" t="s">
        <v>44</v>
      </c>
      <c r="F3" t="s">
        <v>44</v>
      </c>
      <c r="G3" t="s">
        <v>44</v>
      </c>
      <c r="H3" t="s">
        <v>44</v>
      </c>
      <c r="I3" t="s">
        <v>67</v>
      </c>
      <c r="J3" t="s">
        <v>44</v>
      </c>
      <c r="K3" t="s">
        <v>44</v>
      </c>
      <c r="L3" t="s">
        <v>44</v>
      </c>
      <c r="M3" t="s">
        <v>44</v>
      </c>
      <c r="N3" t="s">
        <v>44</v>
      </c>
      <c r="O3" t="s">
        <v>44</v>
      </c>
      <c r="P3" t="s">
        <v>44</v>
      </c>
      <c r="Q3" t="s">
        <v>44</v>
      </c>
    </row>
    <row r="4" spans="1:17" x14ac:dyDescent="0.3">
      <c r="A4" t="s">
        <v>19</v>
      </c>
      <c r="B4" t="s">
        <v>82</v>
      </c>
      <c r="E4" t="s">
        <v>46</v>
      </c>
      <c r="G4" t="s">
        <v>68</v>
      </c>
      <c r="L4" t="s">
        <v>47</v>
      </c>
    </row>
    <row r="5" spans="1:17" x14ac:dyDescent="0.3">
      <c r="A5" t="s">
        <v>20</v>
      </c>
      <c r="B5" t="s">
        <v>83</v>
      </c>
      <c r="C5" t="s">
        <v>70</v>
      </c>
      <c r="D5" t="s">
        <v>70</v>
      </c>
      <c r="E5" t="s">
        <v>71</v>
      </c>
      <c r="G5" t="s">
        <v>48</v>
      </c>
      <c r="J5" t="s">
        <v>70</v>
      </c>
      <c r="K5" t="s">
        <v>70</v>
      </c>
      <c r="L5" t="s">
        <v>72</v>
      </c>
      <c r="M5" t="s">
        <v>70</v>
      </c>
      <c r="N5" t="s">
        <v>70</v>
      </c>
      <c r="P5" t="s">
        <v>70</v>
      </c>
      <c r="Q5" t="s">
        <v>70</v>
      </c>
    </row>
    <row r="6" spans="1:17" x14ac:dyDescent="0.3">
      <c r="A6" t="s">
        <v>21</v>
      </c>
      <c r="B6" t="s">
        <v>84</v>
      </c>
      <c r="D6" t="s">
        <v>49</v>
      </c>
      <c r="E6" t="s">
        <v>46</v>
      </c>
      <c r="F6" t="s">
        <v>85</v>
      </c>
      <c r="G6" t="s">
        <v>48</v>
      </c>
      <c r="J6" t="s">
        <v>115</v>
      </c>
      <c r="L6" t="s">
        <v>47</v>
      </c>
    </row>
    <row r="7" spans="1:17" x14ac:dyDescent="0.3">
      <c r="A7" t="s">
        <v>22</v>
      </c>
      <c r="B7" t="s">
        <v>82</v>
      </c>
      <c r="E7" t="s">
        <v>46</v>
      </c>
      <c r="J7" t="s">
        <v>116</v>
      </c>
      <c r="L7" t="s">
        <v>47</v>
      </c>
    </row>
    <row r="8" spans="1:17" x14ac:dyDescent="0.3">
      <c r="A8" t="s">
        <v>23</v>
      </c>
      <c r="B8" t="s">
        <v>82</v>
      </c>
      <c r="E8" t="s">
        <v>46</v>
      </c>
      <c r="Q8" t="s">
        <v>52</v>
      </c>
    </row>
    <row r="9" spans="1:17" x14ac:dyDescent="0.3">
      <c r="A9" t="s">
        <v>24</v>
      </c>
      <c r="B9" t="s">
        <v>82</v>
      </c>
      <c r="E9" t="s">
        <v>46</v>
      </c>
      <c r="Q9" t="s">
        <v>52</v>
      </c>
    </row>
    <row r="10" spans="1:17" x14ac:dyDescent="0.3">
      <c r="A10" t="s">
        <v>25</v>
      </c>
      <c r="B10" t="s">
        <v>82</v>
      </c>
      <c r="H10" t="s">
        <v>54</v>
      </c>
      <c r="Q10" t="s">
        <v>52</v>
      </c>
    </row>
    <row r="11" spans="1:17" x14ac:dyDescent="0.3">
      <c r="A11" t="s">
        <v>26</v>
      </c>
      <c r="B11" t="s">
        <v>82</v>
      </c>
      <c r="H11" t="s">
        <v>54</v>
      </c>
      <c r="Q11" t="s">
        <v>52</v>
      </c>
    </row>
    <row r="12" spans="1:17" x14ac:dyDescent="0.3">
      <c r="A12" t="s">
        <v>27</v>
      </c>
      <c r="B12" t="s">
        <v>82</v>
      </c>
      <c r="G12" t="s">
        <v>75</v>
      </c>
      <c r="H12" t="s">
        <v>54</v>
      </c>
      <c r="Q12" t="s">
        <v>52</v>
      </c>
    </row>
    <row r="13" spans="1:17" x14ac:dyDescent="0.3">
      <c r="A13" t="s">
        <v>28</v>
      </c>
      <c r="B13" t="s">
        <v>82</v>
      </c>
      <c r="G13" t="s">
        <v>75</v>
      </c>
      <c r="H13" t="s">
        <v>54</v>
      </c>
      <c r="Q13" t="s">
        <v>58</v>
      </c>
    </row>
    <row r="14" spans="1:17" x14ac:dyDescent="0.3">
      <c r="A14" t="s">
        <v>29</v>
      </c>
      <c r="B14" t="s">
        <v>82</v>
      </c>
      <c r="G14" t="s">
        <v>75</v>
      </c>
      <c r="Q14" t="s">
        <v>58</v>
      </c>
    </row>
    <row r="15" spans="1:17" x14ac:dyDescent="0.3">
      <c r="A15" t="s">
        <v>30</v>
      </c>
      <c r="B15" t="s">
        <v>82</v>
      </c>
      <c r="G15" t="s">
        <v>75</v>
      </c>
      <c r="Q15" t="s">
        <v>58</v>
      </c>
    </row>
    <row r="16" spans="1:17" x14ac:dyDescent="0.3">
      <c r="A16" t="s">
        <v>31</v>
      </c>
      <c r="B16" t="s">
        <v>82</v>
      </c>
    </row>
    <row r="17" spans="1:18" x14ac:dyDescent="0.3">
      <c r="A17" t="s">
        <v>32</v>
      </c>
      <c r="B17" t="s">
        <v>82</v>
      </c>
    </row>
    <row r="18" spans="1:18" x14ac:dyDescent="0.3">
      <c r="A18" t="s">
        <v>33</v>
      </c>
      <c r="E18" t="s">
        <v>81</v>
      </c>
      <c r="G18" t="s">
        <v>68</v>
      </c>
      <c r="L18" t="s">
        <v>65</v>
      </c>
      <c r="Q18" t="s">
        <v>66</v>
      </c>
    </row>
    <row r="19" spans="1:18" x14ac:dyDescent="0.3">
      <c r="A19" t="s">
        <v>34</v>
      </c>
      <c r="E19" t="s">
        <v>81</v>
      </c>
      <c r="L19" t="s">
        <v>65</v>
      </c>
      <c r="Q19" t="s">
        <v>66</v>
      </c>
    </row>
    <row r="20" spans="1:18" x14ac:dyDescent="0.3">
      <c r="A20" t="s">
        <v>35</v>
      </c>
    </row>
    <row r="21" spans="1:18" x14ac:dyDescent="0.3">
      <c r="A21" t="s">
        <v>36</v>
      </c>
    </row>
    <row r="24" spans="1:18" x14ac:dyDescent="0.3">
      <c r="A24" t="s">
        <v>37</v>
      </c>
      <c r="B24">
        <f t="shared" ref="B24:Q24" si="0">ROUND(COUNTIF(B2:B19,"&lt;&gt;")/18,4)</f>
        <v>0.83330000000000004</v>
      </c>
      <c r="C24">
        <f t="shared" si="0"/>
        <v>0.1111</v>
      </c>
      <c r="D24">
        <f t="shared" si="0"/>
        <v>0.16669999999999999</v>
      </c>
      <c r="E24">
        <f t="shared" si="0"/>
        <v>0.5</v>
      </c>
      <c r="F24">
        <f t="shared" si="0"/>
        <v>0.1111</v>
      </c>
      <c r="G24">
        <f t="shared" si="0"/>
        <v>0.5</v>
      </c>
      <c r="H24">
        <f t="shared" si="0"/>
        <v>0.27779999999999999</v>
      </c>
      <c r="I24">
        <f t="shared" si="0"/>
        <v>5.5599999999999997E-2</v>
      </c>
      <c r="J24">
        <f t="shared" si="0"/>
        <v>0.22220000000000001</v>
      </c>
      <c r="K24">
        <f t="shared" si="0"/>
        <v>0.1111</v>
      </c>
      <c r="L24">
        <f t="shared" si="0"/>
        <v>0.38890000000000002</v>
      </c>
      <c r="M24">
        <f t="shared" si="0"/>
        <v>0.1111</v>
      </c>
      <c r="N24">
        <f t="shared" si="0"/>
        <v>0.1111</v>
      </c>
      <c r="O24">
        <f t="shared" si="0"/>
        <v>5.5599999999999997E-2</v>
      </c>
      <c r="P24">
        <f t="shared" si="0"/>
        <v>0.1111</v>
      </c>
      <c r="Q24">
        <f t="shared" si="0"/>
        <v>0.66669999999999996</v>
      </c>
    </row>
    <row r="27" spans="1:18" x14ac:dyDescent="0.3">
      <c r="A27" t="s">
        <v>38</v>
      </c>
      <c r="B27" t="s">
        <v>39</v>
      </c>
      <c r="C27" t="s">
        <v>2</v>
      </c>
      <c r="D27" t="s">
        <v>3</v>
      </c>
      <c r="E27" t="s">
        <v>4</v>
      </c>
      <c r="F27" t="s">
        <v>40</v>
      </c>
      <c r="G27" t="s">
        <v>6</v>
      </c>
      <c r="H27" t="s">
        <v>7</v>
      </c>
      <c r="I27" t="s">
        <v>8</v>
      </c>
      <c r="J27" t="s">
        <v>9</v>
      </c>
      <c r="K27" t="s">
        <v>10</v>
      </c>
      <c r="L27" t="s">
        <v>11</v>
      </c>
      <c r="M27" t="s">
        <v>41</v>
      </c>
      <c r="N27" t="s">
        <v>13</v>
      </c>
      <c r="O27" t="s">
        <v>14</v>
      </c>
      <c r="P27" t="s">
        <v>15</v>
      </c>
      <c r="Q27" t="s">
        <v>16</v>
      </c>
      <c r="R27" t="s">
        <v>42</v>
      </c>
    </row>
    <row r="28" spans="1:18" x14ac:dyDescent="0.3">
      <c r="B28" t="str">
        <f>HYPERLINK("https://app.clickup.com/t/8698kwuqq", "[slipstream - data warehouse solution - git (productization)] Design and Build Costing reports in Snowflake")</f>
        <v>[slipstream - data warehouse solution - git (productization)] Design and Build Costing reports in Snowflake</v>
      </c>
      <c r="C28" t="str">
        <f>HYPERLINK("https://app.clickup.com/t/86995td5m", "[slipstream - data warehouse solution - git (productization)] Build the data deployment pipelines for DEV to QA")</f>
        <v>[slipstream - data warehouse solution - git (productization)] Build the data deployment pipelines for DEV to QA</v>
      </c>
      <c r="D28" t="str">
        <f>HYPERLINK("https://app.clickup.com/t/86995td5m", "[slipstream - data warehouse solution - git (productization)] Build the data deployment pipelines for DEV to QA")</f>
        <v>[slipstream - data warehouse solution - git (productization)] Build the data deployment pipelines for DEV to QA</v>
      </c>
      <c r="F28" t="str">
        <f>HYPERLINK("https://app.clickup.com/t/869a2knmy", "[slipstream - data warehouse solution - git (productization)] Create views as exploitation layer out of data lake")</f>
        <v>[slipstream - data warehouse solution - git (productization)] Create views as exploitation layer out of data lake</v>
      </c>
      <c r="G28" t="str">
        <f>HYPERLINK("https://app.clickup.com/t/869474qb4", "[internal projects] Commit code to GitHub")</f>
        <v>[internal projects] Commit code to GitHub</v>
      </c>
      <c r="H28" t="str">
        <f>HYPERLINK("https://app.clickup.com/t/869474qb4", "[internal projects] Commit code to GitHub")</f>
        <v>[internal projects] Commit code to GitHub</v>
      </c>
      <c r="I28" t="str">
        <f>HYPERLINK("https://app.clickup.com/t/869atfeg3", "[freshdesk] 1375 FPM Look through results compared to Reg30 rounding differences")</f>
        <v>[freshdesk] 1375 FPM Look through results compared to Reg30 rounding differences</v>
      </c>
      <c r="J28" t="str">
        <f>HYPERLINK("https://app.clickup.com/t/869bd0zxj", "[freshdesk] 1430 Athena Connection Setup")</f>
        <v>[freshdesk] 1430 Athena Connection Setup</v>
      </c>
      <c r="K28" t="str">
        <f>HYPERLINK("https://app.clickup.com/t/8698jrq49", "[slipstream - data warehouse solution - git (productization)] Testing - data Audit processes")</f>
        <v>[slipstream - data warehouse solution - git (productization)] Testing - data Audit processes</v>
      </c>
      <c r="L28" t="str">
        <f>HYPERLINK("https://app.clickup.com/t/869a5344p", "[freshdesk] Documentation")</f>
        <v>[freshdesk] Documentation</v>
      </c>
      <c r="O28" t="str">
        <f>HYPERLINK("https://app.clickup.com/t/869474qb4", "[internal projects] Commit code to GitHub")</f>
        <v>[internal projects] Commit code to GitHub</v>
      </c>
      <c r="P28" t="str">
        <f>HYPERLINK("https://app.clickup.com/t/869bd6a0f", "[wonga: data warehouse development &amp; migration onto snowflake project] Dim_Funnel_Checks")</f>
        <v>[wonga: data warehouse development &amp; migration onto snowflake project] Dim_Funnel_Checks</v>
      </c>
      <c r="R28" t="str">
        <f>HYPERLINK("https://app.clickup.com/t/869bbt350", "[freshdesk] 1428 SSO Intergations for data connections within Alteryx")</f>
        <v>[freshdesk] 1428 SSO Intergations for data connections within Alteryx</v>
      </c>
    </row>
    <row r="29" spans="1:18" x14ac:dyDescent="0.3">
      <c r="B29" t="str">
        <f>HYPERLINK("https://app.clickup.com/t/8698jrq4e", "[slipstream - data warehouse solution - git (productization)] Support. Includes platform optimisation, query optimisation etc.")</f>
        <v>[slipstream - data warehouse solution - git (productization)] Support. Includes platform optimisation, query optimisation etc.</v>
      </c>
      <c r="C29" t="str">
        <f>HYPERLINK("https://app.clickup.com/t/8695qbamh", "[internal projects] Testing")</f>
        <v>[internal projects] Testing</v>
      </c>
      <c r="D29" t="str">
        <f>HYPERLINK("https://app.clickup.com/t/869474qb4", "[internal projects] Commit code to GitHub")</f>
        <v>[internal projects] Commit code to GitHub</v>
      </c>
      <c r="F29" t="str">
        <f>HYPERLINK("https://app.clickup.com/t/8698kwuqq", "[slipstream - data warehouse solution - git (productization)] Design and Build Costing reports in Snowflake")</f>
        <v>[slipstream - data warehouse solution - git (productization)] Design and Build Costing reports in Snowflake</v>
      </c>
      <c r="G29" t="str">
        <f>HYPERLINK("https://app.clickup.com/t/8696c93m9", "[discovery invest - dw maintenance] Change LAst_seed_Process = 2 for 7 tables")</f>
        <v>[discovery invest - dw maintenance] Change LAst_seed_Process = 2 for 7 tables</v>
      </c>
      <c r="H29" t="str">
        <f>HYPERLINK("https://app.clickup.com/t/862k4g368", "[internal projects] Integrate data to Tableau report")</f>
        <v>[internal projects] Integrate data to Tableau report</v>
      </c>
      <c r="I29" t="str">
        <f>HYPERLINK("https://app.clickup.com/t/869474qb4", "[internal projects] Commit code to GitHub")</f>
        <v>[internal projects] Commit code to GitHub</v>
      </c>
      <c r="J29" t="str">
        <f>HYPERLINK("https://app.clickup.com/t/8696q3a3m", "[internal projects] Team Skills")</f>
        <v>[internal projects] Team Skills</v>
      </c>
      <c r="K29" t="str">
        <f>HYPERLINK("https://app.clickup.com/t/8698jrq40", "[slipstream - data warehouse solution - git (productization)] Optimisation and Enhancemnets post testing")</f>
        <v>[slipstream - data warehouse solution - git (productization)] Optimisation and Enhancemnets post testing</v>
      </c>
      <c r="L29" t="str">
        <f>HYPERLINK("https://app.clickup.com/t/8698juq5h", "[slipstream - data warehouse solution - git (productization)] Build the PowerBI reports for monitoring data Lake progress")</f>
        <v>[slipstream - data warehouse solution - git (productization)] Build the PowerBI reports for monitoring data Lake progress</v>
      </c>
      <c r="O29" t="str">
        <f>HYPERLINK("https://app.clickup.com/t/869a9nmh7", "[om: fatca 2.0 design implementation project (jira tasks)] CDC-2626 Setup Non-prod and Prod space on Alteryx Servers")</f>
        <v>[om: fatca 2.0 design implementation project (jira tasks)] CDC-2626 Setup Non-prod and Prod space on Alteryx Servers</v>
      </c>
      <c r="R29" t="str">
        <f>HYPERLINK("https://app.clickup.com/t/869b88fev", "[freshdesk] 1421 OTIF Schedule date changes")</f>
        <v>[freshdesk] 1421 OTIF Schedule date changes</v>
      </c>
    </row>
    <row r="30" spans="1:18" x14ac:dyDescent="0.3">
      <c r="B30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  <c r="C30" t="str">
        <f>HYPERLINK("https://app.clickup.com/t/869474qb4", "[internal projects] Commit code to GitHub")</f>
        <v>[internal projects] Commit code to GitHub</v>
      </c>
      <c r="F30" t="str">
        <f>HYPERLINK("https://app.clickup.com/t/8698jrxaj", "[slipstream - data warehouse solution - git (productization)] Snowflake Setup and Configuration")</f>
        <v>[slipstream - data warehouse solution - git (productization)] Snowflake Setup and Configuration</v>
      </c>
      <c r="H30" t="str">
        <f>HYPERLINK("https://app.clickup.com/t/86931cq82", "[certification] Alteryx")</f>
        <v>[certification] Alteryx</v>
      </c>
      <c r="J30" t="str">
        <f>HYPERLINK("https://app.clickup.com/t/8696kqh8k", "[internal projects] Tableau server Microsoft Teams app set up")</f>
        <v>[internal projects] Tableau server Microsoft Teams app set up</v>
      </c>
      <c r="K30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  <c r="L30" t="str">
        <f>HYPERLINK("https://app.clickup.com/t/8698jupt0", "[slipstream - data warehouse solution - git (productization)] Build the PowerBI reports for monitoring data Stage progress")</f>
        <v>[slipstream - data warehouse solution - git (productization)] Build the PowerBI reports for monitoring data Stage progress</v>
      </c>
      <c r="O30" t="str">
        <f>HYPERLINK("https://app.clickup.com/t/869a6vnq6", "[om: fatca 2.0 design implementation project (jira tasks)] CDC-2757 Market Conduct: Provide time estimates for deliverables")</f>
        <v>[om: fatca 2.0 design implementation project (jira tasks)] CDC-2757 Market Conduct: Provide time estimates for deliverables</v>
      </c>
      <c r="R30" t="str">
        <f>HYPERLINK("https://app.clickup.com/t/8698jrq49", "[slipstream - data warehouse solution - git (productization)] Testing - data Audit processes")</f>
        <v>[slipstream - data warehouse solution - git (productization)] Testing - data Audit processes</v>
      </c>
    </row>
    <row r="31" spans="1:18" x14ac:dyDescent="0.3">
      <c r="B31" t="str">
        <f>HYPERLINK("https://app.clickup.com/t/869474qb4", "[internal projects] Commit code to GitHub")</f>
        <v>[internal projects] Commit code to GitHub</v>
      </c>
      <c r="C31" t="str">
        <f>HYPERLINK("https://app.clickup.com/t/862k18nwr", "[internal projects] SLA performance for each customer")</f>
        <v>[internal projects] SLA performance for each customer</v>
      </c>
      <c r="F31" t="str">
        <f>HYPERLINK("https://app.clickup.com/t/8698jrq40", "[slipstream - data warehouse solution - git (productization)] Optimisation and Enhancemnets post testing")</f>
        <v>[slipstream - data warehouse solution - git (productization)] Optimisation and Enhancemnets post testing</v>
      </c>
      <c r="J31" t="str">
        <f>HYPERLINK("https://app.clickup.com/t/869474qb4", "[internal projects] Commit code to GitHub")</f>
        <v>[internal projects] Commit code to GitHub</v>
      </c>
      <c r="K31" t="str">
        <f>HYPERLINK("https://app.clickup.com/t/869474qb4", "[internal projects] Commit code to GitHub")</f>
        <v>[internal projects] Commit code to GitHub</v>
      </c>
      <c r="L31" t="str">
        <f>HYPERLINK("https://app.clickup.com/t/8698jrq3g", "[slipstream - data warehouse solution - git (productization)] Orchestration")</f>
        <v>[slipstream - data warehouse solution - git (productization)] Orchestration</v>
      </c>
      <c r="O31" t="str">
        <f>HYPERLINK("https://app.clickup.com/t/869a1x6nk", "[om: fatca 2.0 design implementation project (jira tasks)] CDC-2062 Highlight where field values do not map to static reference tables in the raw schema")</f>
        <v>[om: fatca 2.0 design implementation project (jira tasks)] CDC-2062 Highlight where field values do not map to static reference tables in the raw schema</v>
      </c>
      <c r="R31" t="str">
        <f>HYPERLINK("https://app.clickup.com/t/8698jrq3g", "[slipstream - data warehouse solution - git (productization)] Orchestration")</f>
        <v>[slipstream - data warehouse solution - git (productization)] Orchestration</v>
      </c>
    </row>
    <row r="32" spans="1:18" x14ac:dyDescent="0.3">
      <c r="C32" t="str">
        <f>HYPERLINK("https://app.clickup.com/t/8694x2b1k", "[certification] Alteryx Designer Advanced")</f>
        <v>[certification] Alteryx Designer Advanced</v>
      </c>
      <c r="F32" t="str">
        <f>HYPERLINK("https://app.clickup.com/t/869474qb4", "[internal projects] Commit code to GitHub")</f>
        <v>[internal projects] Commit code to GitHub</v>
      </c>
      <c r="J32" t="str">
        <f>HYPERLINK("https://app.clickup.com/t/8698rmb2r", "[certification] AWS Certified Solutions Architect - Associate")</f>
        <v>[certification] AWS Certified Solutions Architect - Associate</v>
      </c>
      <c r="K32" t="str">
        <f>HYPERLINK("https://app.clickup.com/t/86971xvd4", "[discovery invest - dw maintenance] Run the file extracts")</f>
        <v>[discovery invest - dw maintenance] Run the file extracts</v>
      </c>
      <c r="O32" t="str">
        <f>HYPERLINK("https://app.clickup.com/t/869a1bu7g", "[om: fatca 2.0 design implementation project (jira tasks)] CDC-2563 Business Rule - Tax Free investments")</f>
        <v>[om: fatca 2.0 design implementation project (jira tasks)] CDC-2563 Business Rule - Tax Free investments</v>
      </c>
      <c r="R32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</row>
    <row r="33" spans="6:18" x14ac:dyDescent="0.3">
      <c r="F33" t="str">
        <f>HYPERLINK("https://app.clickup.com/t/86931cq56", "[certification] Snowflake")</f>
        <v>[certification] Snowflake</v>
      </c>
      <c r="K33" t="str">
        <f>HYPERLINK("https://app.clickup.com/t/86971xv4x", "[discovery invest - dw maintenance] Validating the marts")</f>
        <v>[discovery invest - dw maintenance] Validating the marts</v>
      </c>
      <c r="O33" t="str">
        <f>HYPERLINK("https://app.clickup.com/t/869a01gfm", "[om: fatca 2.0 design implementation project (jira tasks)] CDC-2509 Investigate subset where controlling person and entity has different entity_ids")</f>
        <v>[om: fatca 2.0 design implementation project (jira tasks)] CDC-2509 Investigate subset where controlling person and entity has different entity_ids</v>
      </c>
      <c r="R33" t="str">
        <f>HYPERLINK("https://app.clickup.com/t/869ag79ab", "[internal projects] Test Framework UAT doc")</f>
        <v>[internal projects] Test Framework UAT doc</v>
      </c>
    </row>
    <row r="34" spans="6:18" x14ac:dyDescent="0.3">
      <c r="K34" t="str">
        <f>HYPERLINK("https://app.clickup.com/t/86971xv04", "[discovery invest - dw maintenance] Run mart code")</f>
        <v>[discovery invest - dw maintenance] Run mart code</v>
      </c>
      <c r="O34" t="str">
        <f>HYPERLINK("https://app.clickup.com/t/8699yvvh7", "[om: fatca 2.0 design implementation project (jira tasks)] CDC-2560 SARS TPAH Template Update the rule to avoid referencing the database table")</f>
        <v>[om: fatca 2.0 design implementation project (jira tasks)] CDC-2560 SARS TPAH Template Update the rule to avoid referencing the database table</v>
      </c>
      <c r="R34" t="str">
        <f>HYPERLINK("https://app.clickup.com/t/869a70f9p", "[internal projects] Billed VS Invoiced VS SLA")</f>
        <v>[internal projects] Billed VS Invoiced VS SLA</v>
      </c>
    </row>
    <row r="35" spans="6:18" x14ac:dyDescent="0.3">
      <c r="K35" t="str">
        <f>HYPERLINK("https://app.clickup.com/t/86971xur8", "[discovery invest - dw maintenance] Run implied deletes code")</f>
        <v>[discovery invest - dw maintenance] Run implied deletes code</v>
      </c>
      <c r="O35" t="str">
        <f>HYPERLINK("https://app.clickup.com/t/8699yvveh", "[om: fatca 2.0 design implementation project (jira tasks)] CDC-2559 SARS TPAH Template Remove all spaces and special characters")</f>
        <v>[om: fatca 2.0 design implementation project (jira tasks)] CDC-2559 SARS TPAH Template Remove all spaces and special characters</v>
      </c>
      <c r="R35" t="str">
        <f>HYPERLINK("https://app.clickup.com/t/8697xudfa", "[internal projects] Income statement dashboard")</f>
        <v>[internal projects] Income statement dashboard</v>
      </c>
    </row>
    <row r="36" spans="6:18" x14ac:dyDescent="0.3">
      <c r="K36" t="str">
        <f>HYPERLINK("https://app.clickup.com/t/86971xtt3", "[discovery invest - dw maintenance] Validating the DWH")</f>
        <v>[discovery invest - dw maintenance] Validating the DWH</v>
      </c>
      <c r="R36" t="str">
        <f>HYPERLINK("https://app.clickup.com/t/8697t8mu2", "[internal projects] Sales Dashboard Additional requirements")</f>
        <v>[internal projects] Sales Dashboard Additional requirements</v>
      </c>
    </row>
    <row r="37" spans="6:18" x14ac:dyDescent="0.3">
      <c r="O37" t="str">
        <f>HYPERLINK("https://app.clickup.com/t/8699yvuqh", "[om: fatca 2.0 design implementation project (jira tasks)] CDC-2555 Entities former COB")</f>
        <v>[om: fatca 2.0 design implementation project (jira tasks)] CDC-2555 Entities former COB</v>
      </c>
      <c r="R37" t="str">
        <f>HYPERLINK("https://app.clickup.com/t/8697my8gd", "[internal projects] Financial and Sales Dashboard enhancement")</f>
        <v>[internal projects] Financial and Sales Dashboard enhancement</v>
      </c>
    </row>
    <row r="38" spans="6:18" x14ac:dyDescent="0.3">
      <c r="O38" t="str">
        <f>HYPERLINK("https://app.clickup.com/t/8699yvtjg", "[om: fatca 2.0 design implementation project (jira tasks)] CDC-2553 Flexcube SARS Templates - rename the RFI to source system code at scheme level")</f>
        <v>[om: fatca 2.0 design implementation project (jira tasks)] CDC-2553 Flexcube SARS Templates - rename the RFI to source system code at scheme level</v>
      </c>
      <c r="R38" t="str">
        <f>HYPERLINK("https://app.clickup.com/t/8696yar98", "[internal projects] Resource Utilization Dashboard Refinements")</f>
        <v>[internal projects] Resource Utilization Dashboard Refinements</v>
      </c>
    </row>
    <row r="39" spans="6:18" x14ac:dyDescent="0.3">
      <c r="O39" t="str">
        <f>HYPERLINK("https://app.clickup.com/t/8699yvruw", "[om: fatca 2.0 design implementation project (jira tasks)] CDC-2561 Diminmus rules to be applied at scheme level and not at OMUT level")</f>
        <v>[om: fatca 2.0 design implementation project (jira tasks)] CDC-2561 Diminmus rules to be applied at scheme level and not at OMUT level</v>
      </c>
      <c r="R39" t="str">
        <f>HYPERLINK("https://app.clickup.com/t/8696u6wyy", "[internal projects] Alteryx Server SLA Report process")</f>
        <v>[internal projects] Alteryx Server SLA Report process</v>
      </c>
    </row>
    <row r="40" spans="6:18" x14ac:dyDescent="0.3">
      <c r="O40" t="str">
        <f>HYPERLINK("https://app.clickup.com/t/8699yvra6", "[om: fatca 2.0 design implementation project (jira tasks)] CDC-2554 Entities COB")</f>
        <v>[om: fatca 2.0 design implementation project (jira tasks)] CDC-2554 Entities COB</v>
      </c>
      <c r="R40" t="str">
        <f>HYPERLINK("https://app.clickup.com/t/8695mj63r", "[internal projects] Shoprite B2B SLA Document")</f>
        <v>[internal projects] Shoprite B2B SLA Document</v>
      </c>
    </row>
    <row r="41" spans="6:18" x14ac:dyDescent="0.3">
      <c r="R41" t="str">
        <f>HYPERLINK("https://app.clickup.com/t/869474qb4", "[internal projects] Commit code to GitHub")</f>
        <v>[internal projects] Commit code to GitHub</v>
      </c>
    </row>
    <row r="42" spans="6:18" x14ac:dyDescent="0.3">
      <c r="R42" t="str">
        <f>HYPERLINK("https://app.clickup.com/t/869agp147", "[certification] Snowflake Sales Professional")</f>
        <v>[certification] Snowflake Sales Professional</v>
      </c>
    </row>
    <row r="43" spans="6:18" x14ac:dyDescent="0.3">
      <c r="R43" t="str">
        <f>HYPERLINK("https://app.clickup.com/t/869agp0uz", "[certification] Snowflake Technical Sales Professional")</f>
        <v>[certification] Snowflake Technical Sales Professional</v>
      </c>
    </row>
    <row r="44" spans="6:18" x14ac:dyDescent="0.3">
      <c r="R44" t="str">
        <f>HYPERLINK("https://app.clickup.com/t/869af829t", "[certification] Salesforce Certified Agentforce Specialist")</f>
        <v>[certification] Salesforce Certified Agentforce Specialist</v>
      </c>
    </row>
    <row r="45" spans="6:18" x14ac:dyDescent="0.3">
      <c r="R45" t="str">
        <f>HYPERLINK("https://app.clickup.com/t/869ab9g7u", "[certification] AWS Data Engineer - Associate")</f>
        <v>[certification] AWS Data Engineer - Associate</v>
      </c>
    </row>
    <row r="46" spans="6:18" x14ac:dyDescent="0.3">
      <c r="R46" t="str">
        <f>HYPERLINK("https://app.clickup.com/t/869b6v0gh", "[om: fatca 2.0 design implementation project (jira tasks)] CDC-2562 Develop a Foreigners List dashboard")</f>
        <v>[om: fatca 2.0 design implementation project (jira tasks)] CDC-2562 Develop a Foreigners List dashboard</v>
      </c>
    </row>
    <row r="47" spans="6:18" x14ac:dyDescent="0.3">
      <c r="R47" t="str">
        <f>HYPERLINK("https://app.clickup.com/t/869ax6j44", "[om: fatca 2.0 design implementation project (jira tasks)] Titanium Reports")</f>
        <v>[om: fatca 2.0 design implementation project (jira tasks)] Titanium Reports</v>
      </c>
    </row>
    <row r="48" spans="6:18" x14ac:dyDescent="0.3">
      <c r="R48" t="str">
        <f>HYPERLINK("https://app.clickup.com/t/869ax6j0z", "[om: fatca 2.0 design implementation project (jira tasks)] CDC-3034-aws-s3-bucket-investigation")</f>
        <v>[om: fatca 2.0 design implementation project (jira tasks)] CDC-3034-aws-s3-bucket-investigation</v>
      </c>
    </row>
    <row r="49" spans="18:18" x14ac:dyDescent="0.3">
      <c r="R49" t="str">
        <f>HYPERLINK("https://app.clickup.com/t/869avjm5f", "[om: fatca 2.0 design implementation project (jira tasks)] CBR Quarterly Run")</f>
        <v>[om: fatca 2.0 design implementation project (jira tasks)] CBR Quarterly Run</v>
      </c>
    </row>
    <row r="50" spans="18:18" x14ac:dyDescent="0.3">
      <c r="R50" t="str">
        <f>HYPERLINK("https://app.clickup.com/t/869auvvmp", "[om: fatca 2.0 design implementation project (jira tasks)] Advisor Recon Report Manual Run")</f>
        <v>[om: fatca 2.0 design implementation project (jira tasks)] Advisor Recon Report Manual Run</v>
      </c>
    </row>
    <row r="51" spans="18:18" x14ac:dyDescent="0.3">
      <c r="R51" t="str">
        <f>HYPERLINK("https://app.clickup.com/t/869arkz3a", "[om: fatca 2.0 design implementation project (jira tasks)] CDC-2914 Create Test Cases Cura Reg Change (Framework) Dashboard")</f>
        <v>[om: fatca 2.0 design implementation project (jira tasks)] CDC-2914 Create Test Cases Cura Reg Change (Framework) Dashboard</v>
      </c>
    </row>
    <row r="52" spans="18:18" x14ac:dyDescent="0.3">
      <c r="R52" t="str">
        <f>HYPERLINK("https://app.clickup.com/t/869am7mt7", "[om: fatca 2.0 design implementation project (jira tasks)] CDC-2913 Cura Reg Change Dashboard Modifications")</f>
        <v>[om: fatca 2.0 design implementation project (jira tasks)] CDC-2913 Cura Reg Change Dashboard Modifications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R52"/>
  <sheetViews>
    <sheetView workbookViewId="0"/>
  </sheetViews>
  <sheetFormatPr defaultRowHeight="14.4" x14ac:dyDescent="0.3"/>
  <cols>
    <col min="1" max="1" width="20" customWidth="1"/>
    <col min="2" max="4" width="50" customWidth="1"/>
    <col min="5" max="5" width="35" customWidth="1"/>
    <col min="6" max="12" width="50" customWidth="1"/>
    <col min="13" max="14" width="35" customWidth="1"/>
    <col min="15" max="16" width="50" customWidth="1"/>
    <col min="17" max="17" width="35" customWidth="1"/>
    <col min="18" max="18" width="50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</row>
    <row r="3" spans="1:17" x14ac:dyDescent="0.3">
      <c r="A3" t="s">
        <v>18</v>
      </c>
      <c r="B3" t="s">
        <v>44</v>
      </c>
      <c r="C3" t="s">
        <v>44</v>
      </c>
      <c r="D3" t="s">
        <v>44</v>
      </c>
      <c r="E3" t="s">
        <v>44</v>
      </c>
      <c r="F3" t="s">
        <v>44</v>
      </c>
      <c r="G3" t="s">
        <v>44</v>
      </c>
      <c r="H3" t="s">
        <v>44</v>
      </c>
      <c r="I3" t="s">
        <v>44</v>
      </c>
      <c r="J3" t="s">
        <v>44</v>
      </c>
      <c r="K3" t="s">
        <v>44</v>
      </c>
      <c r="L3" t="s">
        <v>44</v>
      </c>
      <c r="M3" t="s">
        <v>44</v>
      </c>
      <c r="N3" t="s">
        <v>44</v>
      </c>
      <c r="O3" t="s">
        <v>44</v>
      </c>
      <c r="P3" t="s">
        <v>44</v>
      </c>
      <c r="Q3" t="s">
        <v>44</v>
      </c>
    </row>
    <row r="4" spans="1:17" x14ac:dyDescent="0.3">
      <c r="A4" t="s">
        <v>19</v>
      </c>
      <c r="E4" t="s">
        <v>46</v>
      </c>
      <c r="G4" t="s">
        <v>68</v>
      </c>
      <c r="L4" t="s">
        <v>47</v>
      </c>
    </row>
    <row r="5" spans="1:17" x14ac:dyDescent="0.3">
      <c r="A5" t="s">
        <v>20</v>
      </c>
      <c r="E5" t="s">
        <v>46</v>
      </c>
      <c r="G5" t="s">
        <v>48</v>
      </c>
      <c r="L5" t="s">
        <v>47</v>
      </c>
    </row>
    <row r="6" spans="1:17" x14ac:dyDescent="0.3">
      <c r="A6" t="s">
        <v>21</v>
      </c>
      <c r="B6" t="s">
        <v>89</v>
      </c>
      <c r="D6" t="s">
        <v>49</v>
      </c>
      <c r="E6" t="s">
        <v>46</v>
      </c>
      <c r="G6" t="s">
        <v>48</v>
      </c>
      <c r="J6" t="s">
        <v>49</v>
      </c>
      <c r="L6" t="s">
        <v>47</v>
      </c>
    </row>
    <row r="7" spans="1:17" x14ac:dyDescent="0.3">
      <c r="A7" t="s">
        <v>22</v>
      </c>
      <c r="E7" t="s">
        <v>46</v>
      </c>
      <c r="L7" t="s">
        <v>47</v>
      </c>
    </row>
    <row r="8" spans="1:17" x14ac:dyDescent="0.3">
      <c r="A8" t="s">
        <v>23</v>
      </c>
      <c r="Q8" t="s">
        <v>52</v>
      </c>
    </row>
    <row r="9" spans="1:17" x14ac:dyDescent="0.3">
      <c r="A9" t="s">
        <v>24</v>
      </c>
      <c r="D9" t="s">
        <v>117</v>
      </c>
      <c r="E9" t="s">
        <v>117</v>
      </c>
      <c r="I9" t="s">
        <v>117</v>
      </c>
      <c r="J9" t="s">
        <v>117</v>
      </c>
      <c r="Q9" t="s">
        <v>52</v>
      </c>
    </row>
    <row r="10" spans="1:17" x14ac:dyDescent="0.3">
      <c r="A10" t="s">
        <v>25</v>
      </c>
      <c r="B10" t="s">
        <v>90</v>
      </c>
      <c r="G10" t="s">
        <v>91</v>
      </c>
      <c r="H10" t="s">
        <v>54</v>
      </c>
      <c r="K10" t="s">
        <v>90</v>
      </c>
      <c r="N10" t="s">
        <v>90</v>
      </c>
      <c r="Q10" t="s">
        <v>52</v>
      </c>
    </row>
    <row r="11" spans="1:17" x14ac:dyDescent="0.3">
      <c r="A11" t="s">
        <v>26</v>
      </c>
      <c r="H11" t="s">
        <v>54</v>
      </c>
      <c r="Q11" t="s">
        <v>52</v>
      </c>
    </row>
    <row r="12" spans="1:17" x14ac:dyDescent="0.3">
      <c r="A12" t="s">
        <v>27</v>
      </c>
      <c r="H12" t="s">
        <v>54</v>
      </c>
      <c r="Q12" t="s">
        <v>52</v>
      </c>
    </row>
    <row r="13" spans="1:17" x14ac:dyDescent="0.3">
      <c r="A13" t="s">
        <v>28</v>
      </c>
      <c r="H13" t="s">
        <v>54</v>
      </c>
      <c r="Q13" t="s">
        <v>58</v>
      </c>
    </row>
    <row r="14" spans="1:17" x14ac:dyDescent="0.3">
      <c r="A14" t="s">
        <v>29</v>
      </c>
      <c r="Q14" t="s">
        <v>58</v>
      </c>
    </row>
    <row r="15" spans="1:17" x14ac:dyDescent="0.3">
      <c r="A15" t="s">
        <v>30</v>
      </c>
      <c r="Q15" t="s">
        <v>58</v>
      </c>
    </row>
    <row r="16" spans="1:17" x14ac:dyDescent="0.3">
      <c r="A16" t="s">
        <v>31</v>
      </c>
    </row>
    <row r="17" spans="1:18" x14ac:dyDescent="0.3">
      <c r="A17" t="s">
        <v>32</v>
      </c>
    </row>
    <row r="18" spans="1:18" x14ac:dyDescent="0.3">
      <c r="A18" t="s">
        <v>33</v>
      </c>
      <c r="E18" t="s">
        <v>81</v>
      </c>
      <c r="G18" t="s">
        <v>68</v>
      </c>
      <c r="L18" t="s">
        <v>65</v>
      </c>
      <c r="Q18" t="s">
        <v>66</v>
      </c>
    </row>
    <row r="19" spans="1:18" x14ac:dyDescent="0.3">
      <c r="A19" t="s">
        <v>34</v>
      </c>
      <c r="E19" t="s">
        <v>81</v>
      </c>
      <c r="L19" t="s">
        <v>65</v>
      </c>
      <c r="Q19" t="s">
        <v>66</v>
      </c>
    </row>
    <row r="20" spans="1:18" x14ac:dyDescent="0.3">
      <c r="A20" t="s">
        <v>35</v>
      </c>
    </row>
    <row r="21" spans="1:18" x14ac:dyDescent="0.3">
      <c r="A21" t="s">
        <v>36</v>
      </c>
    </row>
    <row r="24" spans="1:18" x14ac:dyDescent="0.3">
      <c r="A24" t="s">
        <v>37</v>
      </c>
      <c r="B24">
        <f t="shared" ref="B24:Q24" si="0">ROUND(COUNTIF(B2:B19,"&lt;&gt;")/18,4)</f>
        <v>0.16669999999999999</v>
      </c>
      <c r="C24">
        <f t="shared" si="0"/>
        <v>5.5599999999999997E-2</v>
      </c>
      <c r="D24">
        <f t="shared" si="0"/>
        <v>0.16669999999999999</v>
      </c>
      <c r="E24">
        <f t="shared" si="0"/>
        <v>0.44440000000000002</v>
      </c>
      <c r="F24">
        <f t="shared" si="0"/>
        <v>5.5599999999999997E-2</v>
      </c>
      <c r="G24">
        <f t="shared" si="0"/>
        <v>0.33329999999999999</v>
      </c>
      <c r="H24">
        <f t="shared" si="0"/>
        <v>0.27779999999999999</v>
      </c>
      <c r="I24">
        <f t="shared" si="0"/>
        <v>0.1111</v>
      </c>
      <c r="J24">
        <f t="shared" si="0"/>
        <v>0.16669999999999999</v>
      </c>
      <c r="K24">
        <f t="shared" si="0"/>
        <v>0.1111</v>
      </c>
      <c r="L24">
        <f t="shared" si="0"/>
        <v>0.38890000000000002</v>
      </c>
      <c r="M24">
        <f t="shared" si="0"/>
        <v>5.5599999999999997E-2</v>
      </c>
      <c r="N24">
        <f t="shared" si="0"/>
        <v>0.1111</v>
      </c>
      <c r="O24">
        <f t="shared" si="0"/>
        <v>5.5599999999999997E-2</v>
      </c>
      <c r="P24">
        <f t="shared" si="0"/>
        <v>5.5599999999999997E-2</v>
      </c>
      <c r="Q24">
        <f t="shared" si="0"/>
        <v>0.61109999999999998</v>
      </c>
    </row>
    <row r="27" spans="1:18" x14ac:dyDescent="0.3">
      <c r="A27" t="s">
        <v>38</v>
      </c>
      <c r="B27" t="s">
        <v>39</v>
      </c>
      <c r="C27" t="s">
        <v>2</v>
      </c>
      <c r="D27" t="s">
        <v>3</v>
      </c>
      <c r="E27" t="s">
        <v>4</v>
      </c>
      <c r="F27" t="s">
        <v>40</v>
      </c>
      <c r="G27" t="s">
        <v>6</v>
      </c>
      <c r="H27" t="s">
        <v>7</v>
      </c>
      <c r="I27" t="s">
        <v>8</v>
      </c>
      <c r="J27" t="s">
        <v>9</v>
      </c>
      <c r="K27" t="s">
        <v>10</v>
      </c>
      <c r="L27" t="s">
        <v>11</v>
      </c>
      <c r="M27" t="s">
        <v>41</v>
      </c>
      <c r="N27" t="s">
        <v>13</v>
      </c>
      <c r="O27" t="s">
        <v>14</v>
      </c>
      <c r="P27" t="s">
        <v>15</v>
      </c>
      <c r="Q27" t="s">
        <v>16</v>
      </c>
      <c r="R27" t="s">
        <v>42</v>
      </c>
    </row>
    <row r="28" spans="1:18" x14ac:dyDescent="0.3">
      <c r="B28" t="str">
        <f>HYPERLINK("https://app.clickup.com/t/8698kwuqq", "[slipstream - data warehouse solution - git (productization)] Design and Build Costing reports in Snowflake")</f>
        <v>[slipstream - data warehouse solution - git (productization)] Design and Build Costing reports in Snowflake</v>
      </c>
      <c r="C28" t="str">
        <f>HYPERLINK("https://app.clickup.com/t/86995td5m", "[slipstream - data warehouse solution - git (productization)] Build the data deployment pipelines for DEV to QA")</f>
        <v>[slipstream - data warehouse solution - git (productization)] Build the data deployment pipelines for DEV to QA</v>
      </c>
      <c r="D28" t="str">
        <f>HYPERLINK("https://app.clickup.com/t/86995td5m", "[slipstream - data warehouse solution - git (productization)] Build the data deployment pipelines for DEV to QA")</f>
        <v>[slipstream - data warehouse solution - git (productization)] Build the data deployment pipelines for DEV to QA</v>
      </c>
      <c r="F28" t="str">
        <f>HYPERLINK("https://app.clickup.com/t/869a2knmy", "[slipstream - data warehouse solution - git (productization)] Create views as exploitation layer out of data lake")</f>
        <v>[slipstream - data warehouse solution - git (productization)] Create views as exploitation layer out of data lake</v>
      </c>
      <c r="G28" t="str">
        <f>HYPERLINK("https://app.clickup.com/t/869474qb4", "[internal projects] Commit code to GitHub")</f>
        <v>[internal projects] Commit code to GitHub</v>
      </c>
      <c r="H28" t="str">
        <f>HYPERLINK("https://app.clickup.com/t/869474qb4", "[internal projects] Commit code to GitHub")</f>
        <v>[internal projects] Commit code to GitHub</v>
      </c>
      <c r="I28" t="str">
        <f>HYPERLINK("https://app.clickup.com/t/869atfeg3", "[freshdesk] 1375 FPM Look through results compared to Reg30 rounding differences")</f>
        <v>[freshdesk] 1375 FPM Look through results compared to Reg30 rounding differences</v>
      </c>
      <c r="J28" t="str">
        <f>HYPERLINK("https://app.clickup.com/t/869bd0zxj", "[freshdesk] 1430 Athena Connection Setup")</f>
        <v>[freshdesk] 1430 Athena Connection Setup</v>
      </c>
      <c r="K28" t="str">
        <f>HYPERLINK("https://app.clickup.com/t/8698jrq49", "[slipstream - data warehouse solution - git (productization)] Testing - data Audit processes")</f>
        <v>[slipstream - data warehouse solution - git (productization)] Testing - data Audit processes</v>
      </c>
      <c r="L28" t="str">
        <f>HYPERLINK("https://app.clickup.com/t/869a5344p", "[freshdesk] Documentation")</f>
        <v>[freshdesk] Documentation</v>
      </c>
      <c r="O28" t="str">
        <f>HYPERLINK("https://app.clickup.com/t/869474qb4", "[internal projects] Commit code to GitHub")</f>
        <v>[internal projects] Commit code to GitHub</v>
      </c>
      <c r="P28" t="str">
        <f>HYPERLINK("https://app.clickup.com/t/869bd6a0f", "[wonga: data warehouse development &amp; migration onto snowflake project] Dim_Funnel_Checks")</f>
        <v>[wonga: data warehouse development &amp; migration onto snowflake project] Dim_Funnel_Checks</v>
      </c>
      <c r="R28" t="str">
        <f>HYPERLINK("https://app.clickup.com/t/869bbt350", "[freshdesk] 1428 SSO Intergations for data connections within Alteryx")</f>
        <v>[freshdesk] 1428 SSO Intergations for data connections within Alteryx</v>
      </c>
    </row>
    <row r="29" spans="1:18" x14ac:dyDescent="0.3">
      <c r="B29" t="str">
        <f>HYPERLINK("https://app.clickup.com/t/8698jrq4e", "[slipstream - data warehouse solution - git (productization)] Support. Includes platform optimisation, query optimisation etc.")</f>
        <v>[slipstream - data warehouse solution - git (productization)] Support. Includes platform optimisation, query optimisation etc.</v>
      </c>
      <c r="C29" t="str">
        <f>HYPERLINK("https://app.clickup.com/t/8695qbamh", "[internal projects] Testing")</f>
        <v>[internal projects] Testing</v>
      </c>
      <c r="D29" t="str">
        <f>HYPERLINK("https://app.clickup.com/t/869474qb4", "[internal projects] Commit code to GitHub")</f>
        <v>[internal projects] Commit code to GitHub</v>
      </c>
      <c r="F29" t="str">
        <f>HYPERLINK("https://app.clickup.com/t/8698kwuqq", "[slipstream - data warehouse solution - git (productization)] Design and Build Costing reports in Snowflake")</f>
        <v>[slipstream - data warehouse solution - git (productization)] Design and Build Costing reports in Snowflake</v>
      </c>
      <c r="G29" t="str">
        <f>HYPERLINK("https://app.clickup.com/t/8696c93m9", "[discovery invest - dw maintenance] Change LAst_seed_Process = 2 for 7 tables")</f>
        <v>[discovery invest - dw maintenance] Change LAst_seed_Process = 2 for 7 tables</v>
      </c>
      <c r="H29" t="str">
        <f>HYPERLINK("https://app.clickup.com/t/862k4g368", "[internal projects] Integrate data to Tableau report")</f>
        <v>[internal projects] Integrate data to Tableau report</v>
      </c>
      <c r="I29" t="str">
        <f>HYPERLINK("https://app.clickup.com/t/869474qb4", "[internal projects] Commit code to GitHub")</f>
        <v>[internal projects] Commit code to GitHub</v>
      </c>
      <c r="J29" t="str">
        <f>HYPERLINK("https://app.clickup.com/t/8696q3a3m", "[internal projects] Team Skills")</f>
        <v>[internal projects] Team Skills</v>
      </c>
      <c r="K29" t="str">
        <f>HYPERLINK("https://app.clickup.com/t/8698jrq40", "[slipstream - data warehouse solution - git (productization)] Optimisation and Enhancemnets post testing")</f>
        <v>[slipstream - data warehouse solution - git (productization)] Optimisation and Enhancemnets post testing</v>
      </c>
      <c r="L29" t="str">
        <f>HYPERLINK("https://app.clickup.com/t/8698juq5h", "[slipstream - data warehouse solution - git (productization)] Build the PowerBI reports for monitoring data Lake progress")</f>
        <v>[slipstream - data warehouse solution - git (productization)] Build the PowerBI reports for monitoring data Lake progress</v>
      </c>
      <c r="O29" t="str">
        <f>HYPERLINK("https://app.clickup.com/t/869a9nmh7", "[om: fatca 2.0 design implementation project (jira tasks)] CDC-2626 Setup Non-prod and Prod space on Alteryx Servers")</f>
        <v>[om: fatca 2.0 design implementation project (jira tasks)] CDC-2626 Setup Non-prod and Prod space on Alteryx Servers</v>
      </c>
      <c r="R29" t="str">
        <f>HYPERLINK("https://app.clickup.com/t/869b88fev", "[freshdesk] 1421 OTIF Schedule date changes")</f>
        <v>[freshdesk] 1421 OTIF Schedule date changes</v>
      </c>
    </row>
    <row r="30" spans="1:18" x14ac:dyDescent="0.3">
      <c r="B30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  <c r="C30" t="str">
        <f>HYPERLINK("https://app.clickup.com/t/869474qb4", "[internal projects] Commit code to GitHub")</f>
        <v>[internal projects] Commit code to GitHub</v>
      </c>
      <c r="F30" t="str">
        <f>HYPERLINK("https://app.clickup.com/t/8698jrxaj", "[slipstream - data warehouse solution - git (productization)] Snowflake Setup and Configuration")</f>
        <v>[slipstream - data warehouse solution - git (productization)] Snowflake Setup and Configuration</v>
      </c>
      <c r="H30" t="str">
        <f>HYPERLINK("https://app.clickup.com/t/86931cq82", "[certification] Alteryx")</f>
        <v>[certification] Alteryx</v>
      </c>
      <c r="J30" t="str">
        <f>HYPERLINK("https://app.clickup.com/t/8696kqh8k", "[internal projects] Tableau server Microsoft Teams app set up")</f>
        <v>[internal projects] Tableau server Microsoft Teams app set up</v>
      </c>
      <c r="K30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  <c r="L30" t="str">
        <f>HYPERLINK("https://app.clickup.com/t/8698jupt0", "[slipstream - data warehouse solution - git (productization)] Build the PowerBI reports for monitoring data Stage progress")</f>
        <v>[slipstream - data warehouse solution - git (productization)] Build the PowerBI reports for monitoring data Stage progress</v>
      </c>
      <c r="O30" t="str">
        <f>HYPERLINK("https://app.clickup.com/t/869a6vnq6", "[om: fatca 2.0 design implementation project (jira tasks)] CDC-2757 Market Conduct: Provide time estimates for deliverables")</f>
        <v>[om: fatca 2.0 design implementation project (jira tasks)] CDC-2757 Market Conduct: Provide time estimates for deliverables</v>
      </c>
      <c r="R30" t="str">
        <f>HYPERLINK("https://app.clickup.com/t/8698jrq49", "[slipstream - data warehouse solution - git (productization)] Testing - data Audit processes")</f>
        <v>[slipstream - data warehouse solution - git (productization)] Testing - data Audit processes</v>
      </c>
    </row>
    <row r="31" spans="1:18" x14ac:dyDescent="0.3">
      <c r="B31" t="str">
        <f>HYPERLINK("https://app.clickup.com/t/869474qb4", "[internal projects] Commit code to GitHub")</f>
        <v>[internal projects] Commit code to GitHub</v>
      </c>
      <c r="C31" t="str">
        <f>HYPERLINK("https://app.clickup.com/t/862k18nwr", "[internal projects] SLA performance for each customer")</f>
        <v>[internal projects] SLA performance for each customer</v>
      </c>
      <c r="F31" t="str">
        <f>HYPERLINK("https://app.clickup.com/t/8698jrq40", "[slipstream - data warehouse solution - git (productization)] Optimisation and Enhancemnets post testing")</f>
        <v>[slipstream - data warehouse solution - git (productization)] Optimisation and Enhancemnets post testing</v>
      </c>
      <c r="J31" t="str">
        <f>HYPERLINK("https://app.clickup.com/t/869474qb4", "[internal projects] Commit code to GitHub")</f>
        <v>[internal projects] Commit code to GitHub</v>
      </c>
      <c r="K31" t="str">
        <f>HYPERLINK("https://app.clickup.com/t/869474qb4", "[internal projects] Commit code to GitHub")</f>
        <v>[internal projects] Commit code to GitHub</v>
      </c>
      <c r="L31" t="str">
        <f>HYPERLINK("https://app.clickup.com/t/8698jrq3g", "[slipstream - data warehouse solution - git (productization)] Orchestration")</f>
        <v>[slipstream - data warehouse solution - git (productization)] Orchestration</v>
      </c>
      <c r="O31" t="str">
        <f>HYPERLINK("https://app.clickup.com/t/869a1x6nk", "[om: fatca 2.0 design implementation project (jira tasks)] CDC-2062 Highlight where field values do not map to static reference tables in the raw schema")</f>
        <v>[om: fatca 2.0 design implementation project (jira tasks)] CDC-2062 Highlight where field values do not map to static reference tables in the raw schema</v>
      </c>
      <c r="R31" t="str">
        <f>HYPERLINK("https://app.clickup.com/t/8698jrq3g", "[slipstream - data warehouse solution - git (productization)] Orchestration")</f>
        <v>[slipstream - data warehouse solution - git (productization)] Orchestration</v>
      </c>
    </row>
    <row r="32" spans="1:18" x14ac:dyDescent="0.3">
      <c r="C32" t="str">
        <f>HYPERLINK("https://app.clickup.com/t/8694x2b1k", "[certification] Alteryx Designer Advanced")</f>
        <v>[certification] Alteryx Designer Advanced</v>
      </c>
      <c r="F32" t="str">
        <f>HYPERLINK("https://app.clickup.com/t/869474qb4", "[internal projects] Commit code to GitHub")</f>
        <v>[internal projects] Commit code to GitHub</v>
      </c>
      <c r="J32" t="str">
        <f>HYPERLINK("https://app.clickup.com/t/8698rmb2r", "[certification] AWS Certified Solutions Architect - Associate")</f>
        <v>[certification] AWS Certified Solutions Architect - Associate</v>
      </c>
      <c r="K32" t="str">
        <f>HYPERLINK("https://app.clickup.com/t/86971xvd4", "[discovery invest - dw maintenance] Run the file extracts")</f>
        <v>[discovery invest - dw maintenance] Run the file extracts</v>
      </c>
      <c r="O32" t="str">
        <f>HYPERLINK("https://app.clickup.com/t/869a1bu7g", "[om: fatca 2.0 design implementation project (jira tasks)] CDC-2563 Business Rule - Tax Free investments")</f>
        <v>[om: fatca 2.0 design implementation project (jira tasks)] CDC-2563 Business Rule - Tax Free investments</v>
      </c>
      <c r="R32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</row>
    <row r="33" spans="6:18" x14ac:dyDescent="0.3">
      <c r="F33" t="str">
        <f>HYPERLINK("https://app.clickup.com/t/86931cq56", "[certification] Snowflake")</f>
        <v>[certification] Snowflake</v>
      </c>
      <c r="K33" t="str">
        <f>HYPERLINK("https://app.clickup.com/t/86971xv4x", "[discovery invest - dw maintenance] Validating the marts")</f>
        <v>[discovery invest - dw maintenance] Validating the marts</v>
      </c>
      <c r="O33" t="str">
        <f>HYPERLINK("https://app.clickup.com/t/869a01gfm", "[om: fatca 2.0 design implementation project (jira tasks)] CDC-2509 Investigate subset where controlling person and entity has different entity_ids")</f>
        <v>[om: fatca 2.0 design implementation project (jira tasks)] CDC-2509 Investigate subset where controlling person and entity has different entity_ids</v>
      </c>
      <c r="R33" t="str">
        <f>HYPERLINK("https://app.clickup.com/t/869ag79ab", "[internal projects] Test Framework UAT doc")</f>
        <v>[internal projects] Test Framework UAT doc</v>
      </c>
    </row>
    <row r="34" spans="6:18" x14ac:dyDescent="0.3">
      <c r="K34" t="str">
        <f>HYPERLINK("https://app.clickup.com/t/86971xv04", "[discovery invest - dw maintenance] Run mart code")</f>
        <v>[discovery invest - dw maintenance] Run mart code</v>
      </c>
      <c r="O34" t="str">
        <f>HYPERLINK("https://app.clickup.com/t/8699yvvh7", "[om: fatca 2.0 design implementation project (jira tasks)] CDC-2560 SARS TPAH Template Update the rule to avoid referencing the database table")</f>
        <v>[om: fatca 2.0 design implementation project (jira tasks)] CDC-2560 SARS TPAH Template Update the rule to avoid referencing the database table</v>
      </c>
      <c r="R34" t="str">
        <f>HYPERLINK("https://app.clickup.com/t/869a70f9p", "[internal projects] Billed VS Invoiced VS SLA")</f>
        <v>[internal projects] Billed VS Invoiced VS SLA</v>
      </c>
    </row>
    <row r="35" spans="6:18" x14ac:dyDescent="0.3">
      <c r="K35" t="str">
        <f>HYPERLINK("https://app.clickup.com/t/86971xur8", "[discovery invest - dw maintenance] Run implied deletes code")</f>
        <v>[discovery invest - dw maintenance] Run implied deletes code</v>
      </c>
      <c r="O35" t="str">
        <f>HYPERLINK("https://app.clickup.com/t/8699yvveh", "[om: fatca 2.0 design implementation project (jira tasks)] CDC-2559 SARS TPAH Template Remove all spaces and special characters")</f>
        <v>[om: fatca 2.0 design implementation project (jira tasks)] CDC-2559 SARS TPAH Template Remove all spaces and special characters</v>
      </c>
      <c r="R35" t="str">
        <f>HYPERLINK("https://app.clickup.com/t/8697xudfa", "[internal projects] Income statement dashboard")</f>
        <v>[internal projects] Income statement dashboard</v>
      </c>
    </row>
    <row r="36" spans="6:18" x14ac:dyDescent="0.3">
      <c r="K36" t="str">
        <f>HYPERLINK("https://app.clickup.com/t/86971xtt3", "[discovery invest - dw maintenance] Validating the DWH")</f>
        <v>[discovery invest - dw maintenance] Validating the DWH</v>
      </c>
      <c r="R36" t="str">
        <f>HYPERLINK("https://app.clickup.com/t/8697t8mu2", "[internal projects] Sales Dashboard Additional requirements")</f>
        <v>[internal projects] Sales Dashboard Additional requirements</v>
      </c>
    </row>
    <row r="37" spans="6:18" x14ac:dyDescent="0.3">
      <c r="O37" t="str">
        <f>HYPERLINK("https://app.clickup.com/t/8699yvuqh", "[om: fatca 2.0 design implementation project (jira tasks)] CDC-2555 Entities former COB")</f>
        <v>[om: fatca 2.0 design implementation project (jira tasks)] CDC-2555 Entities former COB</v>
      </c>
      <c r="R37" t="str">
        <f>HYPERLINK("https://app.clickup.com/t/8697my8gd", "[internal projects] Financial and Sales Dashboard enhancement")</f>
        <v>[internal projects] Financial and Sales Dashboard enhancement</v>
      </c>
    </row>
    <row r="38" spans="6:18" x14ac:dyDescent="0.3">
      <c r="O38" t="str">
        <f>HYPERLINK("https://app.clickup.com/t/8699yvtjg", "[om: fatca 2.0 design implementation project (jira tasks)] CDC-2553 Flexcube SARS Templates - rename the RFI to source system code at scheme level")</f>
        <v>[om: fatca 2.0 design implementation project (jira tasks)] CDC-2553 Flexcube SARS Templates - rename the RFI to source system code at scheme level</v>
      </c>
      <c r="R38" t="str">
        <f>HYPERLINK("https://app.clickup.com/t/8696yar98", "[internal projects] Resource Utilization Dashboard Refinements")</f>
        <v>[internal projects] Resource Utilization Dashboard Refinements</v>
      </c>
    </row>
    <row r="39" spans="6:18" x14ac:dyDescent="0.3">
      <c r="O39" t="str">
        <f>HYPERLINK("https://app.clickup.com/t/8699yvruw", "[om: fatca 2.0 design implementation project (jira tasks)] CDC-2561 Diminmus rules to be applied at scheme level and not at OMUT level")</f>
        <v>[om: fatca 2.0 design implementation project (jira tasks)] CDC-2561 Diminmus rules to be applied at scheme level and not at OMUT level</v>
      </c>
      <c r="R39" t="str">
        <f>HYPERLINK("https://app.clickup.com/t/8696u6wyy", "[internal projects] Alteryx Server SLA Report process")</f>
        <v>[internal projects] Alteryx Server SLA Report process</v>
      </c>
    </row>
    <row r="40" spans="6:18" x14ac:dyDescent="0.3">
      <c r="O40" t="str">
        <f>HYPERLINK("https://app.clickup.com/t/8699yvra6", "[om: fatca 2.0 design implementation project (jira tasks)] CDC-2554 Entities COB")</f>
        <v>[om: fatca 2.0 design implementation project (jira tasks)] CDC-2554 Entities COB</v>
      </c>
      <c r="R40" t="str">
        <f>HYPERLINK("https://app.clickup.com/t/8695mj63r", "[internal projects] Shoprite B2B SLA Document")</f>
        <v>[internal projects] Shoprite B2B SLA Document</v>
      </c>
    </row>
    <row r="41" spans="6:18" x14ac:dyDescent="0.3">
      <c r="R41" t="str">
        <f>HYPERLINK("https://app.clickup.com/t/869474qb4", "[internal projects] Commit code to GitHub")</f>
        <v>[internal projects] Commit code to GitHub</v>
      </c>
    </row>
    <row r="42" spans="6:18" x14ac:dyDescent="0.3">
      <c r="R42" t="str">
        <f>HYPERLINK("https://app.clickup.com/t/869agp147", "[certification] Snowflake Sales Professional")</f>
        <v>[certification] Snowflake Sales Professional</v>
      </c>
    </row>
    <row r="43" spans="6:18" x14ac:dyDescent="0.3">
      <c r="R43" t="str">
        <f>HYPERLINK("https://app.clickup.com/t/869agp0uz", "[certification] Snowflake Technical Sales Professional")</f>
        <v>[certification] Snowflake Technical Sales Professional</v>
      </c>
    </row>
    <row r="44" spans="6:18" x14ac:dyDescent="0.3">
      <c r="R44" t="str">
        <f>HYPERLINK("https://app.clickup.com/t/869af829t", "[certification] Salesforce Certified Agentforce Specialist")</f>
        <v>[certification] Salesforce Certified Agentforce Specialist</v>
      </c>
    </row>
    <row r="45" spans="6:18" x14ac:dyDescent="0.3">
      <c r="R45" t="str">
        <f>HYPERLINK("https://app.clickup.com/t/869ab9g7u", "[certification] AWS Data Engineer - Associate")</f>
        <v>[certification] AWS Data Engineer - Associate</v>
      </c>
    </row>
    <row r="46" spans="6:18" x14ac:dyDescent="0.3">
      <c r="R46" t="str">
        <f>HYPERLINK("https://app.clickup.com/t/869b6v0gh", "[om: fatca 2.0 design implementation project (jira tasks)] CDC-2562 Develop a Foreigners List dashboard")</f>
        <v>[om: fatca 2.0 design implementation project (jira tasks)] CDC-2562 Develop a Foreigners List dashboard</v>
      </c>
    </row>
    <row r="47" spans="6:18" x14ac:dyDescent="0.3">
      <c r="R47" t="str">
        <f>HYPERLINK("https://app.clickup.com/t/869ax6j44", "[om: fatca 2.0 design implementation project (jira tasks)] Titanium Reports")</f>
        <v>[om: fatca 2.0 design implementation project (jira tasks)] Titanium Reports</v>
      </c>
    </row>
    <row r="48" spans="6:18" x14ac:dyDescent="0.3">
      <c r="R48" t="str">
        <f>HYPERLINK("https://app.clickup.com/t/869ax6j0z", "[om: fatca 2.0 design implementation project (jira tasks)] CDC-3034-aws-s3-bucket-investigation")</f>
        <v>[om: fatca 2.0 design implementation project (jira tasks)] CDC-3034-aws-s3-bucket-investigation</v>
      </c>
    </row>
    <row r="49" spans="18:18" x14ac:dyDescent="0.3">
      <c r="R49" t="str">
        <f>HYPERLINK("https://app.clickup.com/t/869avjm5f", "[om: fatca 2.0 design implementation project (jira tasks)] CBR Quarterly Run")</f>
        <v>[om: fatca 2.0 design implementation project (jira tasks)] CBR Quarterly Run</v>
      </c>
    </row>
    <row r="50" spans="18:18" x14ac:dyDescent="0.3">
      <c r="R50" t="str">
        <f>HYPERLINK("https://app.clickup.com/t/869auvvmp", "[om: fatca 2.0 design implementation project (jira tasks)] Advisor Recon Report Manual Run")</f>
        <v>[om: fatca 2.0 design implementation project (jira tasks)] Advisor Recon Report Manual Run</v>
      </c>
    </row>
    <row r="51" spans="18:18" x14ac:dyDescent="0.3">
      <c r="R51" t="str">
        <f>HYPERLINK("https://app.clickup.com/t/869arkz3a", "[om: fatca 2.0 design implementation project (jira tasks)] CDC-2914 Create Test Cases Cura Reg Change (Framework) Dashboard")</f>
        <v>[om: fatca 2.0 design implementation project (jira tasks)] CDC-2914 Create Test Cases Cura Reg Change (Framework) Dashboard</v>
      </c>
    </row>
    <row r="52" spans="18:18" x14ac:dyDescent="0.3">
      <c r="R52" t="str">
        <f>HYPERLINK("https://app.clickup.com/t/869am7mt7", "[om: fatca 2.0 design implementation project (jira tasks)] CDC-2913 Cura Reg Change Dashboard Modifications")</f>
        <v>[om: fatca 2.0 design implementation project (jira tasks)] CDC-2913 Cura Reg Change Dashboard Modifications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R52"/>
  <sheetViews>
    <sheetView workbookViewId="0"/>
  </sheetViews>
  <sheetFormatPr defaultRowHeight="14.4" x14ac:dyDescent="0.3"/>
  <cols>
    <col min="1" max="1" width="20" customWidth="1"/>
    <col min="2" max="4" width="50" customWidth="1"/>
    <col min="5" max="5" width="35" customWidth="1"/>
    <col min="6" max="12" width="50" customWidth="1"/>
    <col min="13" max="14" width="35" customWidth="1"/>
    <col min="15" max="16" width="50" customWidth="1"/>
    <col min="17" max="17" width="35" customWidth="1"/>
    <col min="18" max="18" width="50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</row>
    <row r="3" spans="1:17" x14ac:dyDescent="0.3">
      <c r="A3" t="s">
        <v>18</v>
      </c>
    </row>
    <row r="4" spans="1:17" x14ac:dyDescent="0.3">
      <c r="A4" t="s">
        <v>19</v>
      </c>
    </row>
    <row r="5" spans="1:17" x14ac:dyDescent="0.3">
      <c r="A5" t="s">
        <v>20</v>
      </c>
    </row>
    <row r="6" spans="1:17" x14ac:dyDescent="0.3">
      <c r="A6" t="s">
        <v>21</v>
      </c>
    </row>
    <row r="7" spans="1:17" x14ac:dyDescent="0.3">
      <c r="A7" t="s">
        <v>22</v>
      </c>
    </row>
    <row r="8" spans="1:17" x14ac:dyDescent="0.3">
      <c r="A8" t="s">
        <v>23</v>
      </c>
    </row>
    <row r="9" spans="1:17" x14ac:dyDescent="0.3">
      <c r="A9" t="s">
        <v>24</v>
      </c>
    </row>
    <row r="10" spans="1:17" x14ac:dyDescent="0.3">
      <c r="A10" t="s">
        <v>25</v>
      </c>
    </row>
    <row r="11" spans="1:17" x14ac:dyDescent="0.3">
      <c r="A11" t="s">
        <v>26</v>
      </c>
    </row>
    <row r="12" spans="1:17" x14ac:dyDescent="0.3">
      <c r="A12" t="s">
        <v>27</v>
      </c>
    </row>
    <row r="13" spans="1:17" x14ac:dyDescent="0.3">
      <c r="A13" t="s">
        <v>28</v>
      </c>
    </row>
    <row r="14" spans="1:17" x14ac:dyDescent="0.3">
      <c r="A14" t="s">
        <v>29</v>
      </c>
    </row>
    <row r="15" spans="1:17" x14ac:dyDescent="0.3">
      <c r="A15" t="s">
        <v>30</v>
      </c>
    </row>
    <row r="16" spans="1:17" x14ac:dyDescent="0.3">
      <c r="A16" t="s">
        <v>31</v>
      </c>
    </row>
    <row r="17" spans="1:18" x14ac:dyDescent="0.3">
      <c r="A17" t="s">
        <v>32</v>
      </c>
    </row>
    <row r="18" spans="1:18" x14ac:dyDescent="0.3">
      <c r="A18" t="s">
        <v>33</v>
      </c>
    </row>
    <row r="19" spans="1:18" x14ac:dyDescent="0.3">
      <c r="A19" t="s">
        <v>34</v>
      </c>
    </row>
    <row r="20" spans="1:18" x14ac:dyDescent="0.3">
      <c r="A20" t="s">
        <v>35</v>
      </c>
    </row>
    <row r="21" spans="1:18" x14ac:dyDescent="0.3">
      <c r="A21" t="s">
        <v>36</v>
      </c>
    </row>
    <row r="24" spans="1:18" x14ac:dyDescent="0.3">
      <c r="A24" t="s">
        <v>37</v>
      </c>
      <c r="B24">
        <f t="shared" ref="B24:Q24" si="0">ROUND(COUNTIF(B2:B19,"&lt;&gt;")/18,4)</f>
        <v>0</v>
      </c>
      <c r="C24">
        <f t="shared" si="0"/>
        <v>0</v>
      </c>
      <c r="D24">
        <f t="shared" si="0"/>
        <v>0</v>
      </c>
      <c r="E24">
        <f t="shared" si="0"/>
        <v>0</v>
      </c>
      <c r="F24">
        <f t="shared" si="0"/>
        <v>0</v>
      </c>
      <c r="G24">
        <f t="shared" si="0"/>
        <v>0</v>
      </c>
      <c r="H24">
        <f t="shared" si="0"/>
        <v>0</v>
      </c>
      <c r="I24">
        <f t="shared" si="0"/>
        <v>0</v>
      </c>
      <c r="J24">
        <f t="shared" si="0"/>
        <v>0</v>
      </c>
      <c r="K24">
        <f t="shared" si="0"/>
        <v>0</v>
      </c>
      <c r="L24">
        <f t="shared" si="0"/>
        <v>0</v>
      </c>
      <c r="M24">
        <f t="shared" si="0"/>
        <v>0</v>
      </c>
      <c r="N24">
        <f t="shared" si="0"/>
        <v>0</v>
      </c>
      <c r="O24">
        <f t="shared" si="0"/>
        <v>0</v>
      </c>
      <c r="P24">
        <f t="shared" si="0"/>
        <v>0</v>
      </c>
      <c r="Q24">
        <f t="shared" si="0"/>
        <v>0</v>
      </c>
    </row>
    <row r="27" spans="1:18" x14ac:dyDescent="0.3">
      <c r="A27" t="s">
        <v>38</v>
      </c>
      <c r="B27" t="s">
        <v>39</v>
      </c>
      <c r="C27" t="s">
        <v>2</v>
      </c>
      <c r="D27" t="s">
        <v>3</v>
      </c>
      <c r="E27" t="s">
        <v>4</v>
      </c>
      <c r="F27" t="s">
        <v>40</v>
      </c>
      <c r="G27" t="s">
        <v>6</v>
      </c>
      <c r="H27" t="s">
        <v>7</v>
      </c>
      <c r="I27" t="s">
        <v>8</v>
      </c>
      <c r="J27" t="s">
        <v>9</v>
      </c>
      <c r="K27" t="s">
        <v>10</v>
      </c>
      <c r="L27" t="s">
        <v>11</v>
      </c>
      <c r="M27" t="s">
        <v>41</v>
      </c>
      <c r="N27" t="s">
        <v>13</v>
      </c>
      <c r="O27" t="s">
        <v>14</v>
      </c>
      <c r="P27" t="s">
        <v>15</v>
      </c>
      <c r="Q27" t="s">
        <v>16</v>
      </c>
      <c r="R27" t="s">
        <v>42</v>
      </c>
    </row>
    <row r="28" spans="1:18" x14ac:dyDescent="0.3">
      <c r="B28" t="str">
        <f>HYPERLINK("https://app.clickup.com/t/8698kwuqq", "[slipstream - data warehouse solution - git (productization)] Design and Build Costing reports in Snowflake")</f>
        <v>[slipstream - data warehouse solution - git (productization)] Design and Build Costing reports in Snowflake</v>
      </c>
      <c r="C28" t="str">
        <f>HYPERLINK("https://app.clickup.com/t/86995td5m", "[slipstream - data warehouse solution - git (productization)] Build the data deployment pipelines for DEV to QA")</f>
        <v>[slipstream - data warehouse solution - git (productization)] Build the data deployment pipelines for DEV to QA</v>
      </c>
      <c r="D28" t="str">
        <f>HYPERLINK("https://app.clickup.com/t/86995td5m", "[slipstream - data warehouse solution - git (productization)] Build the data deployment pipelines for DEV to QA")</f>
        <v>[slipstream - data warehouse solution - git (productization)] Build the data deployment pipelines for DEV to QA</v>
      </c>
      <c r="F28" t="str">
        <f>HYPERLINK("https://app.clickup.com/t/869a2knmy", "[slipstream - data warehouse solution - git (productization)] Create views as exploitation layer out of data lake")</f>
        <v>[slipstream - data warehouse solution - git (productization)] Create views as exploitation layer out of data lake</v>
      </c>
      <c r="G28" t="str">
        <f>HYPERLINK("https://app.clickup.com/t/869474qb4", "[internal projects] Commit code to GitHub")</f>
        <v>[internal projects] Commit code to GitHub</v>
      </c>
      <c r="H28" t="str">
        <f>HYPERLINK("https://app.clickup.com/t/869474qb4", "[internal projects] Commit code to GitHub")</f>
        <v>[internal projects] Commit code to GitHub</v>
      </c>
      <c r="I28" t="str">
        <f>HYPERLINK("https://app.clickup.com/t/869atfeg3", "[freshdesk] 1375 FPM Look through results compared to Reg30 rounding differences")</f>
        <v>[freshdesk] 1375 FPM Look through results compared to Reg30 rounding differences</v>
      </c>
      <c r="J28" t="str">
        <f>HYPERLINK("https://app.clickup.com/t/869bd0zxj", "[freshdesk] 1430 Athena Connection Setup")</f>
        <v>[freshdesk] 1430 Athena Connection Setup</v>
      </c>
      <c r="K28" t="str">
        <f>HYPERLINK("https://app.clickup.com/t/8698jrq49", "[slipstream - data warehouse solution - git (productization)] Testing - data Audit processes")</f>
        <v>[slipstream - data warehouse solution - git (productization)] Testing - data Audit processes</v>
      </c>
      <c r="L28" t="str">
        <f>HYPERLINK("https://app.clickup.com/t/869a5344p", "[freshdesk] Documentation")</f>
        <v>[freshdesk] Documentation</v>
      </c>
      <c r="O28" t="str">
        <f>HYPERLINK("https://app.clickup.com/t/869474qb4", "[internal projects] Commit code to GitHub")</f>
        <v>[internal projects] Commit code to GitHub</v>
      </c>
      <c r="P28" t="str">
        <f>HYPERLINK("https://app.clickup.com/t/869bd6a0f", "[wonga: data warehouse development &amp; migration onto snowflake project] Dim_Funnel_Checks")</f>
        <v>[wonga: data warehouse development &amp; migration onto snowflake project] Dim_Funnel_Checks</v>
      </c>
      <c r="R28" t="str">
        <f>HYPERLINK("https://app.clickup.com/t/869bbt350", "[freshdesk] 1428 SSO Intergations for data connections within Alteryx")</f>
        <v>[freshdesk] 1428 SSO Intergations for data connections within Alteryx</v>
      </c>
    </row>
    <row r="29" spans="1:18" x14ac:dyDescent="0.3">
      <c r="B29" t="str">
        <f>HYPERLINK("https://app.clickup.com/t/8698jrq4e", "[slipstream - data warehouse solution - git (productization)] Support. Includes platform optimisation, query optimisation etc.")</f>
        <v>[slipstream - data warehouse solution - git (productization)] Support. Includes platform optimisation, query optimisation etc.</v>
      </c>
      <c r="C29" t="str">
        <f>HYPERLINK("https://app.clickup.com/t/8695qbamh", "[internal projects] Testing")</f>
        <v>[internal projects] Testing</v>
      </c>
      <c r="D29" t="str">
        <f>HYPERLINK("https://app.clickup.com/t/869474qb4", "[internal projects] Commit code to GitHub")</f>
        <v>[internal projects] Commit code to GitHub</v>
      </c>
      <c r="F29" t="str">
        <f>HYPERLINK("https://app.clickup.com/t/8698kwuqq", "[slipstream - data warehouse solution - git (productization)] Design and Build Costing reports in Snowflake")</f>
        <v>[slipstream - data warehouse solution - git (productization)] Design and Build Costing reports in Snowflake</v>
      </c>
      <c r="G29" t="str">
        <f>HYPERLINK("https://app.clickup.com/t/8696c93m9", "[discovery invest - dw maintenance] Change LAst_seed_Process = 2 for 7 tables")</f>
        <v>[discovery invest - dw maintenance] Change LAst_seed_Process = 2 for 7 tables</v>
      </c>
      <c r="H29" t="str">
        <f>HYPERLINK("https://app.clickup.com/t/862k4g368", "[internal projects] Integrate data to Tableau report")</f>
        <v>[internal projects] Integrate data to Tableau report</v>
      </c>
      <c r="I29" t="str">
        <f>HYPERLINK("https://app.clickup.com/t/869474qb4", "[internal projects] Commit code to GitHub")</f>
        <v>[internal projects] Commit code to GitHub</v>
      </c>
      <c r="J29" t="str">
        <f>HYPERLINK("https://app.clickup.com/t/8696q3a3m", "[internal projects] Team Skills")</f>
        <v>[internal projects] Team Skills</v>
      </c>
      <c r="K29" t="str">
        <f>HYPERLINK("https://app.clickup.com/t/8698jrq40", "[slipstream - data warehouse solution - git (productization)] Optimisation and Enhancemnets post testing")</f>
        <v>[slipstream - data warehouse solution - git (productization)] Optimisation and Enhancemnets post testing</v>
      </c>
      <c r="L29" t="str">
        <f>HYPERLINK("https://app.clickup.com/t/8698juq5h", "[slipstream - data warehouse solution - git (productization)] Build the PowerBI reports for monitoring data Lake progress")</f>
        <v>[slipstream - data warehouse solution - git (productization)] Build the PowerBI reports for monitoring data Lake progress</v>
      </c>
      <c r="O29" t="str">
        <f>HYPERLINK("https://app.clickup.com/t/869a9nmh7", "[om: fatca 2.0 design implementation project (jira tasks)] CDC-2626 Setup Non-prod and Prod space on Alteryx Servers")</f>
        <v>[om: fatca 2.0 design implementation project (jira tasks)] CDC-2626 Setup Non-prod and Prod space on Alteryx Servers</v>
      </c>
      <c r="R29" t="str">
        <f>HYPERLINK("https://app.clickup.com/t/869b88fev", "[freshdesk] 1421 OTIF Schedule date changes")</f>
        <v>[freshdesk] 1421 OTIF Schedule date changes</v>
      </c>
    </row>
    <row r="30" spans="1:18" x14ac:dyDescent="0.3">
      <c r="B30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  <c r="C30" t="str">
        <f>HYPERLINK("https://app.clickup.com/t/869474qb4", "[internal projects] Commit code to GitHub")</f>
        <v>[internal projects] Commit code to GitHub</v>
      </c>
      <c r="F30" t="str">
        <f>HYPERLINK("https://app.clickup.com/t/8698jrxaj", "[slipstream - data warehouse solution - git (productization)] Snowflake Setup and Configuration")</f>
        <v>[slipstream - data warehouse solution - git (productization)] Snowflake Setup and Configuration</v>
      </c>
      <c r="H30" t="str">
        <f>HYPERLINK("https://app.clickup.com/t/86931cq82", "[certification] Alteryx")</f>
        <v>[certification] Alteryx</v>
      </c>
      <c r="J30" t="str">
        <f>HYPERLINK("https://app.clickup.com/t/8696kqh8k", "[internal projects] Tableau server Microsoft Teams app set up")</f>
        <v>[internal projects] Tableau server Microsoft Teams app set up</v>
      </c>
      <c r="K30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  <c r="L30" t="str">
        <f>HYPERLINK("https://app.clickup.com/t/8698jupt0", "[slipstream - data warehouse solution - git (productization)] Build the PowerBI reports for monitoring data Stage progress")</f>
        <v>[slipstream - data warehouse solution - git (productization)] Build the PowerBI reports for monitoring data Stage progress</v>
      </c>
      <c r="O30" t="str">
        <f>HYPERLINK("https://app.clickup.com/t/869a6vnq6", "[om: fatca 2.0 design implementation project (jira tasks)] CDC-2757 Market Conduct: Provide time estimates for deliverables")</f>
        <v>[om: fatca 2.0 design implementation project (jira tasks)] CDC-2757 Market Conduct: Provide time estimates for deliverables</v>
      </c>
      <c r="R30" t="str">
        <f>HYPERLINK("https://app.clickup.com/t/8698jrq49", "[slipstream - data warehouse solution - git (productization)] Testing - data Audit processes")</f>
        <v>[slipstream - data warehouse solution - git (productization)] Testing - data Audit processes</v>
      </c>
    </row>
    <row r="31" spans="1:18" x14ac:dyDescent="0.3">
      <c r="B31" t="str">
        <f>HYPERLINK("https://app.clickup.com/t/869474qb4", "[internal projects] Commit code to GitHub")</f>
        <v>[internal projects] Commit code to GitHub</v>
      </c>
      <c r="C31" t="str">
        <f>HYPERLINK("https://app.clickup.com/t/862k18nwr", "[internal projects] SLA performance for each customer")</f>
        <v>[internal projects] SLA performance for each customer</v>
      </c>
      <c r="F31" t="str">
        <f>HYPERLINK("https://app.clickup.com/t/8698jrq40", "[slipstream - data warehouse solution - git (productization)] Optimisation and Enhancemnets post testing")</f>
        <v>[slipstream - data warehouse solution - git (productization)] Optimisation and Enhancemnets post testing</v>
      </c>
      <c r="J31" t="str">
        <f>HYPERLINK("https://app.clickup.com/t/869474qb4", "[internal projects] Commit code to GitHub")</f>
        <v>[internal projects] Commit code to GitHub</v>
      </c>
      <c r="K31" t="str">
        <f>HYPERLINK("https://app.clickup.com/t/869474qb4", "[internal projects] Commit code to GitHub")</f>
        <v>[internal projects] Commit code to GitHub</v>
      </c>
      <c r="L31" t="str">
        <f>HYPERLINK("https://app.clickup.com/t/8698jrq3g", "[slipstream - data warehouse solution - git (productization)] Orchestration")</f>
        <v>[slipstream - data warehouse solution - git (productization)] Orchestration</v>
      </c>
      <c r="O31" t="str">
        <f>HYPERLINK("https://app.clickup.com/t/869a1x6nk", "[om: fatca 2.0 design implementation project (jira tasks)] CDC-2062 Highlight where field values do not map to static reference tables in the raw schema")</f>
        <v>[om: fatca 2.0 design implementation project (jira tasks)] CDC-2062 Highlight where field values do not map to static reference tables in the raw schema</v>
      </c>
      <c r="R31" t="str">
        <f>HYPERLINK("https://app.clickup.com/t/8698jrq3g", "[slipstream - data warehouse solution - git (productization)] Orchestration")</f>
        <v>[slipstream - data warehouse solution - git (productization)] Orchestration</v>
      </c>
    </row>
    <row r="32" spans="1:18" x14ac:dyDescent="0.3">
      <c r="C32" t="str">
        <f>HYPERLINK("https://app.clickup.com/t/8694x2b1k", "[certification] Alteryx Designer Advanced")</f>
        <v>[certification] Alteryx Designer Advanced</v>
      </c>
      <c r="F32" t="str">
        <f>HYPERLINK("https://app.clickup.com/t/869474qb4", "[internal projects] Commit code to GitHub")</f>
        <v>[internal projects] Commit code to GitHub</v>
      </c>
      <c r="J32" t="str">
        <f>HYPERLINK("https://app.clickup.com/t/8698rmb2r", "[certification] AWS Certified Solutions Architect - Associate")</f>
        <v>[certification] AWS Certified Solutions Architect - Associate</v>
      </c>
      <c r="K32" t="str">
        <f>HYPERLINK("https://app.clickup.com/t/86971xvd4", "[discovery invest - dw maintenance] Run the file extracts")</f>
        <v>[discovery invest - dw maintenance] Run the file extracts</v>
      </c>
      <c r="O32" t="str">
        <f>HYPERLINK("https://app.clickup.com/t/869a1bu7g", "[om: fatca 2.0 design implementation project (jira tasks)] CDC-2563 Business Rule - Tax Free investments")</f>
        <v>[om: fatca 2.0 design implementation project (jira tasks)] CDC-2563 Business Rule - Tax Free investments</v>
      </c>
      <c r="R32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</row>
    <row r="33" spans="6:18" x14ac:dyDescent="0.3">
      <c r="F33" t="str">
        <f>HYPERLINK("https://app.clickup.com/t/86931cq56", "[certification] Snowflake")</f>
        <v>[certification] Snowflake</v>
      </c>
      <c r="K33" t="str">
        <f>HYPERLINK("https://app.clickup.com/t/86971xv4x", "[discovery invest - dw maintenance] Validating the marts")</f>
        <v>[discovery invest - dw maintenance] Validating the marts</v>
      </c>
      <c r="O33" t="str">
        <f>HYPERLINK("https://app.clickup.com/t/869a01gfm", "[om: fatca 2.0 design implementation project (jira tasks)] CDC-2509 Investigate subset where controlling person and entity has different entity_ids")</f>
        <v>[om: fatca 2.0 design implementation project (jira tasks)] CDC-2509 Investigate subset where controlling person and entity has different entity_ids</v>
      </c>
      <c r="R33" t="str">
        <f>HYPERLINK("https://app.clickup.com/t/869ag79ab", "[internal projects] Test Framework UAT doc")</f>
        <v>[internal projects] Test Framework UAT doc</v>
      </c>
    </row>
    <row r="34" spans="6:18" x14ac:dyDescent="0.3">
      <c r="K34" t="str">
        <f>HYPERLINK("https://app.clickup.com/t/86971xv04", "[discovery invest - dw maintenance] Run mart code")</f>
        <v>[discovery invest - dw maintenance] Run mart code</v>
      </c>
      <c r="O34" t="str">
        <f>HYPERLINK("https://app.clickup.com/t/8699yvvh7", "[om: fatca 2.0 design implementation project (jira tasks)] CDC-2560 SARS TPAH Template Update the rule to avoid referencing the database table")</f>
        <v>[om: fatca 2.0 design implementation project (jira tasks)] CDC-2560 SARS TPAH Template Update the rule to avoid referencing the database table</v>
      </c>
      <c r="R34" t="str">
        <f>HYPERLINK("https://app.clickup.com/t/869a70f9p", "[internal projects] Billed VS Invoiced VS SLA")</f>
        <v>[internal projects] Billed VS Invoiced VS SLA</v>
      </c>
    </row>
    <row r="35" spans="6:18" x14ac:dyDescent="0.3">
      <c r="K35" t="str">
        <f>HYPERLINK("https://app.clickup.com/t/86971xur8", "[discovery invest - dw maintenance] Run implied deletes code")</f>
        <v>[discovery invest - dw maintenance] Run implied deletes code</v>
      </c>
      <c r="O35" t="str">
        <f>HYPERLINK("https://app.clickup.com/t/8699yvveh", "[om: fatca 2.0 design implementation project (jira tasks)] CDC-2559 SARS TPAH Template Remove all spaces and special characters")</f>
        <v>[om: fatca 2.0 design implementation project (jira tasks)] CDC-2559 SARS TPAH Template Remove all spaces and special characters</v>
      </c>
      <c r="R35" t="str">
        <f>HYPERLINK("https://app.clickup.com/t/8697xudfa", "[internal projects] Income statement dashboard")</f>
        <v>[internal projects] Income statement dashboard</v>
      </c>
    </row>
    <row r="36" spans="6:18" x14ac:dyDescent="0.3">
      <c r="K36" t="str">
        <f>HYPERLINK("https://app.clickup.com/t/86971xtt3", "[discovery invest - dw maintenance] Validating the DWH")</f>
        <v>[discovery invest - dw maintenance] Validating the DWH</v>
      </c>
      <c r="R36" t="str">
        <f>HYPERLINK("https://app.clickup.com/t/8697t8mu2", "[internal projects] Sales Dashboard Additional requirements")</f>
        <v>[internal projects] Sales Dashboard Additional requirements</v>
      </c>
    </row>
    <row r="37" spans="6:18" x14ac:dyDescent="0.3">
      <c r="O37" t="str">
        <f>HYPERLINK("https://app.clickup.com/t/8699yvuqh", "[om: fatca 2.0 design implementation project (jira tasks)] CDC-2555 Entities former COB")</f>
        <v>[om: fatca 2.0 design implementation project (jira tasks)] CDC-2555 Entities former COB</v>
      </c>
      <c r="R37" t="str">
        <f>HYPERLINK("https://app.clickup.com/t/8697my8gd", "[internal projects] Financial and Sales Dashboard enhancement")</f>
        <v>[internal projects] Financial and Sales Dashboard enhancement</v>
      </c>
    </row>
    <row r="38" spans="6:18" x14ac:dyDescent="0.3">
      <c r="O38" t="str">
        <f>HYPERLINK("https://app.clickup.com/t/8699yvtjg", "[om: fatca 2.0 design implementation project (jira tasks)] CDC-2553 Flexcube SARS Templates - rename the RFI to source system code at scheme level")</f>
        <v>[om: fatca 2.0 design implementation project (jira tasks)] CDC-2553 Flexcube SARS Templates - rename the RFI to source system code at scheme level</v>
      </c>
      <c r="R38" t="str">
        <f>HYPERLINK("https://app.clickup.com/t/8696yar98", "[internal projects] Resource Utilization Dashboard Refinements")</f>
        <v>[internal projects] Resource Utilization Dashboard Refinements</v>
      </c>
    </row>
    <row r="39" spans="6:18" x14ac:dyDescent="0.3">
      <c r="O39" t="str">
        <f>HYPERLINK("https://app.clickup.com/t/8699yvruw", "[om: fatca 2.0 design implementation project (jira tasks)] CDC-2561 Diminmus rules to be applied at scheme level and not at OMUT level")</f>
        <v>[om: fatca 2.0 design implementation project (jira tasks)] CDC-2561 Diminmus rules to be applied at scheme level and not at OMUT level</v>
      </c>
      <c r="R39" t="str">
        <f>HYPERLINK("https://app.clickup.com/t/8696u6wyy", "[internal projects] Alteryx Server SLA Report process")</f>
        <v>[internal projects] Alteryx Server SLA Report process</v>
      </c>
    </row>
    <row r="40" spans="6:18" x14ac:dyDescent="0.3">
      <c r="O40" t="str">
        <f>HYPERLINK("https://app.clickup.com/t/8699yvra6", "[om: fatca 2.0 design implementation project (jira tasks)] CDC-2554 Entities COB")</f>
        <v>[om: fatca 2.0 design implementation project (jira tasks)] CDC-2554 Entities COB</v>
      </c>
      <c r="R40" t="str">
        <f>HYPERLINK("https://app.clickup.com/t/8695mj63r", "[internal projects] Shoprite B2B SLA Document")</f>
        <v>[internal projects] Shoprite B2B SLA Document</v>
      </c>
    </row>
    <row r="41" spans="6:18" x14ac:dyDescent="0.3">
      <c r="R41" t="str">
        <f>HYPERLINK("https://app.clickup.com/t/869474qb4", "[internal projects] Commit code to GitHub")</f>
        <v>[internal projects] Commit code to GitHub</v>
      </c>
    </row>
    <row r="42" spans="6:18" x14ac:dyDescent="0.3">
      <c r="R42" t="str">
        <f>HYPERLINK("https://app.clickup.com/t/869agp147", "[certification] Snowflake Sales Professional")</f>
        <v>[certification] Snowflake Sales Professional</v>
      </c>
    </row>
    <row r="43" spans="6:18" x14ac:dyDescent="0.3">
      <c r="R43" t="str">
        <f>HYPERLINK("https://app.clickup.com/t/869agp0uz", "[certification] Snowflake Technical Sales Professional")</f>
        <v>[certification] Snowflake Technical Sales Professional</v>
      </c>
    </row>
    <row r="44" spans="6:18" x14ac:dyDescent="0.3">
      <c r="R44" t="str">
        <f>HYPERLINK("https://app.clickup.com/t/869af829t", "[certification] Salesforce Certified Agentforce Specialist")</f>
        <v>[certification] Salesforce Certified Agentforce Specialist</v>
      </c>
    </row>
    <row r="45" spans="6:18" x14ac:dyDescent="0.3">
      <c r="R45" t="str">
        <f>HYPERLINK("https://app.clickup.com/t/869ab9g7u", "[certification] AWS Data Engineer - Associate")</f>
        <v>[certification] AWS Data Engineer - Associate</v>
      </c>
    </row>
    <row r="46" spans="6:18" x14ac:dyDescent="0.3">
      <c r="R46" t="str">
        <f>HYPERLINK("https://app.clickup.com/t/869b6v0gh", "[om: fatca 2.0 design implementation project (jira tasks)] CDC-2562 Develop a Foreigners List dashboard")</f>
        <v>[om: fatca 2.0 design implementation project (jira tasks)] CDC-2562 Develop a Foreigners List dashboard</v>
      </c>
    </row>
    <row r="47" spans="6:18" x14ac:dyDescent="0.3">
      <c r="R47" t="str">
        <f>HYPERLINK("https://app.clickup.com/t/869ax6j44", "[om: fatca 2.0 design implementation project (jira tasks)] Titanium Reports")</f>
        <v>[om: fatca 2.0 design implementation project (jira tasks)] Titanium Reports</v>
      </c>
    </row>
    <row r="48" spans="6:18" x14ac:dyDescent="0.3">
      <c r="R48" t="str">
        <f>HYPERLINK("https://app.clickup.com/t/869ax6j0z", "[om: fatca 2.0 design implementation project (jira tasks)] CDC-3034-aws-s3-bucket-investigation")</f>
        <v>[om: fatca 2.0 design implementation project (jira tasks)] CDC-3034-aws-s3-bucket-investigation</v>
      </c>
    </row>
    <row r="49" spans="18:18" x14ac:dyDescent="0.3">
      <c r="R49" t="str">
        <f>HYPERLINK("https://app.clickup.com/t/869avjm5f", "[om: fatca 2.0 design implementation project (jira tasks)] CBR Quarterly Run")</f>
        <v>[om: fatca 2.0 design implementation project (jira tasks)] CBR Quarterly Run</v>
      </c>
    </row>
    <row r="50" spans="18:18" x14ac:dyDescent="0.3">
      <c r="R50" t="str">
        <f>HYPERLINK("https://app.clickup.com/t/869auvvmp", "[om: fatca 2.0 design implementation project (jira tasks)] Advisor Recon Report Manual Run")</f>
        <v>[om: fatca 2.0 design implementation project (jira tasks)] Advisor Recon Report Manual Run</v>
      </c>
    </row>
    <row r="51" spans="18:18" x14ac:dyDescent="0.3">
      <c r="R51" t="str">
        <f>HYPERLINK("https://app.clickup.com/t/869arkz3a", "[om: fatca 2.0 design implementation project (jira tasks)] CDC-2914 Create Test Cases Cura Reg Change (Framework) Dashboard")</f>
        <v>[om: fatca 2.0 design implementation project (jira tasks)] CDC-2914 Create Test Cases Cura Reg Change (Framework) Dashboard</v>
      </c>
    </row>
    <row r="52" spans="18:18" x14ac:dyDescent="0.3">
      <c r="R52" t="str">
        <f>HYPERLINK("https://app.clickup.com/t/869am7mt7", "[om: fatca 2.0 design implementation project (jira tasks)] CDC-2913 Cura Reg Change Dashboard Modifications")</f>
        <v>[om: fatca 2.0 design implementation project (jira tasks)] CDC-2913 Cura Reg Change Dashboard Modifications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R52"/>
  <sheetViews>
    <sheetView workbookViewId="0"/>
  </sheetViews>
  <sheetFormatPr defaultRowHeight="14.4" x14ac:dyDescent="0.3"/>
  <cols>
    <col min="1" max="1" width="20" customWidth="1"/>
    <col min="2" max="4" width="50" customWidth="1"/>
    <col min="5" max="5" width="35" customWidth="1"/>
    <col min="6" max="12" width="50" customWidth="1"/>
    <col min="13" max="14" width="35" customWidth="1"/>
    <col min="15" max="16" width="50" customWidth="1"/>
    <col min="17" max="17" width="35" customWidth="1"/>
    <col min="18" max="18" width="50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</row>
    <row r="3" spans="1:17" x14ac:dyDescent="0.3">
      <c r="A3" t="s">
        <v>18</v>
      </c>
    </row>
    <row r="4" spans="1:17" x14ac:dyDescent="0.3">
      <c r="A4" t="s">
        <v>19</v>
      </c>
    </row>
    <row r="5" spans="1:17" x14ac:dyDescent="0.3">
      <c r="A5" t="s">
        <v>20</v>
      </c>
    </row>
    <row r="6" spans="1:17" x14ac:dyDescent="0.3">
      <c r="A6" t="s">
        <v>21</v>
      </c>
    </row>
    <row r="7" spans="1:17" x14ac:dyDescent="0.3">
      <c r="A7" t="s">
        <v>22</v>
      </c>
    </row>
    <row r="8" spans="1:17" x14ac:dyDescent="0.3">
      <c r="A8" t="s">
        <v>23</v>
      </c>
    </row>
    <row r="9" spans="1:17" x14ac:dyDescent="0.3">
      <c r="A9" t="s">
        <v>24</v>
      </c>
    </row>
    <row r="10" spans="1:17" x14ac:dyDescent="0.3">
      <c r="A10" t="s">
        <v>25</v>
      </c>
    </row>
    <row r="11" spans="1:17" x14ac:dyDescent="0.3">
      <c r="A11" t="s">
        <v>26</v>
      </c>
    </row>
    <row r="12" spans="1:17" x14ac:dyDescent="0.3">
      <c r="A12" t="s">
        <v>27</v>
      </c>
    </row>
    <row r="13" spans="1:17" x14ac:dyDescent="0.3">
      <c r="A13" t="s">
        <v>28</v>
      </c>
    </row>
    <row r="14" spans="1:17" x14ac:dyDescent="0.3">
      <c r="A14" t="s">
        <v>29</v>
      </c>
    </row>
    <row r="15" spans="1:17" x14ac:dyDescent="0.3">
      <c r="A15" t="s">
        <v>30</v>
      </c>
    </row>
    <row r="16" spans="1:17" x14ac:dyDescent="0.3">
      <c r="A16" t="s">
        <v>31</v>
      </c>
    </row>
    <row r="17" spans="1:18" x14ac:dyDescent="0.3">
      <c r="A17" t="s">
        <v>32</v>
      </c>
    </row>
    <row r="18" spans="1:18" x14ac:dyDescent="0.3">
      <c r="A18" t="s">
        <v>33</v>
      </c>
    </row>
    <row r="19" spans="1:18" x14ac:dyDescent="0.3">
      <c r="A19" t="s">
        <v>34</v>
      </c>
    </row>
    <row r="20" spans="1:18" x14ac:dyDescent="0.3">
      <c r="A20" t="s">
        <v>35</v>
      </c>
    </row>
    <row r="21" spans="1:18" x14ac:dyDescent="0.3">
      <c r="A21" t="s">
        <v>36</v>
      </c>
    </row>
    <row r="24" spans="1:18" x14ac:dyDescent="0.3">
      <c r="A24" t="s">
        <v>37</v>
      </c>
      <c r="B24">
        <f t="shared" ref="B24:Q24" si="0">ROUND(COUNTIF(B2:B19,"&lt;&gt;")/18,4)</f>
        <v>0</v>
      </c>
      <c r="C24">
        <f t="shared" si="0"/>
        <v>0</v>
      </c>
      <c r="D24">
        <f t="shared" si="0"/>
        <v>0</v>
      </c>
      <c r="E24">
        <f t="shared" si="0"/>
        <v>0</v>
      </c>
      <c r="F24">
        <f t="shared" si="0"/>
        <v>0</v>
      </c>
      <c r="G24">
        <f t="shared" si="0"/>
        <v>0</v>
      </c>
      <c r="H24">
        <f t="shared" si="0"/>
        <v>0</v>
      </c>
      <c r="I24">
        <f t="shared" si="0"/>
        <v>0</v>
      </c>
      <c r="J24">
        <f t="shared" si="0"/>
        <v>0</v>
      </c>
      <c r="K24">
        <f t="shared" si="0"/>
        <v>0</v>
      </c>
      <c r="L24">
        <f t="shared" si="0"/>
        <v>0</v>
      </c>
      <c r="M24">
        <f t="shared" si="0"/>
        <v>0</v>
      </c>
      <c r="N24">
        <f t="shared" si="0"/>
        <v>0</v>
      </c>
      <c r="O24">
        <f t="shared" si="0"/>
        <v>0</v>
      </c>
      <c r="P24">
        <f t="shared" si="0"/>
        <v>0</v>
      </c>
      <c r="Q24">
        <f t="shared" si="0"/>
        <v>0</v>
      </c>
    </row>
    <row r="27" spans="1:18" x14ac:dyDescent="0.3">
      <c r="A27" t="s">
        <v>38</v>
      </c>
      <c r="B27" t="s">
        <v>39</v>
      </c>
      <c r="C27" t="s">
        <v>2</v>
      </c>
      <c r="D27" t="s">
        <v>3</v>
      </c>
      <c r="E27" t="s">
        <v>4</v>
      </c>
      <c r="F27" t="s">
        <v>40</v>
      </c>
      <c r="G27" t="s">
        <v>6</v>
      </c>
      <c r="H27" t="s">
        <v>7</v>
      </c>
      <c r="I27" t="s">
        <v>8</v>
      </c>
      <c r="J27" t="s">
        <v>9</v>
      </c>
      <c r="K27" t="s">
        <v>10</v>
      </c>
      <c r="L27" t="s">
        <v>11</v>
      </c>
      <c r="M27" t="s">
        <v>41</v>
      </c>
      <c r="N27" t="s">
        <v>13</v>
      </c>
      <c r="O27" t="s">
        <v>14</v>
      </c>
      <c r="P27" t="s">
        <v>15</v>
      </c>
      <c r="Q27" t="s">
        <v>16</v>
      </c>
      <c r="R27" t="s">
        <v>42</v>
      </c>
    </row>
    <row r="28" spans="1:18" x14ac:dyDescent="0.3">
      <c r="B28" t="str">
        <f>HYPERLINK("https://app.clickup.com/t/8698kwuqq", "[slipstream - data warehouse solution - git (productization)] Design and Build Costing reports in Snowflake")</f>
        <v>[slipstream - data warehouse solution - git (productization)] Design and Build Costing reports in Snowflake</v>
      </c>
      <c r="C28" t="str">
        <f>HYPERLINK("https://app.clickup.com/t/86995td5m", "[slipstream - data warehouse solution - git (productization)] Build the data deployment pipelines for DEV to QA")</f>
        <v>[slipstream - data warehouse solution - git (productization)] Build the data deployment pipelines for DEV to QA</v>
      </c>
      <c r="D28" t="str">
        <f>HYPERLINK("https://app.clickup.com/t/86995td5m", "[slipstream - data warehouse solution - git (productization)] Build the data deployment pipelines for DEV to QA")</f>
        <v>[slipstream - data warehouse solution - git (productization)] Build the data deployment pipelines for DEV to QA</v>
      </c>
      <c r="F28" t="str">
        <f>HYPERLINK("https://app.clickup.com/t/869a2knmy", "[slipstream - data warehouse solution - git (productization)] Create views as exploitation layer out of data lake")</f>
        <v>[slipstream - data warehouse solution - git (productization)] Create views as exploitation layer out of data lake</v>
      </c>
      <c r="G28" t="str">
        <f>HYPERLINK("https://app.clickup.com/t/869474qb4", "[internal projects] Commit code to GitHub")</f>
        <v>[internal projects] Commit code to GitHub</v>
      </c>
      <c r="H28" t="str">
        <f>HYPERLINK("https://app.clickup.com/t/869474qb4", "[internal projects] Commit code to GitHub")</f>
        <v>[internal projects] Commit code to GitHub</v>
      </c>
      <c r="I28" t="str">
        <f>HYPERLINK("https://app.clickup.com/t/869atfeg3", "[freshdesk] 1375 FPM Look through results compared to Reg30 rounding differences")</f>
        <v>[freshdesk] 1375 FPM Look through results compared to Reg30 rounding differences</v>
      </c>
      <c r="J28" t="str">
        <f>HYPERLINK("https://app.clickup.com/t/869bd0zxj", "[freshdesk] 1430 Athena Connection Setup")</f>
        <v>[freshdesk] 1430 Athena Connection Setup</v>
      </c>
      <c r="K28" t="str">
        <f>HYPERLINK("https://app.clickup.com/t/8698jrq49", "[slipstream - data warehouse solution - git (productization)] Testing - data Audit processes")</f>
        <v>[slipstream - data warehouse solution - git (productization)] Testing - data Audit processes</v>
      </c>
      <c r="L28" t="str">
        <f>HYPERLINK("https://app.clickup.com/t/869a5344p", "[freshdesk] Documentation")</f>
        <v>[freshdesk] Documentation</v>
      </c>
      <c r="O28" t="str">
        <f>HYPERLINK("https://app.clickup.com/t/869474qb4", "[internal projects] Commit code to GitHub")</f>
        <v>[internal projects] Commit code to GitHub</v>
      </c>
      <c r="P28" t="str">
        <f>HYPERLINK("https://app.clickup.com/t/869bd6a0f", "[wonga: data warehouse development &amp; migration onto snowflake project] Dim_Funnel_Checks")</f>
        <v>[wonga: data warehouse development &amp; migration onto snowflake project] Dim_Funnel_Checks</v>
      </c>
      <c r="R28" t="str">
        <f>HYPERLINK("https://app.clickup.com/t/869bbt350", "[freshdesk] 1428 SSO Intergations for data connections within Alteryx")</f>
        <v>[freshdesk] 1428 SSO Intergations for data connections within Alteryx</v>
      </c>
    </row>
    <row r="29" spans="1:18" x14ac:dyDescent="0.3">
      <c r="B29" t="str">
        <f>HYPERLINK("https://app.clickup.com/t/8698jrq4e", "[slipstream - data warehouse solution - git (productization)] Support. Includes platform optimisation, query optimisation etc.")</f>
        <v>[slipstream - data warehouse solution - git (productization)] Support. Includes platform optimisation, query optimisation etc.</v>
      </c>
      <c r="C29" t="str">
        <f>HYPERLINK("https://app.clickup.com/t/8695qbamh", "[internal projects] Testing")</f>
        <v>[internal projects] Testing</v>
      </c>
      <c r="D29" t="str">
        <f>HYPERLINK("https://app.clickup.com/t/869474qb4", "[internal projects] Commit code to GitHub")</f>
        <v>[internal projects] Commit code to GitHub</v>
      </c>
      <c r="F29" t="str">
        <f>HYPERLINK("https://app.clickup.com/t/8698kwuqq", "[slipstream - data warehouse solution - git (productization)] Design and Build Costing reports in Snowflake")</f>
        <v>[slipstream - data warehouse solution - git (productization)] Design and Build Costing reports in Snowflake</v>
      </c>
      <c r="G29" t="str">
        <f>HYPERLINK("https://app.clickup.com/t/8696c93m9", "[discovery invest - dw maintenance] Change LAst_seed_Process = 2 for 7 tables")</f>
        <v>[discovery invest - dw maintenance] Change LAst_seed_Process = 2 for 7 tables</v>
      </c>
      <c r="H29" t="str">
        <f>HYPERLINK("https://app.clickup.com/t/862k4g368", "[internal projects] Integrate data to Tableau report")</f>
        <v>[internal projects] Integrate data to Tableau report</v>
      </c>
      <c r="I29" t="str">
        <f>HYPERLINK("https://app.clickup.com/t/869474qb4", "[internal projects] Commit code to GitHub")</f>
        <v>[internal projects] Commit code to GitHub</v>
      </c>
      <c r="J29" t="str">
        <f>HYPERLINK("https://app.clickup.com/t/8696q3a3m", "[internal projects] Team Skills")</f>
        <v>[internal projects] Team Skills</v>
      </c>
      <c r="K29" t="str">
        <f>HYPERLINK("https://app.clickup.com/t/8698jrq40", "[slipstream - data warehouse solution - git (productization)] Optimisation and Enhancemnets post testing")</f>
        <v>[slipstream - data warehouse solution - git (productization)] Optimisation and Enhancemnets post testing</v>
      </c>
      <c r="L29" t="str">
        <f>HYPERLINK("https://app.clickup.com/t/8698juq5h", "[slipstream - data warehouse solution - git (productization)] Build the PowerBI reports for monitoring data Lake progress")</f>
        <v>[slipstream - data warehouse solution - git (productization)] Build the PowerBI reports for monitoring data Lake progress</v>
      </c>
      <c r="O29" t="str">
        <f>HYPERLINK("https://app.clickup.com/t/869a9nmh7", "[om: fatca 2.0 design implementation project (jira tasks)] CDC-2626 Setup Non-prod and Prod space on Alteryx Servers")</f>
        <v>[om: fatca 2.0 design implementation project (jira tasks)] CDC-2626 Setup Non-prod and Prod space on Alteryx Servers</v>
      </c>
      <c r="R29" t="str">
        <f>HYPERLINK("https://app.clickup.com/t/869b88fev", "[freshdesk] 1421 OTIF Schedule date changes")</f>
        <v>[freshdesk] 1421 OTIF Schedule date changes</v>
      </c>
    </row>
    <row r="30" spans="1:18" x14ac:dyDescent="0.3">
      <c r="B30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  <c r="C30" t="str">
        <f>HYPERLINK("https://app.clickup.com/t/869474qb4", "[internal projects] Commit code to GitHub")</f>
        <v>[internal projects] Commit code to GitHub</v>
      </c>
      <c r="F30" t="str">
        <f>HYPERLINK("https://app.clickup.com/t/8698jrxaj", "[slipstream - data warehouse solution - git (productization)] Snowflake Setup and Configuration")</f>
        <v>[slipstream - data warehouse solution - git (productization)] Snowflake Setup and Configuration</v>
      </c>
      <c r="H30" t="str">
        <f>HYPERLINK("https://app.clickup.com/t/86931cq82", "[certification] Alteryx")</f>
        <v>[certification] Alteryx</v>
      </c>
      <c r="J30" t="str">
        <f>HYPERLINK("https://app.clickup.com/t/8696kqh8k", "[internal projects] Tableau server Microsoft Teams app set up")</f>
        <v>[internal projects] Tableau server Microsoft Teams app set up</v>
      </c>
      <c r="K30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  <c r="L30" t="str">
        <f>HYPERLINK("https://app.clickup.com/t/8698jupt0", "[slipstream - data warehouse solution - git (productization)] Build the PowerBI reports for monitoring data Stage progress")</f>
        <v>[slipstream - data warehouse solution - git (productization)] Build the PowerBI reports for monitoring data Stage progress</v>
      </c>
      <c r="O30" t="str">
        <f>HYPERLINK("https://app.clickup.com/t/869a6vnq6", "[om: fatca 2.0 design implementation project (jira tasks)] CDC-2757 Market Conduct: Provide time estimates for deliverables")</f>
        <v>[om: fatca 2.0 design implementation project (jira tasks)] CDC-2757 Market Conduct: Provide time estimates for deliverables</v>
      </c>
      <c r="R30" t="str">
        <f>HYPERLINK("https://app.clickup.com/t/8698jrq49", "[slipstream - data warehouse solution - git (productization)] Testing - data Audit processes")</f>
        <v>[slipstream - data warehouse solution - git (productization)] Testing - data Audit processes</v>
      </c>
    </row>
    <row r="31" spans="1:18" x14ac:dyDescent="0.3">
      <c r="B31" t="str">
        <f>HYPERLINK("https://app.clickup.com/t/869474qb4", "[internal projects] Commit code to GitHub")</f>
        <v>[internal projects] Commit code to GitHub</v>
      </c>
      <c r="C31" t="str">
        <f>HYPERLINK("https://app.clickup.com/t/862k18nwr", "[internal projects] SLA performance for each customer")</f>
        <v>[internal projects] SLA performance for each customer</v>
      </c>
      <c r="F31" t="str">
        <f>HYPERLINK("https://app.clickup.com/t/8698jrq40", "[slipstream - data warehouse solution - git (productization)] Optimisation and Enhancemnets post testing")</f>
        <v>[slipstream - data warehouse solution - git (productization)] Optimisation and Enhancemnets post testing</v>
      </c>
      <c r="J31" t="str">
        <f>HYPERLINK("https://app.clickup.com/t/869474qb4", "[internal projects] Commit code to GitHub")</f>
        <v>[internal projects] Commit code to GitHub</v>
      </c>
      <c r="K31" t="str">
        <f>HYPERLINK("https://app.clickup.com/t/869474qb4", "[internal projects] Commit code to GitHub")</f>
        <v>[internal projects] Commit code to GitHub</v>
      </c>
      <c r="L31" t="str">
        <f>HYPERLINK("https://app.clickup.com/t/8698jrq3g", "[slipstream - data warehouse solution - git (productization)] Orchestration")</f>
        <v>[slipstream - data warehouse solution - git (productization)] Orchestration</v>
      </c>
      <c r="O31" t="str">
        <f>HYPERLINK("https://app.clickup.com/t/869a1x6nk", "[om: fatca 2.0 design implementation project (jira tasks)] CDC-2062 Highlight where field values do not map to static reference tables in the raw schema")</f>
        <v>[om: fatca 2.0 design implementation project (jira tasks)] CDC-2062 Highlight where field values do not map to static reference tables in the raw schema</v>
      </c>
      <c r="R31" t="str">
        <f>HYPERLINK("https://app.clickup.com/t/8698jrq3g", "[slipstream - data warehouse solution - git (productization)] Orchestration")</f>
        <v>[slipstream - data warehouse solution - git (productization)] Orchestration</v>
      </c>
    </row>
    <row r="32" spans="1:18" x14ac:dyDescent="0.3">
      <c r="C32" t="str">
        <f>HYPERLINK("https://app.clickup.com/t/8694x2b1k", "[certification] Alteryx Designer Advanced")</f>
        <v>[certification] Alteryx Designer Advanced</v>
      </c>
      <c r="F32" t="str">
        <f>HYPERLINK("https://app.clickup.com/t/869474qb4", "[internal projects] Commit code to GitHub")</f>
        <v>[internal projects] Commit code to GitHub</v>
      </c>
      <c r="J32" t="str">
        <f>HYPERLINK("https://app.clickup.com/t/8698rmb2r", "[certification] AWS Certified Solutions Architect - Associate")</f>
        <v>[certification] AWS Certified Solutions Architect - Associate</v>
      </c>
      <c r="K32" t="str">
        <f>HYPERLINK("https://app.clickup.com/t/86971xvd4", "[discovery invest - dw maintenance] Run the file extracts")</f>
        <v>[discovery invest - dw maintenance] Run the file extracts</v>
      </c>
      <c r="O32" t="str">
        <f>HYPERLINK("https://app.clickup.com/t/869a1bu7g", "[om: fatca 2.0 design implementation project (jira tasks)] CDC-2563 Business Rule - Tax Free investments")</f>
        <v>[om: fatca 2.0 design implementation project (jira tasks)] CDC-2563 Business Rule - Tax Free investments</v>
      </c>
      <c r="R32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</row>
    <row r="33" spans="6:18" x14ac:dyDescent="0.3">
      <c r="F33" t="str">
        <f>HYPERLINK("https://app.clickup.com/t/86931cq56", "[certification] Snowflake")</f>
        <v>[certification] Snowflake</v>
      </c>
      <c r="K33" t="str">
        <f>HYPERLINK("https://app.clickup.com/t/86971xv4x", "[discovery invest - dw maintenance] Validating the marts")</f>
        <v>[discovery invest - dw maintenance] Validating the marts</v>
      </c>
      <c r="O33" t="str">
        <f>HYPERLINK("https://app.clickup.com/t/869a01gfm", "[om: fatca 2.0 design implementation project (jira tasks)] CDC-2509 Investigate subset where controlling person and entity has different entity_ids")</f>
        <v>[om: fatca 2.0 design implementation project (jira tasks)] CDC-2509 Investigate subset where controlling person and entity has different entity_ids</v>
      </c>
      <c r="R33" t="str">
        <f>HYPERLINK("https://app.clickup.com/t/869ag79ab", "[internal projects] Test Framework UAT doc")</f>
        <v>[internal projects] Test Framework UAT doc</v>
      </c>
    </row>
    <row r="34" spans="6:18" x14ac:dyDescent="0.3">
      <c r="K34" t="str">
        <f>HYPERLINK("https://app.clickup.com/t/86971xv04", "[discovery invest - dw maintenance] Run mart code")</f>
        <v>[discovery invest - dw maintenance] Run mart code</v>
      </c>
      <c r="O34" t="str">
        <f>HYPERLINK("https://app.clickup.com/t/8699yvvh7", "[om: fatca 2.0 design implementation project (jira tasks)] CDC-2560 SARS TPAH Template Update the rule to avoid referencing the database table")</f>
        <v>[om: fatca 2.0 design implementation project (jira tasks)] CDC-2560 SARS TPAH Template Update the rule to avoid referencing the database table</v>
      </c>
      <c r="R34" t="str">
        <f>HYPERLINK("https://app.clickup.com/t/869a70f9p", "[internal projects] Billed VS Invoiced VS SLA")</f>
        <v>[internal projects] Billed VS Invoiced VS SLA</v>
      </c>
    </row>
    <row r="35" spans="6:18" x14ac:dyDescent="0.3">
      <c r="K35" t="str">
        <f>HYPERLINK("https://app.clickup.com/t/86971xur8", "[discovery invest - dw maintenance] Run implied deletes code")</f>
        <v>[discovery invest - dw maintenance] Run implied deletes code</v>
      </c>
      <c r="O35" t="str">
        <f>HYPERLINK("https://app.clickup.com/t/8699yvveh", "[om: fatca 2.0 design implementation project (jira tasks)] CDC-2559 SARS TPAH Template Remove all spaces and special characters")</f>
        <v>[om: fatca 2.0 design implementation project (jira tasks)] CDC-2559 SARS TPAH Template Remove all spaces and special characters</v>
      </c>
      <c r="R35" t="str">
        <f>HYPERLINK("https://app.clickup.com/t/8697xudfa", "[internal projects] Income statement dashboard")</f>
        <v>[internal projects] Income statement dashboard</v>
      </c>
    </row>
    <row r="36" spans="6:18" x14ac:dyDescent="0.3">
      <c r="K36" t="str">
        <f>HYPERLINK("https://app.clickup.com/t/86971xtt3", "[discovery invest - dw maintenance] Validating the DWH")</f>
        <v>[discovery invest - dw maintenance] Validating the DWH</v>
      </c>
      <c r="R36" t="str">
        <f>HYPERLINK("https://app.clickup.com/t/8697t8mu2", "[internal projects] Sales Dashboard Additional requirements")</f>
        <v>[internal projects] Sales Dashboard Additional requirements</v>
      </c>
    </row>
    <row r="37" spans="6:18" x14ac:dyDescent="0.3">
      <c r="O37" t="str">
        <f>HYPERLINK("https://app.clickup.com/t/8699yvuqh", "[om: fatca 2.0 design implementation project (jira tasks)] CDC-2555 Entities former COB")</f>
        <v>[om: fatca 2.0 design implementation project (jira tasks)] CDC-2555 Entities former COB</v>
      </c>
      <c r="R37" t="str">
        <f>HYPERLINK("https://app.clickup.com/t/8697my8gd", "[internal projects] Financial and Sales Dashboard enhancement")</f>
        <v>[internal projects] Financial and Sales Dashboard enhancement</v>
      </c>
    </row>
    <row r="38" spans="6:18" x14ac:dyDescent="0.3">
      <c r="O38" t="str">
        <f>HYPERLINK("https://app.clickup.com/t/8699yvtjg", "[om: fatca 2.0 design implementation project (jira tasks)] CDC-2553 Flexcube SARS Templates - rename the RFI to source system code at scheme level")</f>
        <v>[om: fatca 2.0 design implementation project (jira tasks)] CDC-2553 Flexcube SARS Templates - rename the RFI to source system code at scheme level</v>
      </c>
      <c r="R38" t="str">
        <f>HYPERLINK("https://app.clickup.com/t/8696yar98", "[internal projects] Resource Utilization Dashboard Refinements")</f>
        <v>[internal projects] Resource Utilization Dashboard Refinements</v>
      </c>
    </row>
    <row r="39" spans="6:18" x14ac:dyDescent="0.3">
      <c r="O39" t="str">
        <f>HYPERLINK("https://app.clickup.com/t/8699yvruw", "[om: fatca 2.0 design implementation project (jira tasks)] CDC-2561 Diminmus rules to be applied at scheme level and not at OMUT level")</f>
        <v>[om: fatca 2.0 design implementation project (jira tasks)] CDC-2561 Diminmus rules to be applied at scheme level and not at OMUT level</v>
      </c>
      <c r="R39" t="str">
        <f>HYPERLINK("https://app.clickup.com/t/8696u6wyy", "[internal projects] Alteryx Server SLA Report process")</f>
        <v>[internal projects] Alteryx Server SLA Report process</v>
      </c>
    </row>
    <row r="40" spans="6:18" x14ac:dyDescent="0.3">
      <c r="O40" t="str">
        <f>HYPERLINK("https://app.clickup.com/t/8699yvra6", "[om: fatca 2.0 design implementation project (jira tasks)] CDC-2554 Entities COB")</f>
        <v>[om: fatca 2.0 design implementation project (jira tasks)] CDC-2554 Entities COB</v>
      </c>
      <c r="R40" t="str">
        <f>HYPERLINK("https://app.clickup.com/t/8695mj63r", "[internal projects] Shoprite B2B SLA Document")</f>
        <v>[internal projects] Shoprite B2B SLA Document</v>
      </c>
    </row>
    <row r="41" spans="6:18" x14ac:dyDescent="0.3">
      <c r="R41" t="str">
        <f>HYPERLINK("https://app.clickup.com/t/869474qb4", "[internal projects] Commit code to GitHub")</f>
        <v>[internal projects] Commit code to GitHub</v>
      </c>
    </row>
    <row r="42" spans="6:18" x14ac:dyDescent="0.3">
      <c r="R42" t="str">
        <f>HYPERLINK("https://app.clickup.com/t/869agp147", "[certification] Snowflake Sales Professional")</f>
        <v>[certification] Snowflake Sales Professional</v>
      </c>
    </row>
    <row r="43" spans="6:18" x14ac:dyDescent="0.3">
      <c r="R43" t="str">
        <f>HYPERLINK("https://app.clickup.com/t/869agp0uz", "[certification] Snowflake Technical Sales Professional")</f>
        <v>[certification] Snowflake Technical Sales Professional</v>
      </c>
    </row>
    <row r="44" spans="6:18" x14ac:dyDescent="0.3">
      <c r="R44" t="str">
        <f>HYPERLINK("https://app.clickup.com/t/869af829t", "[certification] Salesforce Certified Agentforce Specialist")</f>
        <v>[certification] Salesforce Certified Agentforce Specialist</v>
      </c>
    </row>
    <row r="45" spans="6:18" x14ac:dyDescent="0.3">
      <c r="R45" t="str">
        <f>HYPERLINK("https://app.clickup.com/t/869ab9g7u", "[certification] AWS Data Engineer - Associate")</f>
        <v>[certification] AWS Data Engineer - Associate</v>
      </c>
    </row>
    <row r="46" spans="6:18" x14ac:dyDescent="0.3">
      <c r="R46" t="str">
        <f>HYPERLINK("https://app.clickup.com/t/869b6v0gh", "[om: fatca 2.0 design implementation project (jira tasks)] CDC-2562 Develop a Foreigners List dashboard")</f>
        <v>[om: fatca 2.0 design implementation project (jira tasks)] CDC-2562 Develop a Foreigners List dashboard</v>
      </c>
    </row>
    <row r="47" spans="6:18" x14ac:dyDescent="0.3">
      <c r="R47" t="str">
        <f>HYPERLINK("https://app.clickup.com/t/869ax6j44", "[om: fatca 2.0 design implementation project (jira tasks)] Titanium Reports")</f>
        <v>[om: fatca 2.0 design implementation project (jira tasks)] Titanium Reports</v>
      </c>
    </row>
    <row r="48" spans="6:18" x14ac:dyDescent="0.3">
      <c r="R48" t="str">
        <f>HYPERLINK("https://app.clickup.com/t/869ax6j0z", "[om: fatca 2.0 design implementation project (jira tasks)] CDC-3034-aws-s3-bucket-investigation")</f>
        <v>[om: fatca 2.0 design implementation project (jira tasks)] CDC-3034-aws-s3-bucket-investigation</v>
      </c>
    </row>
    <row r="49" spans="18:18" x14ac:dyDescent="0.3">
      <c r="R49" t="str">
        <f>HYPERLINK("https://app.clickup.com/t/869avjm5f", "[om: fatca 2.0 design implementation project (jira tasks)] CBR Quarterly Run")</f>
        <v>[om: fatca 2.0 design implementation project (jira tasks)] CBR Quarterly Run</v>
      </c>
    </row>
    <row r="50" spans="18:18" x14ac:dyDescent="0.3">
      <c r="R50" t="str">
        <f>HYPERLINK("https://app.clickup.com/t/869auvvmp", "[om: fatca 2.0 design implementation project (jira tasks)] Advisor Recon Report Manual Run")</f>
        <v>[om: fatca 2.0 design implementation project (jira tasks)] Advisor Recon Report Manual Run</v>
      </c>
    </row>
    <row r="51" spans="18:18" x14ac:dyDescent="0.3">
      <c r="R51" t="str">
        <f>HYPERLINK("https://app.clickup.com/t/869arkz3a", "[om: fatca 2.0 design implementation project (jira tasks)] CDC-2914 Create Test Cases Cura Reg Change (Framework) Dashboard")</f>
        <v>[om: fatca 2.0 design implementation project (jira tasks)] CDC-2914 Create Test Cases Cura Reg Change (Framework) Dashboard</v>
      </c>
    </row>
    <row r="52" spans="18:18" x14ac:dyDescent="0.3">
      <c r="R52" t="str">
        <f>HYPERLINK("https://app.clickup.com/t/869am7mt7", "[om: fatca 2.0 design implementation project (jira tasks)] CDC-2913 Cura Reg Change Dashboard Modifications")</f>
        <v>[om: fatca 2.0 design implementation project (jira tasks)] CDC-2913 Cura Reg Change Dashboard Modifications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R52"/>
  <sheetViews>
    <sheetView workbookViewId="0"/>
  </sheetViews>
  <sheetFormatPr defaultRowHeight="14.4" x14ac:dyDescent="0.3"/>
  <cols>
    <col min="1" max="1" width="20" customWidth="1"/>
    <col min="2" max="12" width="50" customWidth="1"/>
    <col min="13" max="13" width="42" customWidth="1"/>
    <col min="14" max="14" width="35" customWidth="1"/>
    <col min="15" max="16" width="50" customWidth="1"/>
    <col min="17" max="17" width="42" customWidth="1"/>
    <col min="18" max="18" width="50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</row>
    <row r="3" spans="1:17" x14ac:dyDescent="0.3">
      <c r="A3" t="s">
        <v>18</v>
      </c>
      <c r="B3" t="s">
        <v>43</v>
      </c>
      <c r="C3" t="s">
        <v>44</v>
      </c>
      <c r="D3" t="s">
        <v>44</v>
      </c>
      <c r="E3" t="s">
        <v>44</v>
      </c>
      <c r="F3" t="s">
        <v>44</v>
      </c>
      <c r="G3" t="s">
        <v>43</v>
      </c>
      <c r="H3" t="s">
        <v>44</v>
      </c>
      <c r="I3" t="s">
        <v>43</v>
      </c>
      <c r="J3" t="s">
        <v>44</v>
      </c>
      <c r="K3" t="s">
        <v>44</v>
      </c>
      <c r="L3" t="s">
        <v>44</v>
      </c>
      <c r="M3" t="s">
        <v>44</v>
      </c>
      <c r="N3" t="s">
        <v>44</v>
      </c>
      <c r="O3" t="s">
        <v>44</v>
      </c>
      <c r="P3" t="s">
        <v>44</v>
      </c>
      <c r="Q3" t="s">
        <v>44</v>
      </c>
    </row>
    <row r="4" spans="1:17" x14ac:dyDescent="0.3">
      <c r="A4" t="s">
        <v>19</v>
      </c>
      <c r="B4" t="s">
        <v>45</v>
      </c>
      <c r="E4" t="s">
        <v>46</v>
      </c>
      <c r="F4" t="s">
        <v>45</v>
      </c>
      <c r="L4" t="s">
        <v>47</v>
      </c>
      <c r="N4" t="s">
        <v>45</v>
      </c>
    </row>
    <row r="5" spans="1:17" x14ac:dyDescent="0.3">
      <c r="A5" t="s">
        <v>20</v>
      </c>
      <c r="B5" t="s">
        <v>45</v>
      </c>
      <c r="E5" t="s">
        <v>46</v>
      </c>
      <c r="F5" t="s">
        <v>45</v>
      </c>
      <c r="G5" t="s">
        <v>48</v>
      </c>
      <c r="L5" t="s">
        <v>47</v>
      </c>
      <c r="N5" t="s">
        <v>45</v>
      </c>
    </row>
    <row r="6" spans="1:17" x14ac:dyDescent="0.3">
      <c r="A6" t="s">
        <v>21</v>
      </c>
      <c r="B6" t="s">
        <v>45</v>
      </c>
      <c r="D6" t="s">
        <v>49</v>
      </c>
      <c r="E6" t="s">
        <v>46</v>
      </c>
      <c r="F6" t="s">
        <v>45</v>
      </c>
      <c r="G6" t="s">
        <v>48</v>
      </c>
      <c r="J6" t="s">
        <v>49</v>
      </c>
      <c r="L6" t="s">
        <v>47</v>
      </c>
      <c r="N6" t="s">
        <v>45</v>
      </c>
    </row>
    <row r="7" spans="1:17" x14ac:dyDescent="0.3">
      <c r="A7" t="s">
        <v>22</v>
      </c>
      <c r="E7" t="s">
        <v>46</v>
      </c>
      <c r="L7" t="s">
        <v>47</v>
      </c>
    </row>
    <row r="8" spans="1:17" x14ac:dyDescent="0.3">
      <c r="A8" t="s">
        <v>23</v>
      </c>
      <c r="E8" t="s">
        <v>46</v>
      </c>
      <c r="G8" t="s">
        <v>51</v>
      </c>
      <c r="Q8" t="s">
        <v>52</v>
      </c>
    </row>
    <row r="9" spans="1:17" x14ac:dyDescent="0.3">
      <c r="A9" t="s">
        <v>24</v>
      </c>
      <c r="E9" t="s">
        <v>46</v>
      </c>
      <c r="G9" t="s">
        <v>51</v>
      </c>
      <c r="Q9" t="s">
        <v>52</v>
      </c>
    </row>
    <row r="10" spans="1:17" x14ac:dyDescent="0.3">
      <c r="A10" t="s">
        <v>25</v>
      </c>
      <c r="E10" t="s">
        <v>46</v>
      </c>
      <c r="G10" t="s">
        <v>53</v>
      </c>
      <c r="H10" t="s">
        <v>54</v>
      </c>
      <c r="Q10" t="s">
        <v>52</v>
      </c>
    </row>
    <row r="11" spans="1:17" x14ac:dyDescent="0.3">
      <c r="A11" t="s">
        <v>26</v>
      </c>
      <c r="E11" t="s">
        <v>46</v>
      </c>
      <c r="G11" t="s">
        <v>55</v>
      </c>
      <c r="H11" t="s">
        <v>54</v>
      </c>
      <c r="Q11" t="s">
        <v>52</v>
      </c>
    </row>
    <row r="12" spans="1:17" x14ac:dyDescent="0.3">
      <c r="A12" t="s">
        <v>27</v>
      </c>
      <c r="G12" t="s">
        <v>55</v>
      </c>
      <c r="H12" t="s">
        <v>54</v>
      </c>
      <c r="Q12" t="s">
        <v>52</v>
      </c>
    </row>
    <row r="13" spans="1:17" x14ac:dyDescent="0.3">
      <c r="A13" t="s">
        <v>28</v>
      </c>
      <c r="G13" t="s">
        <v>55</v>
      </c>
      <c r="H13" t="s">
        <v>54</v>
      </c>
      <c r="Q13" t="s">
        <v>58</v>
      </c>
    </row>
    <row r="14" spans="1:17" x14ac:dyDescent="0.3">
      <c r="A14" t="s">
        <v>29</v>
      </c>
      <c r="E14" t="s">
        <v>46</v>
      </c>
      <c r="Q14" t="s">
        <v>58</v>
      </c>
    </row>
    <row r="15" spans="1:17" x14ac:dyDescent="0.3">
      <c r="A15" t="s">
        <v>30</v>
      </c>
      <c r="E15" t="s">
        <v>46</v>
      </c>
      <c r="I15" t="s">
        <v>60</v>
      </c>
      <c r="Q15" t="s">
        <v>58</v>
      </c>
    </row>
    <row r="16" spans="1:17" x14ac:dyDescent="0.3">
      <c r="A16" t="s">
        <v>31</v>
      </c>
      <c r="B16" t="s">
        <v>61</v>
      </c>
      <c r="E16" t="s">
        <v>62</v>
      </c>
      <c r="F16" t="s">
        <v>61</v>
      </c>
      <c r="H16" t="s">
        <v>61</v>
      </c>
      <c r="I16" t="s">
        <v>60</v>
      </c>
      <c r="L16" t="s">
        <v>61</v>
      </c>
      <c r="M16" t="s">
        <v>61</v>
      </c>
      <c r="O16" t="s">
        <v>61</v>
      </c>
      <c r="P16" t="s">
        <v>61</v>
      </c>
      <c r="Q16" t="s">
        <v>61</v>
      </c>
    </row>
    <row r="17" spans="1:18" x14ac:dyDescent="0.3">
      <c r="A17" t="s">
        <v>32</v>
      </c>
      <c r="B17" t="s">
        <v>61</v>
      </c>
      <c r="E17" t="s">
        <v>62</v>
      </c>
      <c r="F17" t="s">
        <v>61</v>
      </c>
      <c r="H17" t="s">
        <v>61</v>
      </c>
      <c r="I17" t="s">
        <v>63</v>
      </c>
      <c r="L17" t="s">
        <v>61</v>
      </c>
      <c r="M17" t="s">
        <v>61</v>
      </c>
      <c r="O17" t="s">
        <v>61</v>
      </c>
      <c r="P17" t="s">
        <v>61</v>
      </c>
      <c r="Q17" t="s">
        <v>61</v>
      </c>
    </row>
    <row r="18" spans="1:18" x14ac:dyDescent="0.3">
      <c r="A18" t="s">
        <v>33</v>
      </c>
      <c r="L18" t="s">
        <v>65</v>
      </c>
      <c r="Q18" t="s">
        <v>66</v>
      </c>
    </row>
    <row r="19" spans="1:18" x14ac:dyDescent="0.3">
      <c r="A19" t="s">
        <v>34</v>
      </c>
      <c r="L19" t="s">
        <v>65</v>
      </c>
      <c r="Q19" t="s">
        <v>66</v>
      </c>
    </row>
    <row r="20" spans="1:18" x14ac:dyDescent="0.3">
      <c r="A20" t="s">
        <v>35</v>
      </c>
    </row>
    <row r="21" spans="1:18" x14ac:dyDescent="0.3">
      <c r="A21" t="s">
        <v>36</v>
      </c>
    </row>
    <row r="24" spans="1:18" x14ac:dyDescent="0.3">
      <c r="A24" t="s">
        <v>37</v>
      </c>
      <c r="B24">
        <f t="shared" ref="B24:Q24" si="0">ROUND(COUNTIF(B2:B19,"&lt;&gt;")/18,4)</f>
        <v>0.33329999999999999</v>
      </c>
      <c r="C24">
        <f t="shared" si="0"/>
        <v>5.5599999999999997E-2</v>
      </c>
      <c r="D24">
        <f t="shared" si="0"/>
        <v>0.1111</v>
      </c>
      <c r="E24">
        <f t="shared" si="0"/>
        <v>0.72219999999999995</v>
      </c>
      <c r="F24">
        <f t="shared" si="0"/>
        <v>0.33329999999999999</v>
      </c>
      <c r="G24">
        <f t="shared" si="0"/>
        <v>0.5</v>
      </c>
      <c r="H24">
        <f t="shared" si="0"/>
        <v>0.38890000000000002</v>
      </c>
      <c r="I24">
        <f t="shared" si="0"/>
        <v>0.22220000000000001</v>
      </c>
      <c r="J24">
        <f t="shared" si="0"/>
        <v>0.1111</v>
      </c>
      <c r="K24">
        <f t="shared" si="0"/>
        <v>5.5599999999999997E-2</v>
      </c>
      <c r="L24">
        <f t="shared" si="0"/>
        <v>0.5</v>
      </c>
      <c r="M24">
        <f t="shared" si="0"/>
        <v>0.16669999999999999</v>
      </c>
      <c r="N24">
        <f t="shared" si="0"/>
        <v>0.22220000000000001</v>
      </c>
      <c r="O24">
        <f t="shared" si="0"/>
        <v>0.16669999999999999</v>
      </c>
      <c r="P24">
        <f t="shared" si="0"/>
        <v>0.16669999999999999</v>
      </c>
      <c r="Q24">
        <f t="shared" si="0"/>
        <v>0.72219999999999995</v>
      </c>
    </row>
    <row r="27" spans="1:18" x14ac:dyDescent="0.3">
      <c r="A27" t="s">
        <v>38</v>
      </c>
      <c r="B27" t="s">
        <v>39</v>
      </c>
      <c r="C27" t="s">
        <v>2</v>
      </c>
      <c r="D27" t="s">
        <v>3</v>
      </c>
      <c r="E27" t="s">
        <v>4</v>
      </c>
      <c r="F27" t="s">
        <v>40</v>
      </c>
      <c r="G27" t="s">
        <v>6</v>
      </c>
      <c r="H27" t="s">
        <v>7</v>
      </c>
      <c r="I27" t="s">
        <v>8</v>
      </c>
      <c r="J27" t="s">
        <v>9</v>
      </c>
      <c r="K27" t="s">
        <v>10</v>
      </c>
      <c r="L27" t="s">
        <v>11</v>
      </c>
      <c r="M27" t="s">
        <v>41</v>
      </c>
      <c r="N27" t="s">
        <v>13</v>
      </c>
      <c r="O27" t="s">
        <v>14</v>
      </c>
      <c r="P27" t="s">
        <v>15</v>
      </c>
      <c r="Q27" t="s">
        <v>16</v>
      </c>
      <c r="R27" t="s">
        <v>42</v>
      </c>
    </row>
    <row r="28" spans="1:18" x14ac:dyDescent="0.3">
      <c r="B28" t="str">
        <f>HYPERLINK("https://app.clickup.com/t/8698kwuqq", "[slipstream - data warehouse solution - git (productization)] Design and Build Costing reports in Snowflake")</f>
        <v>[slipstream - data warehouse solution - git (productization)] Design and Build Costing reports in Snowflake</v>
      </c>
      <c r="C28" t="str">
        <f>HYPERLINK("https://app.clickup.com/t/86995td5m", "[slipstream - data warehouse solution - git (productization)] Build the data deployment pipelines for DEV to QA")</f>
        <v>[slipstream - data warehouse solution - git (productization)] Build the data deployment pipelines for DEV to QA</v>
      </c>
      <c r="D28" t="str">
        <f>HYPERLINK("https://app.clickup.com/t/86995td5m", "[slipstream - data warehouse solution - git (productization)] Build the data deployment pipelines for DEV to QA")</f>
        <v>[slipstream - data warehouse solution - git (productization)] Build the data deployment pipelines for DEV to QA</v>
      </c>
      <c r="F28" t="str">
        <f>HYPERLINK("https://app.clickup.com/t/869a2knmy", "[slipstream - data warehouse solution - git (productization)] Create views as exploitation layer out of data lake")</f>
        <v>[slipstream - data warehouse solution - git (productization)] Create views as exploitation layer out of data lake</v>
      </c>
      <c r="G28" t="str">
        <f>HYPERLINK("https://app.clickup.com/t/869474qb4", "[internal projects] Commit code to GitHub")</f>
        <v>[internal projects] Commit code to GitHub</v>
      </c>
      <c r="H28" t="str">
        <f>HYPERLINK("https://app.clickup.com/t/869474qb4", "[internal projects] Commit code to GitHub")</f>
        <v>[internal projects] Commit code to GitHub</v>
      </c>
      <c r="I28" t="str">
        <f>HYPERLINK("https://app.clickup.com/t/869atfeg3", "[freshdesk] 1375 FPM Look through results compared to Reg30 rounding differences")</f>
        <v>[freshdesk] 1375 FPM Look through results compared to Reg30 rounding differences</v>
      </c>
      <c r="J28" t="str">
        <f>HYPERLINK("https://app.clickup.com/t/869bd0zxj", "[freshdesk] 1430 Athena Connection Setup")</f>
        <v>[freshdesk] 1430 Athena Connection Setup</v>
      </c>
      <c r="K28" t="str">
        <f>HYPERLINK("https://app.clickup.com/t/8698jrq49", "[slipstream - data warehouse solution - git (productization)] Testing - data Audit processes")</f>
        <v>[slipstream - data warehouse solution - git (productization)] Testing - data Audit processes</v>
      </c>
      <c r="L28" t="str">
        <f>HYPERLINK("https://app.clickup.com/t/869a5344p", "[freshdesk] Documentation")</f>
        <v>[freshdesk] Documentation</v>
      </c>
      <c r="O28" t="str">
        <f>HYPERLINK("https://app.clickup.com/t/869474qb4", "[internal projects] Commit code to GitHub")</f>
        <v>[internal projects] Commit code to GitHub</v>
      </c>
      <c r="P28" t="str">
        <f>HYPERLINK("https://app.clickup.com/t/869bd6a0f", "[wonga: data warehouse development &amp; migration onto snowflake project] Dim_Funnel_Checks")</f>
        <v>[wonga: data warehouse development &amp; migration onto snowflake project] Dim_Funnel_Checks</v>
      </c>
      <c r="R28" t="str">
        <f>HYPERLINK("https://app.clickup.com/t/869bbt350", "[freshdesk] 1428 SSO Intergations for data connections within Alteryx")</f>
        <v>[freshdesk] 1428 SSO Intergations for data connections within Alteryx</v>
      </c>
    </row>
    <row r="29" spans="1:18" x14ac:dyDescent="0.3">
      <c r="B29" t="str">
        <f>HYPERLINK("https://app.clickup.com/t/8698jrq4e", "[slipstream - data warehouse solution - git (productization)] Support. Includes platform optimisation, query optimisation etc.")</f>
        <v>[slipstream - data warehouse solution - git (productization)] Support. Includes platform optimisation, query optimisation etc.</v>
      </c>
      <c r="C29" t="str">
        <f>HYPERLINK("https://app.clickup.com/t/8695qbamh", "[internal projects] Testing")</f>
        <v>[internal projects] Testing</v>
      </c>
      <c r="D29" t="str">
        <f>HYPERLINK("https://app.clickup.com/t/869474qb4", "[internal projects] Commit code to GitHub")</f>
        <v>[internal projects] Commit code to GitHub</v>
      </c>
      <c r="F29" t="str">
        <f>HYPERLINK("https://app.clickup.com/t/8698kwuqq", "[slipstream - data warehouse solution - git (productization)] Design and Build Costing reports in Snowflake")</f>
        <v>[slipstream - data warehouse solution - git (productization)] Design and Build Costing reports in Snowflake</v>
      </c>
      <c r="G29" t="str">
        <f>HYPERLINK("https://app.clickup.com/t/8696c93m9", "[discovery invest - dw maintenance] Change LAst_seed_Process = 2 for 7 tables")</f>
        <v>[discovery invest - dw maintenance] Change LAst_seed_Process = 2 for 7 tables</v>
      </c>
      <c r="H29" t="str">
        <f>HYPERLINK("https://app.clickup.com/t/862k4g368", "[internal projects] Integrate data to Tableau report")</f>
        <v>[internal projects] Integrate data to Tableau report</v>
      </c>
      <c r="I29" t="str">
        <f>HYPERLINK("https://app.clickup.com/t/869474qb4", "[internal projects] Commit code to GitHub")</f>
        <v>[internal projects] Commit code to GitHub</v>
      </c>
      <c r="J29" t="str">
        <f>HYPERLINK("https://app.clickup.com/t/8696q3a3m", "[internal projects] Team Skills")</f>
        <v>[internal projects] Team Skills</v>
      </c>
      <c r="K29" t="str">
        <f>HYPERLINK("https://app.clickup.com/t/8698jrq40", "[slipstream - data warehouse solution - git (productization)] Optimisation and Enhancemnets post testing")</f>
        <v>[slipstream - data warehouse solution - git (productization)] Optimisation and Enhancemnets post testing</v>
      </c>
      <c r="L29" t="str">
        <f>HYPERLINK("https://app.clickup.com/t/8698juq5h", "[slipstream - data warehouse solution - git (productization)] Build the PowerBI reports for monitoring data Lake progress")</f>
        <v>[slipstream - data warehouse solution - git (productization)] Build the PowerBI reports for monitoring data Lake progress</v>
      </c>
      <c r="O29" t="str">
        <f>HYPERLINK("https://app.clickup.com/t/869a9nmh7", "[om: fatca 2.0 design implementation project (jira tasks)] CDC-2626 Setup Non-prod and Prod space on Alteryx Servers")</f>
        <v>[om: fatca 2.0 design implementation project (jira tasks)] CDC-2626 Setup Non-prod and Prod space on Alteryx Servers</v>
      </c>
      <c r="R29" t="str">
        <f>HYPERLINK("https://app.clickup.com/t/869b88fev", "[freshdesk] 1421 OTIF Schedule date changes")</f>
        <v>[freshdesk] 1421 OTIF Schedule date changes</v>
      </c>
    </row>
    <row r="30" spans="1:18" x14ac:dyDescent="0.3">
      <c r="B30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  <c r="C30" t="str">
        <f>HYPERLINK("https://app.clickup.com/t/869474qb4", "[internal projects] Commit code to GitHub")</f>
        <v>[internal projects] Commit code to GitHub</v>
      </c>
      <c r="F30" t="str">
        <f>HYPERLINK("https://app.clickup.com/t/8698jrxaj", "[slipstream - data warehouse solution - git (productization)] Snowflake Setup and Configuration")</f>
        <v>[slipstream - data warehouse solution - git (productization)] Snowflake Setup and Configuration</v>
      </c>
      <c r="H30" t="str">
        <f>HYPERLINK("https://app.clickup.com/t/86931cq82", "[certification] Alteryx")</f>
        <v>[certification] Alteryx</v>
      </c>
      <c r="J30" t="str">
        <f>HYPERLINK("https://app.clickup.com/t/8696kqh8k", "[internal projects] Tableau server Microsoft Teams app set up")</f>
        <v>[internal projects] Tableau server Microsoft Teams app set up</v>
      </c>
      <c r="K30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  <c r="L30" t="str">
        <f>HYPERLINK("https://app.clickup.com/t/8698jupt0", "[slipstream - data warehouse solution - git (productization)] Build the PowerBI reports for monitoring data Stage progress")</f>
        <v>[slipstream - data warehouse solution - git (productization)] Build the PowerBI reports for monitoring data Stage progress</v>
      </c>
      <c r="O30" t="str">
        <f>HYPERLINK("https://app.clickup.com/t/869a6vnq6", "[om: fatca 2.0 design implementation project (jira tasks)] CDC-2757 Market Conduct: Provide time estimates for deliverables")</f>
        <v>[om: fatca 2.0 design implementation project (jira tasks)] CDC-2757 Market Conduct: Provide time estimates for deliverables</v>
      </c>
      <c r="R30" t="str">
        <f>HYPERLINK("https://app.clickup.com/t/8698jrq49", "[slipstream - data warehouse solution - git (productization)] Testing - data Audit processes")</f>
        <v>[slipstream - data warehouse solution - git (productization)] Testing - data Audit processes</v>
      </c>
    </row>
    <row r="31" spans="1:18" x14ac:dyDescent="0.3">
      <c r="B31" t="str">
        <f>HYPERLINK("https://app.clickup.com/t/869474qb4", "[internal projects] Commit code to GitHub")</f>
        <v>[internal projects] Commit code to GitHub</v>
      </c>
      <c r="C31" t="str">
        <f>HYPERLINK("https://app.clickup.com/t/862k18nwr", "[internal projects] SLA performance for each customer")</f>
        <v>[internal projects] SLA performance for each customer</v>
      </c>
      <c r="F31" t="str">
        <f>HYPERLINK("https://app.clickup.com/t/8698jrq40", "[slipstream - data warehouse solution - git (productization)] Optimisation and Enhancemnets post testing")</f>
        <v>[slipstream - data warehouse solution - git (productization)] Optimisation and Enhancemnets post testing</v>
      </c>
      <c r="J31" t="str">
        <f>HYPERLINK("https://app.clickup.com/t/869474qb4", "[internal projects] Commit code to GitHub")</f>
        <v>[internal projects] Commit code to GitHub</v>
      </c>
      <c r="K31" t="str">
        <f>HYPERLINK("https://app.clickup.com/t/869474qb4", "[internal projects] Commit code to GitHub")</f>
        <v>[internal projects] Commit code to GitHub</v>
      </c>
      <c r="L31" t="str">
        <f>HYPERLINK("https://app.clickup.com/t/8698jrq3g", "[slipstream - data warehouse solution - git (productization)] Orchestration")</f>
        <v>[slipstream - data warehouse solution - git (productization)] Orchestration</v>
      </c>
      <c r="O31" t="str">
        <f>HYPERLINK("https://app.clickup.com/t/869a1x6nk", "[om: fatca 2.0 design implementation project (jira tasks)] CDC-2062 Highlight where field values do not map to static reference tables in the raw schema")</f>
        <v>[om: fatca 2.0 design implementation project (jira tasks)] CDC-2062 Highlight where field values do not map to static reference tables in the raw schema</v>
      </c>
      <c r="R31" t="str">
        <f>HYPERLINK("https://app.clickup.com/t/8698jrq3g", "[slipstream - data warehouse solution - git (productization)] Orchestration")</f>
        <v>[slipstream - data warehouse solution - git (productization)] Orchestration</v>
      </c>
    </row>
    <row r="32" spans="1:18" x14ac:dyDescent="0.3">
      <c r="C32" t="str">
        <f>HYPERLINK("https://app.clickup.com/t/8694x2b1k", "[certification] Alteryx Designer Advanced")</f>
        <v>[certification] Alteryx Designer Advanced</v>
      </c>
      <c r="F32" t="str">
        <f>HYPERLINK("https://app.clickup.com/t/869474qb4", "[internal projects] Commit code to GitHub")</f>
        <v>[internal projects] Commit code to GitHub</v>
      </c>
      <c r="J32" t="str">
        <f>HYPERLINK("https://app.clickup.com/t/8698rmb2r", "[certification] AWS Certified Solutions Architect - Associate")</f>
        <v>[certification] AWS Certified Solutions Architect - Associate</v>
      </c>
      <c r="K32" t="str">
        <f>HYPERLINK("https://app.clickup.com/t/86971xvd4", "[discovery invest - dw maintenance] Run the file extracts")</f>
        <v>[discovery invest - dw maintenance] Run the file extracts</v>
      </c>
      <c r="O32" t="str">
        <f>HYPERLINK("https://app.clickup.com/t/869a1bu7g", "[om: fatca 2.0 design implementation project (jira tasks)] CDC-2563 Business Rule - Tax Free investments")</f>
        <v>[om: fatca 2.0 design implementation project (jira tasks)] CDC-2563 Business Rule - Tax Free investments</v>
      </c>
      <c r="R32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</row>
    <row r="33" spans="6:18" x14ac:dyDescent="0.3">
      <c r="F33" t="str">
        <f>HYPERLINK("https://app.clickup.com/t/86931cq56", "[certification] Snowflake")</f>
        <v>[certification] Snowflake</v>
      </c>
      <c r="K33" t="str">
        <f>HYPERLINK("https://app.clickup.com/t/86971xv4x", "[discovery invest - dw maintenance] Validating the marts")</f>
        <v>[discovery invest - dw maintenance] Validating the marts</v>
      </c>
      <c r="O33" t="str">
        <f>HYPERLINK("https://app.clickup.com/t/869a01gfm", "[om: fatca 2.0 design implementation project (jira tasks)] CDC-2509 Investigate subset where controlling person and entity has different entity_ids")</f>
        <v>[om: fatca 2.0 design implementation project (jira tasks)] CDC-2509 Investigate subset where controlling person and entity has different entity_ids</v>
      </c>
      <c r="R33" t="str">
        <f>HYPERLINK("https://app.clickup.com/t/869ag79ab", "[internal projects] Test Framework UAT doc")</f>
        <v>[internal projects] Test Framework UAT doc</v>
      </c>
    </row>
    <row r="34" spans="6:18" x14ac:dyDescent="0.3">
      <c r="K34" t="str">
        <f>HYPERLINK("https://app.clickup.com/t/86971xv04", "[discovery invest - dw maintenance] Run mart code")</f>
        <v>[discovery invest - dw maintenance] Run mart code</v>
      </c>
      <c r="O34" t="str">
        <f>HYPERLINK("https://app.clickup.com/t/8699yvvh7", "[om: fatca 2.0 design implementation project (jira tasks)] CDC-2560 SARS TPAH Template Update the rule to avoid referencing the database table")</f>
        <v>[om: fatca 2.0 design implementation project (jira tasks)] CDC-2560 SARS TPAH Template Update the rule to avoid referencing the database table</v>
      </c>
      <c r="R34" t="str">
        <f>HYPERLINK("https://app.clickup.com/t/869a70f9p", "[internal projects] Billed VS Invoiced VS SLA")</f>
        <v>[internal projects] Billed VS Invoiced VS SLA</v>
      </c>
    </row>
    <row r="35" spans="6:18" x14ac:dyDescent="0.3">
      <c r="K35" t="str">
        <f>HYPERLINK("https://app.clickup.com/t/86971xur8", "[discovery invest - dw maintenance] Run implied deletes code")</f>
        <v>[discovery invest - dw maintenance] Run implied deletes code</v>
      </c>
      <c r="O35" t="str">
        <f>HYPERLINK("https://app.clickup.com/t/8699yvveh", "[om: fatca 2.0 design implementation project (jira tasks)] CDC-2559 SARS TPAH Template Remove all spaces and special characters")</f>
        <v>[om: fatca 2.0 design implementation project (jira tasks)] CDC-2559 SARS TPAH Template Remove all spaces and special characters</v>
      </c>
      <c r="R35" t="str">
        <f>HYPERLINK("https://app.clickup.com/t/8697xudfa", "[internal projects] Income statement dashboard")</f>
        <v>[internal projects] Income statement dashboard</v>
      </c>
    </row>
    <row r="36" spans="6:18" x14ac:dyDescent="0.3">
      <c r="K36" t="str">
        <f>HYPERLINK("https://app.clickup.com/t/86971xtt3", "[discovery invest - dw maintenance] Validating the DWH")</f>
        <v>[discovery invest - dw maintenance] Validating the DWH</v>
      </c>
      <c r="R36" t="str">
        <f>HYPERLINK("https://app.clickup.com/t/8697t8mu2", "[internal projects] Sales Dashboard Additional requirements")</f>
        <v>[internal projects] Sales Dashboard Additional requirements</v>
      </c>
    </row>
    <row r="37" spans="6:18" x14ac:dyDescent="0.3">
      <c r="O37" t="str">
        <f>HYPERLINK("https://app.clickup.com/t/8699yvuqh", "[om: fatca 2.0 design implementation project (jira tasks)] CDC-2555 Entities former COB")</f>
        <v>[om: fatca 2.0 design implementation project (jira tasks)] CDC-2555 Entities former COB</v>
      </c>
      <c r="R37" t="str">
        <f>HYPERLINK("https://app.clickup.com/t/8697my8gd", "[internal projects] Financial and Sales Dashboard enhancement")</f>
        <v>[internal projects] Financial and Sales Dashboard enhancement</v>
      </c>
    </row>
    <row r="38" spans="6:18" x14ac:dyDescent="0.3">
      <c r="O38" t="str">
        <f>HYPERLINK("https://app.clickup.com/t/8699yvtjg", "[om: fatca 2.0 design implementation project (jira tasks)] CDC-2553 Flexcube SARS Templates - rename the RFI to source system code at scheme level")</f>
        <v>[om: fatca 2.0 design implementation project (jira tasks)] CDC-2553 Flexcube SARS Templates - rename the RFI to source system code at scheme level</v>
      </c>
      <c r="R38" t="str">
        <f>HYPERLINK("https://app.clickup.com/t/8696yar98", "[internal projects] Resource Utilization Dashboard Refinements")</f>
        <v>[internal projects] Resource Utilization Dashboard Refinements</v>
      </c>
    </row>
    <row r="39" spans="6:18" x14ac:dyDescent="0.3">
      <c r="O39" t="str">
        <f>HYPERLINK("https://app.clickup.com/t/8699yvruw", "[om: fatca 2.0 design implementation project (jira tasks)] CDC-2561 Diminmus rules to be applied at scheme level and not at OMUT level")</f>
        <v>[om: fatca 2.0 design implementation project (jira tasks)] CDC-2561 Diminmus rules to be applied at scheme level and not at OMUT level</v>
      </c>
      <c r="R39" t="str">
        <f>HYPERLINK("https://app.clickup.com/t/8696u6wyy", "[internal projects] Alteryx Server SLA Report process")</f>
        <v>[internal projects] Alteryx Server SLA Report process</v>
      </c>
    </row>
    <row r="40" spans="6:18" x14ac:dyDescent="0.3">
      <c r="O40" t="str">
        <f>HYPERLINK("https://app.clickup.com/t/8699yvra6", "[om: fatca 2.0 design implementation project (jira tasks)] CDC-2554 Entities COB")</f>
        <v>[om: fatca 2.0 design implementation project (jira tasks)] CDC-2554 Entities COB</v>
      </c>
      <c r="R40" t="str">
        <f>HYPERLINK("https://app.clickup.com/t/8695mj63r", "[internal projects] Shoprite B2B SLA Document")</f>
        <v>[internal projects] Shoprite B2B SLA Document</v>
      </c>
    </row>
    <row r="41" spans="6:18" x14ac:dyDescent="0.3">
      <c r="R41" t="str">
        <f>HYPERLINK("https://app.clickup.com/t/869474qb4", "[internal projects] Commit code to GitHub")</f>
        <v>[internal projects] Commit code to GitHub</v>
      </c>
    </row>
    <row r="42" spans="6:18" x14ac:dyDescent="0.3">
      <c r="R42" t="str">
        <f>HYPERLINK("https://app.clickup.com/t/869agp147", "[certification] Snowflake Sales Professional")</f>
        <v>[certification] Snowflake Sales Professional</v>
      </c>
    </row>
    <row r="43" spans="6:18" x14ac:dyDescent="0.3">
      <c r="R43" t="str">
        <f>HYPERLINK("https://app.clickup.com/t/869agp0uz", "[certification] Snowflake Technical Sales Professional")</f>
        <v>[certification] Snowflake Technical Sales Professional</v>
      </c>
    </row>
    <row r="44" spans="6:18" x14ac:dyDescent="0.3">
      <c r="R44" t="str">
        <f>HYPERLINK("https://app.clickup.com/t/869af829t", "[certification] Salesforce Certified Agentforce Specialist")</f>
        <v>[certification] Salesforce Certified Agentforce Specialist</v>
      </c>
    </row>
    <row r="45" spans="6:18" x14ac:dyDescent="0.3">
      <c r="R45" t="str">
        <f>HYPERLINK("https://app.clickup.com/t/869ab9g7u", "[certification] AWS Data Engineer - Associate")</f>
        <v>[certification] AWS Data Engineer - Associate</v>
      </c>
    </row>
    <row r="46" spans="6:18" x14ac:dyDescent="0.3">
      <c r="R46" t="str">
        <f>HYPERLINK("https://app.clickup.com/t/869b6v0gh", "[om: fatca 2.0 design implementation project (jira tasks)] CDC-2562 Develop a Foreigners List dashboard")</f>
        <v>[om: fatca 2.0 design implementation project (jira tasks)] CDC-2562 Develop a Foreigners List dashboard</v>
      </c>
    </row>
    <row r="47" spans="6:18" x14ac:dyDescent="0.3">
      <c r="R47" t="str">
        <f>HYPERLINK("https://app.clickup.com/t/869ax6j44", "[om: fatca 2.0 design implementation project (jira tasks)] Titanium Reports")</f>
        <v>[om: fatca 2.0 design implementation project (jira tasks)] Titanium Reports</v>
      </c>
    </row>
    <row r="48" spans="6:18" x14ac:dyDescent="0.3">
      <c r="R48" t="str">
        <f>HYPERLINK("https://app.clickup.com/t/869ax6j0z", "[om: fatca 2.0 design implementation project (jira tasks)] CDC-3034-aws-s3-bucket-investigation")</f>
        <v>[om: fatca 2.0 design implementation project (jira tasks)] CDC-3034-aws-s3-bucket-investigation</v>
      </c>
    </row>
    <row r="49" spans="18:18" x14ac:dyDescent="0.3">
      <c r="R49" t="str">
        <f>HYPERLINK("https://app.clickup.com/t/869avjm5f", "[om: fatca 2.0 design implementation project (jira tasks)] CBR Quarterly Run")</f>
        <v>[om: fatca 2.0 design implementation project (jira tasks)] CBR Quarterly Run</v>
      </c>
    </row>
    <row r="50" spans="18:18" x14ac:dyDescent="0.3">
      <c r="R50" t="str">
        <f>HYPERLINK("https://app.clickup.com/t/869auvvmp", "[om: fatca 2.0 design implementation project (jira tasks)] Advisor Recon Report Manual Run")</f>
        <v>[om: fatca 2.0 design implementation project (jira tasks)] Advisor Recon Report Manual Run</v>
      </c>
    </row>
    <row r="51" spans="18:18" x14ac:dyDescent="0.3">
      <c r="R51" t="str">
        <f>HYPERLINK("https://app.clickup.com/t/869arkz3a", "[om: fatca 2.0 design implementation project (jira tasks)] CDC-2914 Create Test Cases Cura Reg Change (Framework) Dashboard")</f>
        <v>[om: fatca 2.0 design implementation project (jira tasks)] CDC-2914 Create Test Cases Cura Reg Change (Framework) Dashboard</v>
      </c>
    </row>
    <row r="52" spans="18:18" x14ac:dyDescent="0.3">
      <c r="R52" t="str">
        <f>HYPERLINK("https://app.clickup.com/t/869am7mt7", "[om: fatca 2.0 design implementation project (jira tasks)] CDC-2913 Cura Reg Change Dashboard Modifications")</f>
        <v>[om: fatca 2.0 design implementation project (jira tasks)] CDC-2913 Cura Reg Change Dashboard Modifications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R52"/>
  <sheetViews>
    <sheetView workbookViewId="0"/>
  </sheetViews>
  <sheetFormatPr defaultRowHeight="14.4" x14ac:dyDescent="0.3"/>
  <cols>
    <col min="1" max="1" width="20" customWidth="1"/>
    <col min="2" max="18" width="50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</row>
    <row r="3" spans="1:17" x14ac:dyDescent="0.3">
      <c r="A3" t="s">
        <v>18</v>
      </c>
      <c r="B3" t="s">
        <v>44</v>
      </c>
      <c r="C3" t="s">
        <v>44</v>
      </c>
      <c r="D3" t="s">
        <v>44</v>
      </c>
      <c r="E3" t="s">
        <v>44</v>
      </c>
      <c r="F3" t="s">
        <v>44</v>
      </c>
      <c r="G3" t="s">
        <v>44</v>
      </c>
      <c r="H3" t="s">
        <v>44</v>
      </c>
      <c r="I3" t="s">
        <v>67</v>
      </c>
      <c r="J3" t="s">
        <v>44</v>
      </c>
      <c r="K3" t="s">
        <v>44</v>
      </c>
      <c r="L3" t="s">
        <v>44</v>
      </c>
      <c r="M3" t="s">
        <v>44</v>
      </c>
      <c r="N3" t="s">
        <v>44</v>
      </c>
      <c r="O3" t="s">
        <v>44</v>
      </c>
      <c r="P3" t="s">
        <v>44</v>
      </c>
      <c r="Q3" t="s">
        <v>44</v>
      </c>
    </row>
    <row r="4" spans="1:17" x14ac:dyDescent="0.3">
      <c r="A4" t="s">
        <v>19</v>
      </c>
      <c r="E4" t="s">
        <v>46</v>
      </c>
      <c r="G4" t="s">
        <v>68</v>
      </c>
      <c r="L4" t="s">
        <v>47</v>
      </c>
    </row>
    <row r="5" spans="1:17" x14ac:dyDescent="0.3">
      <c r="A5" t="s">
        <v>20</v>
      </c>
      <c r="B5" t="s">
        <v>70</v>
      </c>
      <c r="C5" t="s">
        <v>70</v>
      </c>
      <c r="D5" t="s">
        <v>70</v>
      </c>
      <c r="E5" t="s">
        <v>71</v>
      </c>
      <c r="G5" t="s">
        <v>48</v>
      </c>
      <c r="J5" t="s">
        <v>70</v>
      </c>
      <c r="K5" t="s">
        <v>70</v>
      </c>
      <c r="L5" t="s">
        <v>72</v>
      </c>
      <c r="M5" t="s">
        <v>70</v>
      </c>
      <c r="N5" t="s">
        <v>70</v>
      </c>
      <c r="P5" t="s">
        <v>70</v>
      </c>
      <c r="Q5" t="s">
        <v>70</v>
      </c>
    </row>
    <row r="6" spans="1:17" x14ac:dyDescent="0.3">
      <c r="A6" t="s">
        <v>21</v>
      </c>
      <c r="D6" t="s">
        <v>49</v>
      </c>
      <c r="E6" t="s">
        <v>46</v>
      </c>
      <c r="G6" t="s">
        <v>48</v>
      </c>
      <c r="J6" t="s">
        <v>49</v>
      </c>
      <c r="L6" t="s">
        <v>47</v>
      </c>
    </row>
    <row r="7" spans="1:17" x14ac:dyDescent="0.3">
      <c r="A7" t="s">
        <v>22</v>
      </c>
      <c r="E7" t="s">
        <v>46</v>
      </c>
      <c r="L7" t="s">
        <v>47</v>
      </c>
      <c r="N7" t="s">
        <v>73</v>
      </c>
    </row>
    <row r="8" spans="1:17" x14ac:dyDescent="0.3">
      <c r="A8" t="s">
        <v>23</v>
      </c>
      <c r="E8" t="s">
        <v>46</v>
      </c>
      <c r="Q8" t="s">
        <v>52</v>
      </c>
    </row>
    <row r="9" spans="1:17" x14ac:dyDescent="0.3">
      <c r="A9" t="s">
        <v>24</v>
      </c>
      <c r="E9" t="s">
        <v>46</v>
      </c>
      <c r="Q9" t="s">
        <v>52</v>
      </c>
    </row>
    <row r="10" spans="1:17" x14ac:dyDescent="0.3">
      <c r="A10" t="s">
        <v>25</v>
      </c>
      <c r="E10" t="s">
        <v>46</v>
      </c>
      <c r="H10" t="s">
        <v>54</v>
      </c>
      <c r="Q10" t="s">
        <v>52</v>
      </c>
    </row>
    <row r="11" spans="1:17" x14ac:dyDescent="0.3">
      <c r="A11" t="s">
        <v>26</v>
      </c>
      <c r="E11" t="s">
        <v>46</v>
      </c>
      <c r="H11" t="s">
        <v>54</v>
      </c>
      <c r="Q11" t="s">
        <v>52</v>
      </c>
    </row>
    <row r="12" spans="1:17" x14ac:dyDescent="0.3">
      <c r="A12" t="s">
        <v>27</v>
      </c>
      <c r="G12" t="s">
        <v>75</v>
      </c>
      <c r="H12" t="s">
        <v>54</v>
      </c>
      <c r="Q12" t="s">
        <v>52</v>
      </c>
    </row>
    <row r="13" spans="1:17" x14ac:dyDescent="0.3">
      <c r="A13" t="s">
        <v>28</v>
      </c>
      <c r="G13" t="s">
        <v>75</v>
      </c>
      <c r="H13" t="s">
        <v>54</v>
      </c>
      <c r="Q13" t="s">
        <v>58</v>
      </c>
    </row>
    <row r="14" spans="1:17" x14ac:dyDescent="0.3">
      <c r="A14" t="s">
        <v>29</v>
      </c>
      <c r="E14" t="s">
        <v>46</v>
      </c>
      <c r="G14" t="s">
        <v>75</v>
      </c>
      <c r="Q14" t="s">
        <v>58</v>
      </c>
    </row>
    <row r="15" spans="1:17" x14ac:dyDescent="0.3">
      <c r="A15" t="s">
        <v>30</v>
      </c>
      <c r="E15" t="s">
        <v>46</v>
      </c>
      <c r="G15" t="s">
        <v>75</v>
      </c>
      <c r="Q15" t="s">
        <v>58</v>
      </c>
    </row>
    <row r="16" spans="1:17" x14ac:dyDescent="0.3">
      <c r="A16" t="s">
        <v>31</v>
      </c>
      <c r="E16" t="s">
        <v>46</v>
      </c>
    </row>
    <row r="17" spans="1:18" x14ac:dyDescent="0.3">
      <c r="A17" t="s">
        <v>32</v>
      </c>
      <c r="E17" t="s">
        <v>46</v>
      </c>
    </row>
    <row r="18" spans="1:18" x14ac:dyDescent="0.3">
      <c r="A18" t="s">
        <v>33</v>
      </c>
      <c r="E18" t="s">
        <v>46</v>
      </c>
      <c r="G18" t="s">
        <v>68</v>
      </c>
      <c r="L18" t="s">
        <v>65</v>
      </c>
      <c r="Q18" t="s">
        <v>66</v>
      </c>
    </row>
    <row r="19" spans="1:18" x14ac:dyDescent="0.3">
      <c r="A19" t="s">
        <v>34</v>
      </c>
      <c r="E19" t="s">
        <v>46</v>
      </c>
      <c r="L19" t="s">
        <v>65</v>
      </c>
      <c r="Q19" t="s">
        <v>66</v>
      </c>
    </row>
    <row r="20" spans="1:18" x14ac:dyDescent="0.3">
      <c r="A20" t="s">
        <v>35</v>
      </c>
    </row>
    <row r="21" spans="1:18" x14ac:dyDescent="0.3">
      <c r="A21" t="s">
        <v>36</v>
      </c>
    </row>
    <row r="24" spans="1:18" x14ac:dyDescent="0.3">
      <c r="A24" t="s">
        <v>37</v>
      </c>
      <c r="B24">
        <f t="shared" ref="B24:Q24" si="0">ROUND(COUNTIF(B2:B19,"&lt;&gt;")/18,4)</f>
        <v>0.1111</v>
      </c>
      <c r="C24">
        <f t="shared" si="0"/>
        <v>0.1111</v>
      </c>
      <c r="D24">
        <f t="shared" si="0"/>
        <v>0.16669999999999999</v>
      </c>
      <c r="E24">
        <f t="shared" si="0"/>
        <v>0.83330000000000004</v>
      </c>
      <c r="F24">
        <f t="shared" si="0"/>
        <v>5.5599999999999997E-2</v>
      </c>
      <c r="G24">
        <f t="shared" si="0"/>
        <v>0.5</v>
      </c>
      <c r="H24">
        <f t="shared" si="0"/>
        <v>0.27779999999999999</v>
      </c>
      <c r="I24">
        <f t="shared" si="0"/>
        <v>5.5599999999999997E-2</v>
      </c>
      <c r="J24">
        <f t="shared" si="0"/>
        <v>0.16669999999999999</v>
      </c>
      <c r="K24">
        <f t="shared" si="0"/>
        <v>0.1111</v>
      </c>
      <c r="L24">
        <f t="shared" si="0"/>
        <v>0.38890000000000002</v>
      </c>
      <c r="M24">
        <f t="shared" si="0"/>
        <v>0.1111</v>
      </c>
      <c r="N24">
        <f t="shared" si="0"/>
        <v>0.16669999999999999</v>
      </c>
      <c r="O24">
        <f t="shared" si="0"/>
        <v>5.5599999999999997E-2</v>
      </c>
      <c r="P24">
        <f t="shared" si="0"/>
        <v>0.1111</v>
      </c>
      <c r="Q24">
        <f t="shared" si="0"/>
        <v>0.66669999999999996</v>
      </c>
    </row>
    <row r="27" spans="1:18" x14ac:dyDescent="0.3">
      <c r="A27" t="s">
        <v>38</v>
      </c>
      <c r="B27" t="s">
        <v>39</v>
      </c>
      <c r="C27" t="s">
        <v>2</v>
      </c>
      <c r="D27" t="s">
        <v>3</v>
      </c>
      <c r="E27" t="s">
        <v>4</v>
      </c>
      <c r="F27" t="s">
        <v>40</v>
      </c>
      <c r="G27" t="s">
        <v>6</v>
      </c>
      <c r="H27" t="s">
        <v>7</v>
      </c>
      <c r="I27" t="s">
        <v>8</v>
      </c>
      <c r="J27" t="s">
        <v>9</v>
      </c>
      <c r="K27" t="s">
        <v>10</v>
      </c>
      <c r="L27" t="s">
        <v>11</v>
      </c>
      <c r="M27" t="s">
        <v>41</v>
      </c>
      <c r="N27" t="s">
        <v>13</v>
      </c>
      <c r="O27" t="s">
        <v>14</v>
      </c>
      <c r="P27" t="s">
        <v>15</v>
      </c>
      <c r="Q27" t="s">
        <v>16</v>
      </c>
      <c r="R27" t="s">
        <v>42</v>
      </c>
    </row>
    <row r="28" spans="1:18" x14ac:dyDescent="0.3">
      <c r="B28" t="str">
        <f>HYPERLINK("https://app.clickup.com/t/8698kwuqq", "[slipstream - data warehouse solution - git (productization)] Design and Build Costing reports in Snowflake")</f>
        <v>[slipstream - data warehouse solution - git (productization)] Design and Build Costing reports in Snowflake</v>
      </c>
      <c r="C28" t="str">
        <f>HYPERLINK("https://app.clickup.com/t/86995td5m", "[slipstream - data warehouse solution - git (productization)] Build the data deployment pipelines for DEV to QA")</f>
        <v>[slipstream - data warehouse solution - git (productization)] Build the data deployment pipelines for DEV to QA</v>
      </c>
      <c r="D28" t="str">
        <f>HYPERLINK("https://app.clickup.com/t/86995td5m", "[slipstream - data warehouse solution - git (productization)] Build the data deployment pipelines for DEV to QA")</f>
        <v>[slipstream - data warehouse solution - git (productization)] Build the data deployment pipelines for DEV to QA</v>
      </c>
      <c r="F28" t="str">
        <f>HYPERLINK("https://app.clickup.com/t/869a2knmy", "[slipstream - data warehouse solution - git (productization)] Create views as exploitation layer out of data lake")</f>
        <v>[slipstream - data warehouse solution - git (productization)] Create views as exploitation layer out of data lake</v>
      </c>
      <c r="G28" t="str">
        <f>HYPERLINK("https://app.clickup.com/t/869474qb4", "[internal projects] Commit code to GitHub")</f>
        <v>[internal projects] Commit code to GitHub</v>
      </c>
      <c r="H28" t="str">
        <f>HYPERLINK("https://app.clickup.com/t/869474qb4", "[internal projects] Commit code to GitHub")</f>
        <v>[internal projects] Commit code to GitHub</v>
      </c>
      <c r="I28" t="str">
        <f>HYPERLINK("https://app.clickup.com/t/869atfeg3", "[freshdesk] 1375 FPM Look through results compared to Reg30 rounding differences")</f>
        <v>[freshdesk] 1375 FPM Look through results compared to Reg30 rounding differences</v>
      </c>
      <c r="J28" t="str">
        <f>HYPERLINK("https://app.clickup.com/t/869bd0zxj", "[freshdesk] 1430 Athena Connection Setup")</f>
        <v>[freshdesk] 1430 Athena Connection Setup</v>
      </c>
      <c r="K28" t="str">
        <f>HYPERLINK("https://app.clickup.com/t/8698jrq49", "[slipstream - data warehouse solution - git (productization)] Testing - data Audit processes")</f>
        <v>[slipstream - data warehouse solution - git (productization)] Testing - data Audit processes</v>
      </c>
      <c r="L28" t="str">
        <f>HYPERLINK("https://app.clickup.com/t/869a5344p", "[freshdesk] Documentation")</f>
        <v>[freshdesk] Documentation</v>
      </c>
      <c r="O28" t="str">
        <f>HYPERLINK("https://app.clickup.com/t/869474qb4", "[internal projects] Commit code to GitHub")</f>
        <v>[internal projects] Commit code to GitHub</v>
      </c>
      <c r="P28" t="str">
        <f>HYPERLINK("https://app.clickup.com/t/869bd6a0f", "[wonga: data warehouse development &amp; migration onto snowflake project] Dim_Funnel_Checks")</f>
        <v>[wonga: data warehouse development &amp; migration onto snowflake project] Dim_Funnel_Checks</v>
      </c>
      <c r="R28" t="str">
        <f>HYPERLINK("https://app.clickup.com/t/869bbt350", "[freshdesk] 1428 SSO Intergations for data connections within Alteryx")</f>
        <v>[freshdesk] 1428 SSO Intergations for data connections within Alteryx</v>
      </c>
    </row>
    <row r="29" spans="1:18" x14ac:dyDescent="0.3">
      <c r="B29" t="str">
        <f>HYPERLINK("https://app.clickup.com/t/8698jrq4e", "[slipstream - data warehouse solution - git (productization)] Support. Includes platform optimisation, query optimisation etc.")</f>
        <v>[slipstream - data warehouse solution - git (productization)] Support. Includes platform optimisation, query optimisation etc.</v>
      </c>
      <c r="C29" t="str">
        <f>HYPERLINK("https://app.clickup.com/t/8695qbamh", "[internal projects] Testing")</f>
        <v>[internal projects] Testing</v>
      </c>
      <c r="D29" t="str">
        <f>HYPERLINK("https://app.clickup.com/t/869474qb4", "[internal projects] Commit code to GitHub")</f>
        <v>[internal projects] Commit code to GitHub</v>
      </c>
      <c r="F29" t="str">
        <f>HYPERLINK("https://app.clickup.com/t/8698kwuqq", "[slipstream - data warehouse solution - git (productization)] Design and Build Costing reports in Snowflake")</f>
        <v>[slipstream - data warehouse solution - git (productization)] Design and Build Costing reports in Snowflake</v>
      </c>
      <c r="G29" t="str">
        <f>HYPERLINK("https://app.clickup.com/t/8696c93m9", "[discovery invest - dw maintenance] Change LAst_seed_Process = 2 for 7 tables")</f>
        <v>[discovery invest - dw maintenance] Change LAst_seed_Process = 2 for 7 tables</v>
      </c>
      <c r="H29" t="str">
        <f>HYPERLINK("https://app.clickup.com/t/862k4g368", "[internal projects] Integrate data to Tableau report")</f>
        <v>[internal projects] Integrate data to Tableau report</v>
      </c>
      <c r="I29" t="str">
        <f>HYPERLINK("https://app.clickup.com/t/869474qb4", "[internal projects] Commit code to GitHub")</f>
        <v>[internal projects] Commit code to GitHub</v>
      </c>
      <c r="J29" t="str">
        <f>HYPERLINK("https://app.clickup.com/t/8696q3a3m", "[internal projects] Team Skills")</f>
        <v>[internal projects] Team Skills</v>
      </c>
      <c r="K29" t="str">
        <f>HYPERLINK("https://app.clickup.com/t/8698jrq40", "[slipstream - data warehouse solution - git (productization)] Optimisation and Enhancemnets post testing")</f>
        <v>[slipstream - data warehouse solution - git (productization)] Optimisation and Enhancemnets post testing</v>
      </c>
      <c r="L29" t="str">
        <f>HYPERLINK("https://app.clickup.com/t/8698juq5h", "[slipstream - data warehouse solution - git (productization)] Build the PowerBI reports for monitoring data Lake progress")</f>
        <v>[slipstream - data warehouse solution - git (productization)] Build the PowerBI reports for monitoring data Lake progress</v>
      </c>
      <c r="O29" t="str">
        <f>HYPERLINK("https://app.clickup.com/t/869a9nmh7", "[om: fatca 2.0 design implementation project (jira tasks)] CDC-2626 Setup Non-prod and Prod space on Alteryx Servers")</f>
        <v>[om: fatca 2.0 design implementation project (jira tasks)] CDC-2626 Setup Non-prod and Prod space on Alteryx Servers</v>
      </c>
      <c r="R29" t="str">
        <f>HYPERLINK("https://app.clickup.com/t/869b88fev", "[freshdesk] 1421 OTIF Schedule date changes")</f>
        <v>[freshdesk] 1421 OTIF Schedule date changes</v>
      </c>
    </row>
    <row r="30" spans="1:18" x14ac:dyDescent="0.3">
      <c r="B30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  <c r="C30" t="str">
        <f>HYPERLINK("https://app.clickup.com/t/869474qb4", "[internal projects] Commit code to GitHub")</f>
        <v>[internal projects] Commit code to GitHub</v>
      </c>
      <c r="F30" t="str">
        <f>HYPERLINK("https://app.clickup.com/t/8698jrxaj", "[slipstream - data warehouse solution - git (productization)] Snowflake Setup and Configuration")</f>
        <v>[slipstream - data warehouse solution - git (productization)] Snowflake Setup and Configuration</v>
      </c>
      <c r="H30" t="str">
        <f>HYPERLINK("https://app.clickup.com/t/86931cq82", "[certification] Alteryx")</f>
        <v>[certification] Alteryx</v>
      </c>
      <c r="J30" t="str">
        <f>HYPERLINK("https://app.clickup.com/t/8696kqh8k", "[internal projects] Tableau server Microsoft Teams app set up")</f>
        <v>[internal projects] Tableau server Microsoft Teams app set up</v>
      </c>
      <c r="K30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  <c r="L30" t="str">
        <f>HYPERLINK("https://app.clickup.com/t/8698jupt0", "[slipstream - data warehouse solution - git (productization)] Build the PowerBI reports for monitoring data Stage progress")</f>
        <v>[slipstream - data warehouse solution - git (productization)] Build the PowerBI reports for monitoring data Stage progress</v>
      </c>
      <c r="O30" t="str">
        <f>HYPERLINK("https://app.clickup.com/t/869a6vnq6", "[om: fatca 2.0 design implementation project (jira tasks)] CDC-2757 Market Conduct: Provide time estimates for deliverables")</f>
        <v>[om: fatca 2.0 design implementation project (jira tasks)] CDC-2757 Market Conduct: Provide time estimates for deliverables</v>
      </c>
      <c r="R30" t="str">
        <f>HYPERLINK("https://app.clickup.com/t/8698jrq49", "[slipstream - data warehouse solution - git (productization)] Testing - data Audit processes")</f>
        <v>[slipstream - data warehouse solution - git (productization)] Testing - data Audit processes</v>
      </c>
    </row>
    <row r="31" spans="1:18" x14ac:dyDescent="0.3">
      <c r="B31" t="str">
        <f>HYPERLINK("https://app.clickup.com/t/869474qb4", "[internal projects] Commit code to GitHub")</f>
        <v>[internal projects] Commit code to GitHub</v>
      </c>
      <c r="C31" t="str">
        <f>HYPERLINK("https://app.clickup.com/t/862k18nwr", "[internal projects] SLA performance for each customer")</f>
        <v>[internal projects] SLA performance for each customer</v>
      </c>
      <c r="F31" t="str">
        <f>HYPERLINK("https://app.clickup.com/t/8698jrq40", "[slipstream - data warehouse solution - git (productization)] Optimisation and Enhancemnets post testing")</f>
        <v>[slipstream - data warehouse solution - git (productization)] Optimisation and Enhancemnets post testing</v>
      </c>
      <c r="J31" t="str">
        <f>HYPERLINK("https://app.clickup.com/t/869474qb4", "[internal projects] Commit code to GitHub")</f>
        <v>[internal projects] Commit code to GitHub</v>
      </c>
      <c r="K31" t="str">
        <f>HYPERLINK("https://app.clickup.com/t/869474qb4", "[internal projects] Commit code to GitHub")</f>
        <v>[internal projects] Commit code to GitHub</v>
      </c>
      <c r="L31" t="str">
        <f>HYPERLINK("https://app.clickup.com/t/8698jrq3g", "[slipstream - data warehouse solution - git (productization)] Orchestration")</f>
        <v>[slipstream - data warehouse solution - git (productization)] Orchestration</v>
      </c>
      <c r="O31" t="str">
        <f>HYPERLINK("https://app.clickup.com/t/869a1x6nk", "[om: fatca 2.0 design implementation project (jira tasks)] CDC-2062 Highlight where field values do not map to static reference tables in the raw schema")</f>
        <v>[om: fatca 2.0 design implementation project (jira tasks)] CDC-2062 Highlight where field values do not map to static reference tables in the raw schema</v>
      </c>
      <c r="R31" t="str">
        <f>HYPERLINK("https://app.clickup.com/t/8698jrq3g", "[slipstream - data warehouse solution - git (productization)] Orchestration")</f>
        <v>[slipstream - data warehouse solution - git (productization)] Orchestration</v>
      </c>
    </row>
    <row r="32" spans="1:18" x14ac:dyDescent="0.3">
      <c r="C32" t="str">
        <f>HYPERLINK("https://app.clickup.com/t/8694x2b1k", "[certification] Alteryx Designer Advanced")</f>
        <v>[certification] Alteryx Designer Advanced</v>
      </c>
      <c r="F32" t="str">
        <f>HYPERLINK("https://app.clickup.com/t/869474qb4", "[internal projects] Commit code to GitHub")</f>
        <v>[internal projects] Commit code to GitHub</v>
      </c>
      <c r="J32" t="str">
        <f>HYPERLINK("https://app.clickup.com/t/8698rmb2r", "[certification] AWS Certified Solutions Architect - Associate")</f>
        <v>[certification] AWS Certified Solutions Architect - Associate</v>
      </c>
      <c r="K32" t="str">
        <f>HYPERLINK("https://app.clickup.com/t/86971xvd4", "[discovery invest - dw maintenance] Run the file extracts")</f>
        <v>[discovery invest - dw maintenance] Run the file extracts</v>
      </c>
      <c r="O32" t="str">
        <f>HYPERLINK("https://app.clickup.com/t/869a1bu7g", "[om: fatca 2.0 design implementation project (jira tasks)] CDC-2563 Business Rule - Tax Free investments")</f>
        <v>[om: fatca 2.0 design implementation project (jira tasks)] CDC-2563 Business Rule - Tax Free investments</v>
      </c>
      <c r="R32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</row>
    <row r="33" spans="6:18" x14ac:dyDescent="0.3">
      <c r="F33" t="str">
        <f>HYPERLINK("https://app.clickup.com/t/86931cq56", "[certification] Snowflake")</f>
        <v>[certification] Snowflake</v>
      </c>
      <c r="K33" t="str">
        <f>HYPERLINK("https://app.clickup.com/t/86971xv4x", "[discovery invest - dw maintenance] Validating the marts")</f>
        <v>[discovery invest - dw maintenance] Validating the marts</v>
      </c>
      <c r="O33" t="str">
        <f>HYPERLINK("https://app.clickup.com/t/869a01gfm", "[om: fatca 2.0 design implementation project (jira tasks)] CDC-2509 Investigate subset where controlling person and entity has different entity_ids")</f>
        <v>[om: fatca 2.0 design implementation project (jira tasks)] CDC-2509 Investigate subset where controlling person and entity has different entity_ids</v>
      </c>
      <c r="R33" t="str">
        <f>HYPERLINK("https://app.clickup.com/t/869ag79ab", "[internal projects] Test Framework UAT doc")</f>
        <v>[internal projects] Test Framework UAT doc</v>
      </c>
    </row>
    <row r="34" spans="6:18" x14ac:dyDescent="0.3">
      <c r="K34" t="str">
        <f>HYPERLINK("https://app.clickup.com/t/86971xv04", "[discovery invest - dw maintenance] Run mart code")</f>
        <v>[discovery invest - dw maintenance] Run mart code</v>
      </c>
      <c r="O34" t="str">
        <f>HYPERLINK("https://app.clickup.com/t/8699yvvh7", "[om: fatca 2.0 design implementation project (jira tasks)] CDC-2560 SARS TPAH Template Update the rule to avoid referencing the database table")</f>
        <v>[om: fatca 2.0 design implementation project (jira tasks)] CDC-2560 SARS TPAH Template Update the rule to avoid referencing the database table</v>
      </c>
      <c r="R34" t="str">
        <f>HYPERLINK("https://app.clickup.com/t/869a70f9p", "[internal projects] Billed VS Invoiced VS SLA")</f>
        <v>[internal projects] Billed VS Invoiced VS SLA</v>
      </c>
    </row>
    <row r="35" spans="6:18" x14ac:dyDescent="0.3">
      <c r="K35" t="str">
        <f>HYPERLINK("https://app.clickup.com/t/86971xur8", "[discovery invest - dw maintenance] Run implied deletes code")</f>
        <v>[discovery invest - dw maintenance] Run implied deletes code</v>
      </c>
      <c r="O35" t="str">
        <f>HYPERLINK("https://app.clickup.com/t/8699yvveh", "[om: fatca 2.0 design implementation project (jira tasks)] CDC-2559 SARS TPAH Template Remove all spaces and special characters")</f>
        <v>[om: fatca 2.0 design implementation project (jira tasks)] CDC-2559 SARS TPAH Template Remove all spaces and special characters</v>
      </c>
      <c r="R35" t="str">
        <f>HYPERLINK("https://app.clickup.com/t/8697xudfa", "[internal projects] Income statement dashboard")</f>
        <v>[internal projects] Income statement dashboard</v>
      </c>
    </row>
    <row r="36" spans="6:18" x14ac:dyDescent="0.3">
      <c r="K36" t="str">
        <f>HYPERLINK("https://app.clickup.com/t/86971xtt3", "[discovery invest - dw maintenance] Validating the DWH")</f>
        <v>[discovery invest - dw maintenance] Validating the DWH</v>
      </c>
      <c r="R36" t="str">
        <f>HYPERLINK("https://app.clickup.com/t/8697t8mu2", "[internal projects] Sales Dashboard Additional requirements")</f>
        <v>[internal projects] Sales Dashboard Additional requirements</v>
      </c>
    </row>
    <row r="37" spans="6:18" x14ac:dyDescent="0.3">
      <c r="O37" t="str">
        <f>HYPERLINK("https://app.clickup.com/t/8699yvuqh", "[om: fatca 2.0 design implementation project (jira tasks)] CDC-2555 Entities former COB")</f>
        <v>[om: fatca 2.0 design implementation project (jira tasks)] CDC-2555 Entities former COB</v>
      </c>
      <c r="R37" t="str">
        <f>HYPERLINK("https://app.clickup.com/t/8697my8gd", "[internal projects] Financial and Sales Dashboard enhancement")</f>
        <v>[internal projects] Financial and Sales Dashboard enhancement</v>
      </c>
    </row>
    <row r="38" spans="6:18" x14ac:dyDescent="0.3">
      <c r="O38" t="str">
        <f>HYPERLINK("https://app.clickup.com/t/8699yvtjg", "[om: fatca 2.0 design implementation project (jira tasks)] CDC-2553 Flexcube SARS Templates - rename the RFI to source system code at scheme level")</f>
        <v>[om: fatca 2.0 design implementation project (jira tasks)] CDC-2553 Flexcube SARS Templates - rename the RFI to source system code at scheme level</v>
      </c>
      <c r="R38" t="str">
        <f>HYPERLINK("https://app.clickup.com/t/8696yar98", "[internal projects] Resource Utilization Dashboard Refinements")</f>
        <v>[internal projects] Resource Utilization Dashboard Refinements</v>
      </c>
    </row>
    <row r="39" spans="6:18" x14ac:dyDescent="0.3">
      <c r="O39" t="str">
        <f>HYPERLINK("https://app.clickup.com/t/8699yvruw", "[om: fatca 2.0 design implementation project (jira tasks)] CDC-2561 Diminmus rules to be applied at scheme level and not at OMUT level")</f>
        <v>[om: fatca 2.0 design implementation project (jira tasks)] CDC-2561 Diminmus rules to be applied at scheme level and not at OMUT level</v>
      </c>
      <c r="R39" t="str">
        <f>HYPERLINK("https://app.clickup.com/t/8696u6wyy", "[internal projects] Alteryx Server SLA Report process")</f>
        <v>[internal projects] Alteryx Server SLA Report process</v>
      </c>
    </row>
    <row r="40" spans="6:18" x14ac:dyDescent="0.3">
      <c r="O40" t="str">
        <f>HYPERLINK("https://app.clickup.com/t/8699yvra6", "[om: fatca 2.0 design implementation project (jira tasks)] CDC-2554 Entities COB")</f>
        <v>[om: fatca 2.0 design implementation project (jira tasks)] CDC-2554 Entities COB</v>
      </c>
      <c r="R40" t="str">
        <f>HYPERLINK("https://app.clickup.com/t/8695mj63r", "[internal projects] Shoprite B2B SLA Document")</f>
        <v>[internal projects] Shoprite B2B SLA Document</v>
      </c>
    </row>
    <row r="41" spans="6:18" x14ac:dyDescent="0.3">
      <c r="R41" t="str">
        <f>HYPERLINK("https://app.clickup.com/t/869474qb4", "[internal projects] Commit code to GitHub")</f>
        <v>[internal projects] Commit code to GitHub</v>
      </c>
    </row>
    <row r="42" spans="6:18" x14ac:dyDescent="0.3">
      <c r="R42" t="str">
        <f>HYPERLINK("https://app.clickup.com/t/869agp147", "[certification] Snowflake Sales Professional")</f>
        <v>[certification] Snowflake Sales Professional</v>
      </c>
    </row>
    <row r="43" spans="6:18" x14ac:dyDescent="0.3">
      <c r="R43" t="str">
        <f>HYPERLINK("https://app.clickup.com/t/869agp0uz", "[certification] Snowflake Technical Sales Professional")</f>
        <v>[certification] Snowflake Technical Sales Professional</v>
      </c>
    </row>
    <row r="44" spans="6:18" x14ac:dyDescent="0.3">
      <c r="R44" t="str">
        <f>HYPERLINK("https://app.clickup.com/t/869af829t", "[certification] Salesforce Certified Agentforce Specialist")</f>
        <v>[certification] Salesforce Certified Agentforce Specialist</v>
      </c>
    </row>
    <row r="45" spans="6:18" x14ac:dyDescent="0.3">
      <c r="R45" t="str">
        <f>HYPERLINK("https://app.clickup.com/t/869ab9g7u", "[certification] AWS Data Engineer - Associate")</f>
        <v>[certification] AWS Data Engineer - Associate</v>
      </c>
    </row>
    <row r="46" spans="6:18" x14ac:dyDescent="0.3">
      <c r="R46" t="str">
        <f>HYPERLINK("https://app.clickup.com/t/869b6v0gh", "[om: fatca 2.0 design implementation project (jira tasks)] CDC-2562 Develop a Foreigners List dashboard")</f>
        <v>[om: fatca 2.0 design implementation project (jira tasks)] CDC-2562 Develop a Foreigners List dashboard</v>
      </c>
    </row>
    <row r="47" spans="6:18" x14ac:dyDescent="0.3">
      <c r="R47" t="str">
        <f>HYPERLINK("https://app.clickup.com/t/869ax6j44", "[om: fatca 2.0 design implementation project (jira tasks)] Titanium Reports")</f>
        <v>[om: fatca 2.0 design implementation project (jira tasks)] Titanium Reports</v>
      </c>
    </row>
    <row r="48" spans="6:18" x14ac:dyDescent="0.3">
      <c r="R48" t="str">
        <f>HYPERLINK("https://app.clickup.com/t/869ax6j0z", "[om: fatca 2.0 design implementation project (jira tasks)] CDC-3034-aws-s3-bucket-investigation")</f>
        <v>[om: fatca 2.0 design implementation project (jira tasks)] CDC-3034-aws-s3-bucket-investigation</v>
      </c>
    </row>
    <row r="49" spans="18:18" x14ac:dyDescent="0.3">
      <c r="R49" t="str">
        <f>HYPERLINK("https://app.clickup.com/t/869avjm5f", "[om: fatca 2.0 design implementation project (jira tasks)] CBR Quarterly Run")</f>
        <v>[om: fatca 2.0 design implementation project (jira tasks)] CBR Quarterly Run</v>
      </c>
    </row>
    <row r="50" spans="18:18" x14ac:dyDescent="0.3">
      <c r="R50" t="str">
        <f>HYPERLINK("https://app.clickup.com/t/869auvvmp", "[om: fatca 2.0 design implementation project (jira tasks)] Advisor Recon Report Manual Run")</f>
        <v>[om: fatca 2.0 design implementation project (jira tasks)] Advisor Recon Report Manual Run</v>
      </c>
    </row>
    <row r="51" spans="18:18" x14ac:dyDescent="0.3">
      <c r="R51" t="str">
        <f>HYPERLINK("https://app.clickup.com/t/869arkz3a", "[om: fatca 2.0 design implementation project (jira tasks)] CDC-2914 Create Test Cases Cura Reg Change (Framework) Dashboard")</f>
        <v>[om: fatca 2.0 design implementation project (jira tasks)] CDC-2914 Create Test Cases Cura Reg Change (Framework) Dashboard</v>
      </c>
    </row>
    <row r="52" spans="18:18" x14ac:dyDescent="0.3">
      <c r="R52" t="str">
        <f>HYPERLINK("https://app.clickup.com/t/869am7mt7", "[om: fatca 2.0 design implementation project (jira tasks)] CDC-2913 Cura Reg Change Dashboard Modifications")</f>
        <v>[om: fatca 2.0 design implementation project (jira tasks)] CDC-2913 Cura Reg Change Dashboard Modifications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R52"/>
  <sheetViews>
    <sheetView workbookViewId="0"/>
  </sheetViews>
  <sheetFormatPr defaultRowHeight="14.4" x14ac:dyDescent="0.3"/>
  <cols>
    <col min="1" max="1" width="20" customWidth="1"/>
    <col min="2" max="18" width="50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</row>
    <row r="3" spans="1:17" x14ac:dyDescent="0.3">
      <c r="A3" t="s">
        <v>18</v>
      </c>
      <c r="B3" t="s">
        <v>44</v>
      </c>
      <c r="C3" t="s">
        <v>44</v>
      </c>
      <c r="D3" t="s">
        <v>44</v>
      </c>
      <c r="E3" t="s">
        <v>44</v>
      </c>
      <c r="F3" t="s">
        <v>44</v>
      </c>
      <c r="G3" t="s">
        <v>44</v>
      </c>
      <c r="H3" t="s">
        <v>44</v>
      </c>
      <c r="I3" t="s">
        <v>67</v>
      </c>
      <c r="J3" t="s">
        <v>44</v>
      </c>
      <c r="K3" t="s">
        <v>44</v>
      </c>
      <c r="L3" t="s">
        <v>44</v>
      </c>
      <c r="M3" t="s">
        <v>44</v>
      </c>
      <c r="N3" t="s">
        <v>44</v>
      </c>
      <c r="O3" t="s">
        <v>44</v>
      </c>
      <c r="P3" t="s">
        <v>44</v>
      </c>
      <c r="Q3" t="s">
        <v>44</v>
      </c>
    </row>
    <row r="4" spans="1:17" x14ac:dyDescent="0.3">
      <c r="A4" t="s">
        <v>19</v>
      </c>
      <c r="E4" t="s">
        <v>46</v>
      </c>
      <c r="G4" t="s">
        <v>68</v>
      </c>
      <c r="L4" t="s">
        <v>47</v>
      </c>
    </row>
    <row r="5" spans="1:17" x14ac:dyDescent="0.3">
      <c r="A5" t="s">
        <v>20</v>
      </c>
      <c r="B5" t="s">
        <v>70</v>
      </c>
      <c r="C5" t="s">
        <v>70</v>
      </c>
      <c r="D5" t="s">
        <v>70</v>
      </c>
      <c r="E5" t="s">
        <v>76</v>
      </c>
      <c r="G5" t="s">
        <v>48</v>
      </c>
      <c r="J5" t="s">
        <v>70</v>
      </c>
      <c r="K5" t="s">
        <v>70</v>
      </c>
      <c r="L5" t="s">
        <v>72</v>
      </c>
      <c r="M5" t="s">
        <v>70</v>
      </c>
      <c r="N5" t="s">
        <v>70</v>
      </c>
      <c r="P5" t="s">
        <v>70</v>
      </c>
      <c r="Q5" t="s">
        <v>70</v>
      </c>
    </row>
    <row r="6" spans="1:17" x14ac:dyDescent="0.3">
      <c r="A6" t="s">
        <v>21</v>
      </c>
      <c r="C6" t="s">
        <v>77</v>
      </c>
      <c r="D6" t="s">
        <v>49</v>
      </c>
      <c r="E6" t="s">
        <v>46</v>
      </c>
      <c r="G6" t="s">
        <v>78</v>
      </c>
      <c r="H6" t="s">
        <v>77</v>
      </c>
      <c r="I6" t="s">
        <v>77</v>
      </c>
      <c r="J6" t="s">
        <v>49</v>
      </c>
      <c r="L6" t="s">
        <v>47</v>
      </c>
      <c r="M6" t="s">
        <v>77</v>
      </c>
      <c r="N6" t="s">
        <v>79</v>
      </c>
      <c r="Q6" t="s">
        <v>77</v>
      </c>
    </row>
    <row r="7" spans="1:17" x14ac:dyDescent="0.3">
      <c r="A7" t="s">
        <v>22</v>
      </c>
      <c r="C7" t="s">
        <v>77</v>
      </c>
      <c r="E7" t="s">
        <v>46</v>
      </c>
      <c r="G7" t="s">
        <v>77</v>
      </c>
      <c r="H7" t="s">
        <v>77</v>
      </c>
      <c r="I7" t="s">
        <v>77</v>
      </c>
      <c r="L7" t="s">
        <v>47</v>
      </c>
      <c r="M7" t="s">
        <v>77</v>
      </c>
      <c r="Q7" t="s">
        <v>77</v>
      </c>
    </row>
    <row r="8" spans="1:17" x14ac:dyDescent="0.3">
      <c r="A8" t="s">
        <v>23</v>
      </c>
      <c r="E8" t="s">
        <v>46</v>
      </c>
      <c r="Q8" t="s">
        <v>52</v>
      </c>
    </row>
    <row r="9" spans="1:17" x14ac:dyDescent="0.3">
      <c r="A9" t="s">
        <v>24</v>
      </c>
      <c r="E9" t="s">
        <v>118</v>
      </c>
      <c r="K9" t="s">
        <v>119</v>
      </c>
      <c r="Q9" t="s">
        <v>52</v>
      </c>
    </row>
    <row r="10" spans="1:17" x14ac:dyDescent="0.3">
      <c r="A10" t="s">
        <v>25</v>
      </c>
      <c r="E10" t="s">
        <v>46</v>
      </c>
      <c r="H10" t="s">
        <v>54</v>
      </c>
      <c r="Q10" t="s">
        <v>52</v>
      </c>
    </row>
    <row r="11" spans="1:17" x14ac:dyDescent="0.3">
      <c r="A11" t="s">
        <v>26</v>
      </c>
      <c r="E11" t="s">
        <v>46</v>
      </c>
      <c r="H11" t="s">
        <v>54</v>
      </c>
      <c r="Q11" t="s">
        <v>52</v>
      </c>
    </row>
    <row r="12" spans="1:17" x14ac:dyDescent="0.3">
      <c r="A12" t="s">
        <v>27</v>
      </c>
      <c r="G12" t="s">
        <v>75</v>
      </c>
      <c r="H12" t="s">
        <v>54</v>
      </c>
      <c r="Q12" t="s">
        <v>52</v>
      </c>
    </row>
    <row r="13" spans="1:17" x14ac:dyDescent="0.3">
      <c r="A13" t="s">
        <v>28</v>
      </c>
      <c r="G13" t="s">
        <v>75</v>
      </c>
      <c r="H13" t="s">
        <v>54</v>
      </c>
      <c r="Q13" t="s">
        <v>58</v>
      </c>
    </row>
    <row r="14" spans="1:17" x14ac:dyDescent="0.3">
      <c r="A14" t="s">
        <v>29</v>
      </c>
      <c r="E14" t="s">
        <v>46</v>
      </c>
      <c r="G14" t="s">
        <v>75</v>
      </c>
      <c r="Q14" t="s">
        <v>58</v>
      </c>
    </row>
    <row r="15" spans="1:17" x14ac:dyDescent="0.3">
      <c r="A15" t="s">
        <v>30</v>
      </c>
      <c r="E15" t="s">
        <v>46</v>
      </c>
      <c r="G15" t="s">
        <v>75</v>
      </c>
      <c r="Q15" t="s">
        <v>58</v>
      </c>
    </row>
    <row r="16" spans="1:17" x14ac:dyDescent="0.3">
      <c r="A16" t="s">
        <v>31</v>
      </c>
      <c r="E16" t="s">
        <v>46</v>
      </c>
    </row>
    <row r="17" spans="1:18" x14ac:dyDescent="0.3">
      <c r="A17" t="s">
        <v>32</v>
      </c>
      <c r="E17" t="s">
        <v>46</v>
      </c>
    </row>
    <row r="18" spans="1:18" x14ac:dyDescent="0.3">
      <c r="A18" t="s">
        <v>33</v>
      </c>
      <c r="B18" t="s">
        <v>80</v>
      </c>
      <c r="E18" t="s">
        <v>81</v>
      </c>
      <c r="G18" t="s">
        <v>68</v>
      </c>
      <c r="L18" t="s">
        <v>65</v>
      </c>
      <c r="O18" t="s">
        <v>80</v>
      </c>
      <c r="Q18" t="s">
        <v>66</v>
      </c>
    </row>
    <row r="19" spans="1:18" x14ac:dyDescent="0.3">
      <c r="A19" t="s">
        <v>34</v>
      </c>
      <c r="B19" t="s">
        <v>80</v>
      </c>
      <c r="E19" t="s">
        <v>81</v>
      </c>
      <c r="L19" t="s">
        <v>65</v>
      </c>
      <c r="O19" t="s">
        <v>80</v>
      </c>
      <c r="Q19" t="s">
        <v>66</v>
      </c>
    </row>
    <row r="20" spans="1:18" x14ac:dyDescent="0.3">
      <c r="A20" t="s">
        <v>35</v>
      </c>
    </row>
    <row r="21" spans="1:18" x14ac:dyDescent="0.3">
      <c r="A21" t="s">
        <v>36</v>
      </c>
    </row>
    <row r="24" spans="1:18" x14ac:dyDescent="0.3">
      <c r="A24" t="s">
        <v>37</v>
      </c>
      <c r="B24">
        <f t="shared" ref="B24:Q24" si="0">ROUND(COUNTIF(B2:B19,"&lt;&gt;")/18,4)</f>
        <v>0.22220000000000001</v>
      </c>
      <c r="C24">
        <f t="shared" si="0"/>
        <v>0.22220000000000001</v>
      </c>
      <c r="D24">
        <f t="shared" si="0"/>
        <v>0.16669999999999999</v>
      </c>
      <c r="E24">
        <f t="shared" si="0"/>
        <v>0.83330000000000004</v>
      </c>
      <c r="F24">
        <f t="shared" si="0"/>
        <v>5.5599999999999997E-2</v>
      </c>
      <c r="G24">
        <f t="shared" si="0"/>
        <v>0.55559999999999998</v>
      </c>
      <c r="H24">
        <f t="shared" si="0"/>
        <v>0.38890000000000002</v>
      </c>
      <c r="I24">
        <f t="shared" si="0"/>
        <v>0.16669999999999999</v>
      </c>
      <c r="J24">
        <f t="shared" si="0"/>
        <v>0.16669999999999999</v>
      </c>
      <c r="K24">
        <f t="shared" si="0"/>
        <v>0.16669999999999999</v>
      </c>
      <c r="L24">
        <f t="shared" si="0"/>
        <v>0.38890000000000002</v>
      </c>
      <c r="M24">
        <f t="shared" si="0"/>
        <v>0.22220000000000001</v>
      </c>
      <c r="N24">
        <f t="shared" si="0"/>
        <v>0.16669999999999999</v>
      </c>
      <c r="O24">
        <f t="shared" si="0"/>
        <v>0.16669999999999999</v>
      </c>
      <c r="P24">
        <f t="shared" si="0"/>
        <v>0.1111</v>
      </c>
      <c r="Q24">
        <f t="shared" si="0"/>
        <v>0.77780000000000005</v>
      </c>
    </row>
    <row r="27" spans="1:18" x14ac:dyDescent="0.3">
      <c r="A27" t="s">
        <v>38</v>
      </c>
      <c r="B27" t="s">
        <v>39</v>
      </c>
      <c r="C27" t="s">
        <v>2</v>
      </c>
      <c r="D27" t="s">
        <v>3</v>
      </c>
      <c r="E27" t="s">
        <v>4</v>
      </c>
      <c r="F27" t="s">
        <v>40</v>
      </c>
      <c r="G27" t="s">
        <v>6</v>
      </c>
      <c r="H27" t="s">
        <v>7</v>
      </c>
      <c r="I27" t="s">
        <v>8</v>
      </c>
      <c r="J27" t="s">
        <v>9</v>
      </c>
      <c r="K27" t="s">
        <v>10</v>
      </c>
      <c r="L27" t="s">
        <v>11</v>
      </c>
      <c r="M27" t="s">
        <v>41</v>
      </c>
      <c r="N27" t="s">
        <v>13</v>
      </c>
      <c r="O27" t="s">
        <v>14</v>
      </c>
      <c r="P27" t="s">
        <v>15</v>
      </c>
      <c r="Q27" t="s">
        <v>16</v>
      </c>
      <c r="R27" t="s">
        <v>42</v>
      </c>
    </row>
    <row r="28" spans="1:18" x14ac:dyDescent="0.3">
      <c r="B28" t="str">
        <f>HYPERLINK("https://app.clickup.com/t/8698kwuqq", "[slipstream - data warehouse solution - git (productization)] Design and Build Costing reports in Snowflake")</f>
        <v>[slipstream - data warehouse solution - git (productization)] Design and Build Costing reports in Snowflake</v>
      </c>
      <c r="C28" t="str">
        <f>HYPERLINK("https://app.clickup.com/t/86995td5m", "[slipstream - data warehouse solution - git (productization)] Build the data deployment pipelines for DEV to QA")</f>
        <v>[slipstream - data warehouse solution - git (productization)] Build the data deployment pipelines for DEV to QA</v>
      </c>
      <c r="D28" t="str">
        <f>HYPERLINK("https://app.clickup.com/t/86995td5m", "[slipstream - data warehouse solution - git (productization)] Build the data deployment pipelines for DEV to QA")</f>
        <v>[slipstream - data warehouse solution - git (productization)] Build the data deployment pipelines for DEV to QA</v>
      </c>
      <c r="F28" t="str">
        <f>HYPERLINK("https://app.clickup.com/t/869a2knmy", "[slipstream - data warehouse solution - git (productization)] Create views as exploitation layer out of data lake")</f>
        <v>[slipstream - data warehouse solution - git (productization)] Create views as exploitation layer out of data lake</v>
      </c>
      <c r="G28" t="str">
        <f>HYPERLINK("https://app.clickup.com/t/869474qb4", "[internal projects] Commit code to GitHub")</f>
        <v>[internal projects] Commit code to GitHub</v>
      </c>
      <c r="H28" t="str">
        <f>HYPERLINK("https://app.clickup.com/t/869474qb4", "[internal projects] Commit code to GitHub")</f>
        <v>[internal projects] Commit code to GitHub</v>
      </c>
      <c r="I28" t="str">
        <f>HYPERLINK("https://app.clickup.com/t/869atfeg3", "[freshdesk] 1375 FPM Look through results compared to Reg30 rounding differences")</f>
        <v>[freshdesk] 1375 FPM Look through results compared to Reg30 rounding differences</v>
      </c>
      <c r="J28" t="str">
        <f>HYPERLINK("https://app.clickup.com/t/869bd0zxj", "[freshdesk] 1430 Athena Connection Setup")</f>
        <v>[freshdesk] 1430 Athena Connection Setup</v>
      </c>
      <c r="K28" t="str">
        <f>HYPERLINK("https://app.clickup.com/t/8698jrq49", "[slipstream - data warehouse solution - git (productization)] Testing - data Audit processes")</f>
        <v>[slipstream - data warehouse solution - git (productization)] Testing - data Audit processes</v>
      </c>
      <c r="L28" t="str">
        <f>HYPERLINK("https://app.clickup.com/t/869a5344p", "[freshdesk] Documentation")</f>
        <v>[freshdesk] Documentation</v>
      </c>
      <c r="O28" t="str">
        <f>HYPERLINK("https://app.clickup.com/t/869474qb4", "[internal projects] Commit code to GitHub")</f>
        <v>[internal projects] Commit code to GitHub</v>
      </c>
      <c r="P28" t="str">
        <f>HYPERLINK("https://app.clickup.com/t/869bd6a0f", "[wonga: data warehouse development &amp; migration onto snowflake project] Dim_Funnel_Checks")</f>
        <v>[wonga: data warehouse development &amp; migration onto snowflake project] Dim_Funnel_Checks</v>
      </c>
      <c r="R28" t="str">
        <f>HYPERLINK("https://app.clickup.com/t/869bbt350", "[freshdesk] 1428 SSO Intergations for data connections within Alteryx")</f>
        <v>[freshdesk] 1428 SSO Intergations for data connections within Alteryx</v>
      </c>
    </row>
    <row r="29" spans="1:18" x14ac:dyDescent="0.3">
      <c r="B29" t="str">
        <f>HYPERLINK("https://app.clickup.com/t/8698jrq4e", "[slipstream - data warehouse solution - git (productization)] Support. Includes platform optimisation, query optimisation etc.")</f>
        <v>[slipstream - data warehouse solution - git (productization)] Support. Includes platform optimisation, query optimisation etc.</v>
      </c>
      <c r="C29" t="str">
        <f>HYPERLINK("https://app.clickup.com/t/8695qbamh", "[internal projects] Testing")</f>
        <v>[internal projects] Testing</v>
      </c>
      <c r="D29" t="str">
        <f>HYPERLINK("https://app.clickup.com/t/869474qb4", "[internal projects] Commit code to GitHub")</f>
        <v>[internal projects] Commit code to GitHub</v>
      </c>
      <c r="F29" t="str">
        <f>HYPERLINK("https://app.clickup.com/t/8698kwuqq", "[slipstream - data warehouse solution - git (productization)] Design and Build Costing reports in Snowflake")</f>
        <v>[slipstream - data warehouse solution - git (productization)] Design and Build Costing reports in Snowflake</v>
      </c>
      <c r="G29" t="str">
        <f>HYPERLINK("https://app.clickup.com/t/8696c93m9", "[discovery invest - dw maintenance] Change LAst_seed_Process = 2 for 7 tables")</f>
        <v>[discovery invest - dw maintenance] Change LAst_seed_Process = 2 for 7 tables</v>
      </c>
      <c r="H29" t="str">
        <f>HYPERLINK("https://app.clickup.com/t/862k4g368", "[internal projects] Integrate data to Tableau report")</f>
        <v>[internal projects] Integrate data to Tableau report</v>
      </c>
      <c r="I29" t="str">
        <f>HYPERLINK("https://app.clickup.com/t/869474qb4", "[internal projects] Commit code to GitHub")</f>
        <v>[internal projects] Commit code to GitHub</v>
      </c>
      <c r="J29" t="str">
        <f>HYPERLINK("https://app.clickup.com/t/8696q3a3m", "[internal projects] Team Skills")</f>
        <v>[internal projects] Team Skills</v>
      </c>
      <c r="K29" t="str">
        <f>HYPERLINK("https://app.clickup.com/t/8698jrq40", "[slipstream - data warehouse solution - git (productization)] Optimisation and Enhancemnets post testing")</f>
        <v>[slipstream - data warehouse solution - git (productization)] Optimisation and Enhancemnets post testing</v>
      </c>
      <c r="L29" t="str">
        <f>HYPERLINK("https://app.clickup.com/t/8698juq5h", "[slipstream - data warehouse solution - git (productization)] Build the PowerBI reports for monitoring data Lake progress")</f>
        <v>[slipstream - data warehouse solution - git (productization)] Build the PowerBI reports for monitoring data Lake progress</v>
      </c>
      <c r="O29" t="str">
        <f>HYPERLINK("https://app.clickup.com/t/869a9nmh7", "[om: fatca 2.0 design implementation project (jira tasks)] CDC-2626 Setup Non-prod and Prod space on Alteryx Servers")</f>
        <v>[om: fatca 2.0 design implementation project (jira tasks)] CDC-2626 Setup Non-prod and Prod space on Alteryx Servers</v>
      </c>
      <c r="R29" t="str">
        <f>HYPERLINK("https://app.clickup.com/t/869b88fev", "[freshdesk] 1421 OTIF Schedule date changes")</f>
        <v>[freshdesk] 1421 OTIF Schedule date changes</v>
      </c>
    </row>
    <row r="30" spans="1:18" x14ac:dyDescent="0.3">
      <c r="B30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  <c r="C30" t="str">
        <f>HYPERLINK("https://app.clickup.com/t/869474qb4", "[internal projects] Commit code to GitHub")</f>
        <v>[internal projects] Commit code to GitHub</v>
      </c>
      <c r="F30" t="str">
        <f>HYPERLINK("https://app.clickup.com/t/8698jrxaj", "[slipstream - data warehouse solution - git (productization)] Snowflake Setup and Configuration")</f>
        <v>[slipstream - data warehouse solution - git (productization)] Snowflake Setup and Configuration</v>
      </c>
      <c r="H30" t="str">
        <f>HYPERLINK("https://app.clickup.com/t/86931cq82", "[certification] Alteryx")</f>
        <v>[certification] Alteryx</v>
      </c>
      <c r="J30" t="str">
        <f>HYPERLINK("https://app.clickup.com/t/8696kqh8k", "[internal projects] Tableau server Microsoft Teams app set up")</f>
        <v>[internal projects] Tableau server Microsoft Teams app set up</v>
      </c>
      <c r="K30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  <c r="L30" t="str">
        <f>HYPERLINK("https://app.clickup.com/t/8698jupt0", "[slipstream - data warehouse solution - git (productization)] Build the PowerBI reports for monitoring data Stage progress")</f>
        <v>[slipstream - data warehouse solution - git (productization)] Build the PowerBI reports for monitoring data Stage progress</v>
      </c>
      <c r="O30" t="str">
        <f>HYPERLINK("https://app.clickup.com/t/869a6vnq6", "[om: fatca 2.0 design implementation project (jira tasks)] CDC-2757 Market Conduct: Provide time estimates for deliverables")</f>
        <v>[om: fatca 2.0 design implementation project (jira tasks)] CDC-2757 Market Conduct: Provide time estimates for deliverables</v>
      </c>
      <c r="R30" t="str">
        <f>HYPERLINK("https://app.clickup.com/t/8698jrq49", "[slipstream - data warehouse solution - git (productization)] Testing - data Audit processes")</f>
        <v>[slipstream - data warehouse solution - git (productization)] Testing - data Audit processes</v>
      </c>
    </row>
    <row r="31" spans="1:18" x14ac:dyDescent="0.3">
      <c r="B31" t="str">
        <f>HYPERLINK("https://app.clickup.com/t/869474qb4", "[internal projects] Commit code to GitHub")</f>
        <v>[internal projects] Commit code to GitHub</v>
      </c>
      <c r="C31" t="str">
        <f>HYPERLINK("https://app.clickup.com/t/862k18nwr", "[internal projects] SLA performance for each customer")</f>
        <v>[internal projects] SLA performance for each customer</v>
      </c>
      <c r="F31" t="str">
        <f>HYPERLINK("https://app.clickup.com/t/8698jrq40", "[slipstream - data warehouse solution - git (productization)] Optimisation and Enhancemnets post testing")</f>
        <v>[slipstream - data warehouse solution - git (productization)] Optimisation and Enhancemnets post testing</v>
      </c>
      <c r="J31" t="str">
        <f>HYPERLINK("https://app.clickup.com/t/869474qb4", "[internal projects] Commit code to GitHub")</f>
        <v>[internal projects] Commit code to GitHub</v>
      </c>
      <c r="K31" t="str">
        <f>HYPERLINK("https://app.clickup.com/t/869474qb4", "[internal projects] Commit code to GitHub")</f>
        <v>[internal projects] Commit code to GitHub</v>
      </c>
      <c r="L31" t="str">
        <f>HYPERLINK("https://app.clickup.com/t/8698jrq3g", "[slipstream - data warehouse solution - git (productization)] Orchestration")</f>
        <v>[slipstream - data warehouse solution - git (productization)] Orchestration</v>
      </c>
      <c r="O31" t="str">
        <f>HYPERLINK("https://app.clickup.com/t/869a1x6nk", "[om: fatca 2.0 design implementation project (jira tasks)] CDC-2062 Highlight where field values do not map to static reference tables in the raw schema")</f>
        <v>[om: fatca 2.0 design implementation project (jira tasks)] CDC-2062 Highlight where field values do not map to static reference tables in the raw schema</v>
      </c>
      <c r="R31" t="str">
        <f>HYPERLINK("https://app.clickup.com/t/8698jrq3g", "[slipstream - data warehouse solution - git (productization)] Orchestration")</f>
        <v>[slipstream - data warehouse solution - git (productization)] Orchestration</v>
      </c>
    </row>
    <row r="32" spans="1:18" x14ac:dyDescent="0.3">
      <c r="C32" t="str">
        <f>HYPERLINK("https://app.clickup.com/t/8694x2b1k", "[certification] Alteryx Designer Advanced")</f>
        <v>[certification] Alteryx Designer Advanced</v>
      </c>
      <c r="F32" t="str">
        <f>HYPERLINK("https://app.clickup.com/t/869474qb4", "[internal projects] Commit code to GitHub")</f>
        <v>[internal projects] Commit code to GitHub</v>
      </c>
      <c r="J32" t="str">
        <f>HYPERLINK("https://app.clickup.com/t/8698rmb2r", "[certification] AWS Certified Solutions Architect - Associate")</f>
        <v>[certification] AWS Certified Solutions Architect - Associate</v>
      </c>
      <c r="K32" t="str">
        <f>HYPERLINK("https://app.clickup.com/t/86971xvd4", "[discovery invest - dw maintenance] Run the file extracts")</f>
        <v>[discovery invest - dw maintenance] Run the file extracts</v>
      </c>
      <c r="O32" t="str">
        <f>HYPERLINK("https://app.clickup.com/t/869a1bu7g", "[om: fatca 2.0 design implementation project (jira tasks)] CDC-2563 Business Rule - Tax Free investments")</f>
        <v>[om: fatca 2.0 design implementation project (jira tasks)] CDC-2563 Business Rule - Tax Free investments</v>
      </c>
      <c r="R32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</row>
    <row r="33" spans="6:18" x14ac:dyDescent="0.3">
      <c r="F33" t="str">
        <f>HYPERLINK("https://app.clickup.com/t/86931cq56", "[certification] Snowflake")</f>
        <v>[certification] Snowflake</v>
      </c>
      <c r="K33" t="str">
        <f>HYPERLINK("https://app.clickup.com/t/86971xv4x", "[discovery invest - dw maintenance] Validating the marts")</f>
        <v>[discovery invest - dw maintenance] Validating the marts</v>
      </c>
      <c r="O33" t="str">
        <f>HYPERLINK("https://app.clickup.com/t/869a01gfm", "[om: fatca 2.0 design implementation project (jira tasks)] CDC-2509 Investigate subset where controlling person and entity has different entity_ids")</f>
        <v>[om: fatca 2.0 design implementation project (jira tasks)] CDC-2509 Investigate subset where controlling person and entity has different entity_ids</v>
      </c>
      <c r="R33" t="str">
        <f>HYPERLINK("https://app.clickup.com/t/869ag79ab", "[internal projects] Test Framework UAT doc")</f>
        <v>[internal projects] Test Framework UAT doc</v>
      </c>
    </row>
    <row r="34" spans="6:18" x14ac:dyDescent="0.3">
      <c r="K34" t="str">
        <f>HYPERLINK("https://app.clickup.com/t/86971xv04", "[discovery invest - dw maintenance] Run mart code")</f>
        <v>[discovery invest - dw maintenance] Run mart code</v>
      </c>
      <c r="O34" t="str">
        <f>HYPERLINK("https://app.clickup.com/t/8699yvvh7", "[om: fatca 2.0 design implementation project (jira tasks)] CDC-2560 SARS TPAH Template Update the rule to avoid referencing the database table")</f>
        <v>[om: fatca 2.0 design implementation project (jira tasks)] CDC-2560 SARS TPAH Template Update the rule to avoid referencing the database table</v>
      </c>
      <c r="R34" t="str">
        <f>HYPERLINK("https://app.clickup.com/t/869a70f9p", "[internal projects] Billed VS Invoiced VS SLA")</f>
        <v>[internal projects] Billed VS Invoiced VS SLA</v>
      </c>
    </row>
    <row r="35" spans="6:18" x14ac:dyDescent="0.3">
      <c r="K35" t="str">
        <f>HYPERLINK("https://app.clickup.com/t/86971xur8", "[discovery invest - dw maintenance] Run implied deletes code")</f>
        <v>[discovery invest - dw maintenance] Run implied deletes code</v>
      </c>
      <c r="O35" t="str">
        <f>HYPERLINK("https://app.clickup.com/t/8699yvveh", "[om: fatca 2.0 design implementation project (jira tasks)] CDC-2559 SARS TPAH Template Remove all spaces and special characters")</f>
        <v>[om: fatca 2.0 design implementation project (jira tasks)] CDC-2559 SARS TPAH Template Remove all spaces and special characters</v>
      </c>
      <c r="R35" t="str">
        <f>HYPERLINK("https://app.clickup.com/t/8697xudfa", "[internal projects] Income statement dashboard")</f>
        <v>[internal projects] Income statement dashboard</v>
      </c>
    </row>
    <row r="36" spans="6:18" x14ac:dyDescent="0.3">
      <c r="K36" t="str">
        <f>HYPERLINK("https://app.clickup.com/t/86971xtt3", "[discovery invest - dw maintenance] Validating the DWH")</f>
        <v>[discovery invest - dw maintenance] Validating the DWH</v>
      </c>
      <c r="R36" t="str">
        <f>HYPERLINK("https://app.clickup.com/t/8697t8mu2", "[internal projects] Sales Dashboard Additional requirements")</f>
        <v>[internal projects] Sales Dashboard Additional requirements</v>
      </c>
    </row>
    <row r="37" spans="6:18" x14ac:dyDescent="0.3">
      <c r="O37" t="str">
        <f>HYPERLINK("https://app.clickup.com/t/8699yvuqh", "[om: fatca 2.0 design implementation project (jira tasks)] CDC-2555 Entities former COB")</f>
        <v>[om: fatca 2.0 design implementation project (jira tasks)] CDC-2555 Entities former COB</v>
      </c>
      <c r="R37" t="str">
        <f>HYPERLINK("https://app.clickup.com/t/8697my8gd", "[internal projects] Financial and Sales Dashboard enhancement")</f>
        <v>[internal projects] Financial and Sales Dashboard enhancement</v>
      </c>
    </row>
    <row r="38" spans="6:18" x14ac:dyDescent="0.3">
      <c r="O38" t="str">
        <f>HYPERLINK("https://app.clickup.com/t/8699yvtjg", "[om: fatca 2.0 design implementation project (jira tasks)] CDC-2553 Flexcube SARS Templates - rename the RFI to source system code at scheme level")</f>
        <v>[om: fatca 2.0 design implementation project (jira tasks)] CDC-2553 Flexcube SARS Templates - rename the RFI to source system code at scheme level</v>
      </c>
      <c r="R38" t="str">
        <f>HYPERLINK("https://app.clickup.com/t/8696yar98", "[internal projects] Resource Utilization Dashboard Refinements")</f>
        <v>[internal projects] Resource Utilization Dashboard Refinements</v>
      </c>
    </row>
    <row r="39" spans="6:18" x14ac:dyDescent="0.3">
      <c r="O39" t="str">
        <f>HYPERLINK("https://app.clickup.com/t/8699yvruw", "[om: fatca 2.0 design implementation project (jira tasks)] CDC-2561 Diminmus rules to be applied at scheme level and not at OMUT level")</f>
        <v>[om: fatca 2.0 design implementation project (jira tasks)] CDC-2561 Diminmus rules to be applied at scheme level and not at OMUT level</v>
      </c>
      <c r="R39" t="str">
        <f>HYPERLINK("https://app.clickup.com/t/8696u6wyy", "[internal projects] Alteryx Server SLA Report process")</f>
        <v>[internal projects] Alteryx Server SLA Report process</v>
      </c>
    </row>
    <row r="40" spans="6:18" x14ac:dyDescent="0.3">
      <c r="O40" t="str">
        <f>HYPERLINK("https://app.clickup.com/t/8699yvra6", "[om: fatca 2.0 design implementation project (jira tasks)] CDC-2554 Entities COB")</f>
        <v>[om: fatca 2.0 design implementation project (jira tasks)] CDC-2554 Entities COB</v>
      </c>
      <c r="R40" t="str">
        <f>HYPERLINK("https://app.clickup.com/t/8695mj63r", "[internal projects] Shoprite B2B SLA Document")</f>
        <v>[internal projects] Shoprite B2B SLA Document</v>
      </c>
    </row>
    <row r="41" spans="6:18" x14ac:dyDescent="0.3">
      <c r="R41" t="str">
        <f>HYPERLINK("https://app.clickup.com/t/869474qb4", "[internal projects] Commit code to GitHub")</f>
        <v>[internal projects] Commit code to GitHub</v>
      </c>
    </row>
    <row r="42" spans="6:18" x14ac:dyDescent="0.3">
      <c r="R42" t="str">
        <f>HYPERLINK("https://app.clickup.com/t/869agp147", "[certification] Snowflake Sales Professional")</f>
        <v>[certification] Snowflake Sales Professional</v>
      </c>
    </row>
    <row r="43" spans="6:18" x14ac:dyDescent="0.3">
      <c r="R43" t="str">
        <f>HYPERLINK("https://app.clickup.com/t/869agp0uz", "[certification] Snowflake Technical Sales Professional")</f>
        <v>[certification] Snowflake Technical Sales Professional</v>
      </c>
    </row>
    <row r="44" spans="6:18" x14ac:dyDescent="0.3">
      <c r="R44" t="str">
        <f>HYPERLINK("https://app.clickup.com/t/869af829t", "[certification] Salesforce Certified Agentforce Specialist")</f>
        <v>[certification] Salesforce Certified Agentforce Specialist</v>
      </c>
    </row>
    <row r="45" spans="6:18" x14ac:dyDescent="0.3">
      <c r="R45" t="str">
        <f>HYPERLINK("https://app.clickup.com/t/869ab9g7u", "[certification] AWS Data Engineer - Associate")</f>
        <v>[certification] AWS Data Engineer - Associate</v>
      </c>
    </row>
    <row r="46" spans="6:18" x14ac:dyDescent="0.3">
      <c r="R46" t="str">
        <f>HYPERLINK("https://app.clickup.com/t/869b6v0gh", "[om: fatca 2.0 design implementation project (jira tasks)] CDC-2562 Develop a Foreigners List dashboard")</f>
        <v>[om: fatca 2.0 design implementation project (jira tasks)] CDC-2562 Develop a Foreigners List dashboard</v>
      </c>
    </row>
    <row r="47" spans="6:18" x14ac:dyDescent="0.3">
      <c r="R47" t="str">
        <f>HYPERLINK("https://app.clickup.com/t/869ax6j44", "[om: fatca 2.0 design implementation project (jira tasks)] Titanium Reports")</f>
        <v>[om: fatca 2.0 design implementation project (jira tasks)] Titanium Reports</v>
      </c>
    </row>
    <row r="48" spans="6:18" x14ac:dyDescent="0.3">
      <c r="R48" t="str">
        <f>HYPERLINK("https://app.clickup.com/t/869ax6j0z", "[om: fatca 2.0 design implementation project (jira tasks)] CDC-3034-aws-s3-bucket-investigation")</f>
        <v>[om: fatca 2.0 design implementation project (jira tasks)] CDC-3034-aws-s3-bucket-investigation</v>
      </c>
    </row>
    <row r="49" spans="18:18" x14ac:dyDescent="0.3">
      <c r="R49" t="str">
        <f>HYPERLINK("https://app.clickup.com/t/869avjm5f", "[om: fatca 2.0 design implementation project (jira tasks)] CBR Quarterly Run")</f>
        <v>[om: fatca 2.0 design implementation project (jira tasks)] CBR Quarterly Run</v>
      </c>
    </row>
    <row r="50" spans="18:18" x14ac:dyDescent="0.3">
      <c r="R50" t="str">
        <f>HYPERLINK("https://app.clickup.com/t/869auvvmp", "[om: fatca 2.0 design implementation project (jira tasks)] Advisor Recon Report Manual Run")</f>
        <v>[om: fatca 2.0 design implementation project (jira tasks)] Advisor Recon Report Manual Run</v>
      </c>
    </row>
    <row r="51" spans="18:18" x14ac:dyDescent="0.3">
      <c r="R51" t="str">
        <f>HYPERLINK("https://app.clickup.com/t/869arkz3a", "[om: fatca 2.0 design implementation project (jira tasks)] CDC-2914 Create Test Cases Cura Reg Change (Framework) Dashboard")</f>
        <v>[om: fatca 2.0 design implementation project (jira tasks)] CDC-2914 Create Test Cases Cura Reg Change (Framework) Dashboard</v>
      </c>
    </row>
    <row r="52" spans="18:18" x14ac:dyDescent="0.3">
      <c r="R52" t="str">
        <f>HYPERLINK("https://app.clickup.com/t/869am7mt7", "[om: fatca 2.0 design implementation project (jira tasks)] CDC-2913 Cura Reg Change Dashboard Modifications")</f>
        <v>[om: fatca 2.0 design implementation project (jira tasks)] CDC-2913 Cura Reg Change Dashboard Modifications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R52"/>
  <sheetViews>
    <sheetView workbookViewId="0"/>
  </sheetViews>
  <sheetFormatPr defaultRowHeight="14.4" x14ac:dyDescent="0.3"/>
  <cols>
    <col min="1" max="1" width="20" customWidth="1"/>
    <col min="2" max="18" width="50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</row>
    <row r="3" spans="1:17" x14ac:dyDescent="0.3">
      <c r="A3" t="s">
        <v>18</v>
      </c>
      <c r="B3" t="s">
        <v>44</v>
      </c>
      <c r="C3" t="s">
        <v>44</v>
      </c>
      <c r="D3" t="s">
        <v>44</v>
      </c>
      <c r="E3" t="s">
        <v>44</v>
      </c>
      <c r="F3" t="s">
        <v>44</v>
      </c>
      <c r="G3" t="s">
        <v>44</v>
      </c>
      <c r="H3" t="s">
        <v>44</v>
      </c>
      <c r="I3" t="s">
        <v>67</v>
      </c>
      <c r="J3" t="s">
        <v>44</v>
      </c>
      <c r="K3" t="s">
        <v>44</v>
      </c>
      <c r="L3" t="s">
        <v>44</v>
      </c>
      <c r="M3" t="s">
        <v>44</v>
      </c>
      <c r="N3" t="s">
        <v>44</v>
      </c>
      <c r="O3" t="s">
        <v>44</v>
      </c>
      <c r="P3" t="s">
        <v>44</v>
      </c>
      <c r="Q3" t="s">
        <v>44</v>
      </c>
    </row>
    <row r="4" spans="1:17" x14ac:dyDescent="0.3">
      <c r="A4" t="s">
        <v>19</v>
      </c>
      <c r="B4" t="s">
        <v>82</v>
      </c>
      <c r="E4" t="s">
        <v>46</v>
      </c>
      <c r="G4" t="s">
        <v>68</v>
      </c>
      <c r="L4" t="s">
        <v>47</v>
      </c>
    </row>
    <row r="5" spans="1:17" x14ac:dyDescent="0.3">
      <c r="A5" t="s">
        <v>20</v>
      </c>
      <c r="B5" t="s">
        <v>83</v>
      </c>
      <c r="C5" t="s">
        <v>70</v>
      </c>
      <c r="D5" t="s">
        <v>70</v>
      </c>
      <c r="E5" t="s">
        <v>71</v>
      </c>
      <c r="G5" t="s">
        <v>48</v>
      </c>
      <c r="J5" t="s">
        <v>70</v>
      </c>
      <c r="K5" t="s">
        <v>70</v>
      </c>
      <c r="L5" t="s">
        <v>72</v>
      </c>
      <c r="M5" t="s">
        <v>70</v>
      </c>
      <c r="N5" t="s">
        <v>70</v>
      </c>
      <c r="P5" t="s">
        <v>70</v>
      </c>
      <c r="Q5" t="s">
        <v>70</v>
      </c>
    </row>
    <row r="6" spans="1:17" x14ac:dyDescent="0.3">
      <c r="A6" t="s">
        <v>21</v>
      </c>
      <c r="B6" t="s">
        <v>84</v>
      </c>
      <c r="D6" t="s">
        <v>49</v>
      </c>
      <c r="E6" t="s">
        <v>46</v>
      </c>
      <c r="F6" t="s">
        <v>85</v>
      </c>
      <c r="G6" t="s">
        <v>48</v>
      </c>
      <c r="J6" t="s">
        <v>49</v>
      </c>
      <c r="L6" t="s">
        <v>47</v>
      </c>
    </row>
    <row r="7" spans="1:17" x14ac:dyDescent="0.3">
      <c r="A7" t="s">
        <v>22</v>
      </c>
      <c r="B7" t="s">
        <v>82</v>
      </c>
      <c r="E7" t="s">
        <v>46</v>
      </c>
      <c r="L7" t="s">
        <v>47</v>
      </c>
    </row>
    <row r="8" spans="1:17" x14ac:dyDescent="0.3">
      <c r="A8" t="s">
        <v>23</v>
      </c>
      <c r="B8" t="s">
        <v>82</v>
      </c>
      <c r="E8" t="s">
        <v>46</v>
      </c>
      <c r="Q8" t="s">
        <v>52</v>
      </c>
    </row>
    <row r="9" spans="1:17" x14ac:dyDescent="0.3">
      <c r="A9" t="s">
        <v>24</v>
      </c>
      <c r="B9" t="s">
        <v>82</v>
      </c>
      <c r="E9" t="s">
        <v>46</v>
      </c>
      <c r="Q9" t="s">
        <v>52</v>
      </c>
    </row>
    <row r="10" spans="1:17" x14ac:dyDescent="0.3">
      <c r="A10" t="s">
        <v>25</v>
      </c>
      <c r="B10" t="s">
        <v>82</v>
      </c>
      <c r="H10" t="s">
        <v>54</v>
      </c>
      <c r="Q10" t="s">
        <v>52</v>
      </c>
    </row>
    <row r="11" spans="1:17" x14ac:dyDescent="0.3">
      <c r="A11" t="s">
        <v>26</v>
      </c>
      <c r="B11" t="s">
        <v>82</v>
      </c>
      <c r="H11" t="s">
        <v>54</v>
      </c>
      <c r="Q11" t="s">
        <v>52</v>
      </c>
    </row>
    <row r="12" spans="1:17" x14ac:dyDescent="0.3">
      <c r="A12" t="s">
        <v>27</v>
      </c>
      <c r="B12" t="s">
        <v>82</v>
      </c>
      <c r="G12" t="s">
        <v>75</v>
      </c>
      <c r="H12" t="s">
        <v>54</v>
      </c>
      <c r="Q12" t="s">
        <v>52</v>
      </c>
    </row>
    <row r="13" spans="1:17" x14ac:dyDescent="0.3">
      <c r="A13" t="s">
        <v>28</v>
      </c>
      <c r="B13" t="s">
        <v>82</v>
      </c>
      <c r="G13" t="s">
        <v>75</v>
      </c>
      <c r="H13" t="s">
        <v>54</v>
      </c>
      <c r="Q13" t="s">
        <v>58</v>
      </c>
    </row>
    <row r="14" spans="1:17" x14ac:dyDescent="0.3">
      <c r="A14" t="s">
        <v>29</v>
      </c>
      <c r="B14" t="s">
        <v>82</v>
      </c>
      <c r="G14" t="s">
        <v>75</v>
      </c>
      <c r="Q14" t="s">
        <v>58</v>
      </c>
    </row>
    <row r="15" spans="1:17" x14ac:dyDescent="0.3">
      <c r="A15" t="s">
        <v>30</v>
      </c>
      <c r="B15" t="s">
        <v>82</v>
      </c>
      <c r="G15" t="s">
        <v>75</v>
      </c>
      <c r="Q15" t="s">
        <v>58</v>
      </c>
    </row>
    <row r="16" spans="1:17" x14ac:dyDescent="0.3">
      <c r="A16" t="s">
        <v>31</v>
      </c>
      <c r="B16" t="s">
        <v>82</v>
      </c>
    </row>
    <row r="17" spans="1:18" x14ac:dyDescent="0.3">
      <c r="A17" t="s">
        <v>32</v>
      </c>
      <c r="B17" t="s">
        <v>82</v>
      </c>
    </row>
    <row r="18" spans="1:18" x14ac:dyDescent="0.3">
      <c r="A18" t="s">
        <v>33</v>
      </c>
      <c r="E18" t="s">
        <v>81</v>
      </c>
      <c r="G18" t="s">
        <v>68</v>
      </c>
      <c r="L18" t="s">
        <v>65</v>
      </c>
      <c r="Q18" t="s">
        <v>66</v>
      </c>
    </row>
    <row r="19" spans="1:18" x14ac:dyDescent="0.3">
      <c r="A19" t="s">
        <v>34</v>
      </c>
      <c r="E19" t="s">
        <v>81</v>
      </c>
      <c r="L19" t="s">
        <v>65</v>
      </c>
      <c r="Q19" t="s">
        <v>66</v>
      </c>
    </row>
    <row r="20" spans="1:18" x14ac:dyDescent="0.3">
      <c r="A20" t="s">
        <v>35</v>
      </c>
    </row>
    <row r="21" spans="1:18" x14ac:dyDescent="0.3">
      <c r="A21" t="s">
        <v>36</v>
      </c>
    </row>
    <row r="24" spans="1:18" x14ac:dyDescent="0.3">
      <c r="A24" t="s">
        <v>37</v>
      </c>
      <c r="B24">
        <f t="shared" ref="B24:Q24" si="0">ROUND(COUNTIF(B2:B19,"&lt;&gt;")/18,4)</f>
        <v>0.83330000000000004</v>
      </c>
      <c r="C24">
        <f t="shared" si="0"/>
        <v>0.1111</v>
      </c>
      <c r="D24">
        <f t="shared" si="0"/>
        <v>0.16669999999999999</v>
      </c>
      <c r="E24">
        <f t="shared" si="0"/>
        <v>0.5</v>
      </c>
      <c r="F24">
        <f t="shared" si="0"/>
        <v>0.1111</v>
      </c>
      <c r="G24">
        <f t="shared" si="0"/>
        <v>0.5</v>
      </c>
      <c r="H24">
        <f t="shared" si="0"/>
        <v>0.27779999999999999</v>
      </c>
      <c r="I24">
        <f t="shared" si="0"/>
        <v>5.5599999999999997E-2</v>
      </c>
      <c r="J24">
        <f t="shared" si="0"/>
        <v>0.16669999999999999</v>
      </c>
      <c r="K24">
        <f t="shared" si="0"/>
        <v>0.1111</v>
      </c>
      <c r="L24">
        <f t="shared" si="0"/>
        <v>0.38890000000000002</v>
      </c>
      <c r="M24">
        <f t="shared" si="0"/>
        <v>0.1111</v>
      </c>
      <c r="N24">
        <f t="shared" si="0"/>
        <v>0.1111</v>
      </c>
      <c r="O24">
        <f t="shared" si="0"/>
        <v>5.5599999999999997E-2</v>
      </c>
      <c r="P24">
        <f t="shared" si="0"/>
        <v>0.1111</v>
      </c>
      <c r="Q24">
        <f t="shared" si="0"/>
        <v>0.66669999999999996</v>
      </c>
    </row>
    <row r="27" spans="1:18" x14ac:dyDescent="0.3">
      <c r="A27" t="s">
        <v>38</v>
      </c>
      <c r="B27" t="s">
        <v>39</v>
      </c>
      <c r="C27" t="s">
        <v>2</v>
      </c>
      <c r="D27" t="s">
        <v>3</v>
      </c>
      <c r="E27" t="s">
        <v>4</v>
      </c>
      <c r="F27" t="s">
        <v>40</v>
      </c>
      <c r="G27" t="s">
        <v>6</v>
      </c>
      <c r="H27" t="s">
        <v>7</v>
      </c>
      <c r="I27" t="s">
        <v>8</v>
      </c>
      <c r="J27" t="s">
        <v>9</v>
      </c>
      <c r="K27" t="s">
        <v>10</v>
      </c>
      <c r="L27" t="s">
        <v>11</v>
      </c>
      <c r="M27" t="s">
        <v>41</v>
      </c>
      <c r="N27" t="s">
        <v>13</v>
      </c>
      <c r="O27" t="s">
        <v>14</v>
      </c>
      <c r="P27" t="s">
        <v>15</v>
      </c>
      <c r="Q27" t="s">
        <v>16</v>
      </c>
      <c r="R27" t="s">
        <v>42</v>
      </c>
    </row>
    <row r="28" spans="1:18" x14ac:dyDescent="0.3">
      <c r="B28" t="str">
        <f>HYPERLINK("https://app.clickup.com/t/8698kwuqq", "[slipstream - data warehouse solution - git (productization)] Design and Build Costing reports in Snowflake")</f>
        <v>[slipstream - data warehouse solution - git (productization)] Design and Build Costing reports in Snowflake</v>
      </c>
      <c r="C28" t="str">
        <f>HYPERLINK("https://app.clickup.com/t/86995td5m", "[slipstream - data warehouse solution - git (productization)] Build the data deployment pipelines for DEV to QA")</f>
        <v>[slipstream - data warehouse solution - git (productization)] Build the data deployment pipelines for DEV to QA</v>
      </c>
      <c r="D28" t="str">
        <f>HYPERLINK("https://app.clickup.com/t/86995td5m", "[slipstream - data warehouse solution - git (productization)] Build the data deployment pipelines for DEV to QA")</f>
        <v>[slipstream - data warehouse solution - git (productization)] Build the data deployment pipelines for DEV to QA</v>
      </c>
      <c r="F28" t="str">
        <f>HYPERLINK("https://app.clickup.com/t/869a2knmy", "[slipstream - data warehouse solution - git (productization)] Create views as exploitation layer out of data lake")</f>
        <v>[slipstream - data warehouse solution - git (productization)] Create views as exploitation layer out of data lake</v>
      </c>
      <c r="G28" t="str">
        <f>HYPERLINK("https://app.clickup.com/t/869474qb4", "[internal projects] Commit code to GitHub")</f>
        <v>[internal projects] Commit code to GitHub</v>
      </c>
      <c r="H28" t="str">
        <f>HYPERLINK("https://app.clickup.com/t/869474qb4", "[internal projects] Commit code to GitHub")</f>
        <v>[internal projects] Commit code to GitHub</v>
      </c>
      <c r="I28" t="str">
        <f>HYPERLINK("https://app.clickup.com/t/869atfeg3", "[freshdesk] 1375 FPM Look through results compared to Reg30 rounding differences")</f>
        <v>[freshdesk] 1375 FPM Look through results compared to Reg30 rounding differences</v>
      </c>
      <c r="J28" t="str">
        <f>HYPERLINK("https://app.clickup.com/t/869bd0zxj", "[freshdesk] 1430 Athena Connection Setup")</f>
        <v>[freshdesk] 1430 Athena Connection Setup</v>
      </c>
      <c r="K28" t="str">
        <f>HYPERLINK("https://app.clickup.com/t/8698jrq49", "[slipstream - data warehouse solution - git (productization)] Testing - data Audit processes")</f>
        <v>[slipstream - data warehouse solution - git (productization)] Testing - data Audit processes</v>
      </c>
      <c r="L28" t="str">
        <f>HYPERLINK("https://app.clickup.com/t/869a5344p", "[freshdesk] Documentation")</f>
        <v>[freshdesk] Documentation</v>
      </c>
      <c r="O28" t="str">
        <f>HYPERLINK("https://app.clickup.com/t/869474qb4", "[internal projects] Commit code to GitHub")</f>
        <v>[internal projects] Commit code to GitHub</v>
      </c>
      <c r="P28" t="str">
        <f>HYPERLINK("https://app.clickup.com/t/869bd6a0f", "[wonga: data warehouse development &amp; migration onto snowflake project] Dim_Funnel_Checks")</f>
        <v>[wonga: data warehouse development &amp; migration onto snowflake project] Dim_Funnel_Checks</v>
      </c>
      <c r="R28" t="str">
        <f>HYPERLINK("https://app.clickup.com/t/869bbt350", "[freshdesk] 1428 SSO Intergations for data connections within Alteryx")</f>
        <v>[freshdesk] 1428 SSO Intergations for data connections within Alteryx</v>
      </c>
    </row>
    <row r="29" spans="1:18" x14ac:dyDescent="0.3">
      <c r="B29" t="str">
        <f>HYPERLINK("https://app.clickup.com/t/8698jrq4e", "[slipstream - data warehouse solution - git (productization)] Support. Includes platform optimisation, query optimisation etc.")</f>
        <v>[slipstream - data warehouse solution - git (productization)] Support. Includes platform optimisation, query optimisation etc.</v>
      </c>
      <c r="C29" t="str">
        <f>HYPERLINK("https://app.clickup.com/t/8695qbamh", "[internal projects] Testing")</f>
        <v>[internal projects] Testing</v>
      </c>
      <c r="D29" t="str">
        <f>HYPERLINK("https://app.clickup.com/t/869474qb4", "[internal projects] Commit code to GitHub")</f>
        <v>[internal projects] Commit code to GitHub</v>
      </c>
      <c r="F29" t="str">
        <f>HYPERLINK("https://app.clickup.com/t/8698kwuqq", "[slipstream - data warehouse solution - git (productization)] Design and Build Costing reports in Snowflake")</f>
        <v>[slipstream - data warehouse solution - git (productization)] Design and Build Costing reports in Snowflake</v>
      </c>
      <c r="G29" t="str">
        <f>HYPERLINK("https://app.clickup.com/t/8696c93m9", "[discovery invest - dw maintenance] Change LAst_seed_Process = 2 for 7 tables")</f>
        <v>[discovery invest - dw maintenance] Change LAst_seed_Process = 2 for 7 tables</v>
      </c>
      <c r="H29" t="str">
        <f>HYPERLINK("https://app.clickup.com/t/862k4g368", "[internal projects] Integrate data to Tableau report")</f>
        <v>[internal projects] Integrate data to Tableau report</v>
      </c>
      <c r="I29" t="str">
        <f>HYPERLINK("https://app.clickup.com/t/869474qb4", "[internal projects] Commit code to GitHub")</f>
        <v>[internal projects] Commit code to GitHub</v>
      </c>
      <c r="J29" t="str">
        <f>HYPERLINK("https://app.clickup.com/t/8696q3a3m", "[internal projects] Team Skills")</f>
        <v>[internal projects] Team Skills</v>
      </c>
      <c r="K29" t="str">
        <f>HYPERLINK("https://app.clickup.com/t/8698jrq40", "[slipstream - data warehouse solution - git (productization)] Optimisation and Enhancemnets post testing")</f>
        <v>[slipstream - data warehouse solution - git (productization)] Optimisation and Enhancemnets post testing</v>
      </c>
      <c r="L29" t="str">
        <f>HYPERLINK("https://app.clickup.com/t/8698juq5h", "[slipstream - data warehouse solution - git (productization)] Build the PowerBI reports for monitoring data Lake progress")</f>
        <v>[slipstream - data warehouse solution - git (productization)] Build the PowerBI reports for monitoring data Lake progress</v>
      </c>
      <c r="O29" t="str">
        <f>HYPERLINK("https://app.clickup.com/t/869a9nmh7", "[om: fatca 2.0 design implementation project (jira tasks)] CDC-2626 Setup Non-prod and Prod space on Alteryx Servers")</f>
        <v>[om: fatca 2.0 design implementation project (jira tasks)] CDC-2626 Setup Non-prod and Prod space on Alteryx Servers</v>
      </c>
      <c r="R29" t="str">
        <f>HYPERLINK("https://app.clickup.com/t/869b88fev", "[freshdesk] 1421 OTIF Schedule date changes")</f>
        <v>[freshdesk] 1421 OTIF Schedule date changes</v>
      </c>
    </row>
    <row r="30" spans="1:18" x14ac:dyDescent="0.3">
      <c r="B30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  <c r="C30" t="str">
        <f>HYPERLINK("https://app.clickup.com/t/869474qb4", "[internal projects] Commit code to GitHub")</f>
        <v>[internal projects] Commit code to GitHub</v>
      </c>
      <c r="F30" t="str">
        <f>HYPERLINK("https://app.clickup.com/t/8698jrxaj", "[slipstream - data warehouse solution - git (productization)] Snowflake Setup and Configuration")</f>
        <v>[slipstream - data warehouse solution - git (productization)] Snowflake Setup and Configuration</v>
      </c>
      <c r="H30" t="str">
        <f>HYPERLINK("https://app.clickup.com/t/86931cq82", "[certification] Alteryx")</f>
        <v>[certification] Alteryx</v>
      </c>
      <c r="J30" t="str">
        <f>HYPERLINK("https://app.clickup.com/t/8696kqh8k", "[internal projects] Tableau server Microsoft Teams app set up")</f>
        <v>[internal projects] Tableau server Microsoft Teams app set up</v>
      </c>
      <c r="K30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  <c r="L30" t="str">
        <f>HYPERLINK("https://app.clickup.com/t/8698jupt0", "[slipstream - data warehouse solution - git (productization)] Build the PowerBI reports for monitoring data Stage progress")</f>
        <v>[slipstream - data warehouse solution - git (productization)] Build the PowerBI reports for monitoring data Stage progress</v>
      </c>
      <c r="O30" t="str">
        <f>HYPERLINK("https://app.clickup.com/t/869a6vnq6", "[om: fatca 2.0 design implementation project (jira tasks)] CDC-2757 Market Conduct: Provide time estimates for deliverables")</f>
        <v>[om: fatca 2.0 design implementation project (jira tasks)] CDC-2757 Market Conduct: Provide time estimates for deliverables</v>
      </c>
      <c r="R30" t="str">
        <f>HYPERLINK("https://app.clickup.com/t/8698jrq49", "[slipstream - data warehouse solution - git (productization)] Testing - data Audit processes")</f>
        <v>[slipstream - data warehouse solution - git (productization)] Testing - data Audit processes</v>
      </c>
    </row>
    <row r="31" spans="1:18" x14ac:dyDescent="0.3">
      <c r="B31" t="str">
        <f>HYPERLINK("https://app.clickup.com/t/869474qb4", "[internal projects] Commit code to GitHub")</f>
        <v>[internal projects] Commit code to GitHub</v>
      </c>
      <c r="C31" t="str">
        <f>HYPERLINK("https://app.clickup.com/t/862k18nwr", "[internal projects] SLA performance for each customer")</f>
        <v>[internal projects] SLA performance for each customer</v>
      </c>
      <c r="F31" t="str">
        <f>HYPERLINK("https://app.clickup.com/t/8698jrq40", "[slipstream - data warehouse solution - git (productization)] Optimisation and Enhancemnets post testing")</f>
        <v>[slipstream - data warehouse solution - git (productization)] Optimisation and Enhancemnets post testing</v>
      </c>
      <c r="J31" t="str">
        <f>HYPERLINK("https://app.clickup.com/t/869474qb4", "[internal projects] Commit code to GitHub")</f>
        <v>[internal projects] Commit code to GitHub</v>
      </c>
      <c r="K31" t="str">
        <f>HYPERLINK("https://app.clickup.com/t/869474qb4", "[internal projects] Commit code to GitHub")</f>
        <v>[internal projects] Commit code to GitHub</v>
      </c>
      <c r="L31" t="str">
        <f>HYPERLINK("https://app.clickup.com/t/8698jrq3g", "[slipstream - data warehouse solution - git (productization)] Orchestration")</f>
        <v>[slipstream - data warehouse solution - git (productization)] Orchestration</v>
      </c>
      <c r="O31" t="str">
        <f>HYPERLINK("https://app.clickup.com/t/869a1x6nk", "[om: fatca 2.0 design implementation project (jira tasks)] CDC-2062 Highlight where field values do not map to static reference tables in the raw schema")</f>
        <v>[om: fatca 2.0 design implementation project (jira tasks)] CDC-2062 Highlight where field values do not map to static reference tables in the raw schema</v>
      </c>
      <c r="R31" t="str">
        <f>HYPERLINK("https://app.clickup.com/t/8698jrq3g", "[slipstream - data warehouse solution - git (productization)] Orchestration")</f>
        <v>[slipstream - data warehouse solution - git (productization)] Orchestration</v>
      </c>
    </row>
    <row r="32" spans="1:18" x14ac:dyDescent="0.3">
      <c r="C32" t="str">
        <f>HYPERLINK("https://app.clickup.com/t/8694x2b1k", "[certification] Alteryx Designer Advanced")</f>
        <v>[certification] Alteryx Designer Advanced</v>
      </c>
      <c r="F32" t="str">
        <f>HYPERLINK("https://app.clickup.com/t/869474qb4", "[internal projects] Commit code to GitHub")</f>
        <v>[internal projects] Commit code to GitHub</v>
      </c>
      <c r="J32" t="str">
        <f>HYPERLINK("https://app.clickup.com/t/8698rmb2r", "[certification] AWS Certified Solutions Architect - Associate")</f>
        <v>[certification] AWS Certified Solutions Architect - Associate</v>
      </c>
      <c r="K32" t="str">
        <f>HYPERLINK("https://app.clickup.com/t/86971xvd4", "[discovery invest - dw maintenance] Run the file extracts")</f>
        <v>[discovery invest - dw maintenance] Run the file extracts</v>
      </c>
      <c r="O32" t="str">
        <f>HYPERLINK("https://app.clickup.com/t/869a1bu7g", "[om: fatca 2.0 design implementation project (jira tasks)] CDC-2563 Business Rule - Tax Free investments")</f>
        <v>[om: fatca 2.0 design implementation project (jira tasks)] CDC-2563 Business Rule - Tax Free investments</v>
      </c>
      <c r="R32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</row>
    <row r="33" spans="6:18" x14ac:dyDescent="0.3">
      <c r="F33" t="str">
        <f>HYPERLINK("https://app.clickup.com/t/86931cq56", "[certification] Snowflake")</f>
        <v>[certification] Snowflake</v>
      </c>
      <c r="K33" t="str">
        <f>HYPERLINK("https://app.clickup.com/t/86971xv4x", "[discovery invest - dw maintenance] Validating the marts")</f>
        <v>[discovery invest - dw maintenance] Validating the marts</v>
      </c>
      <c r="O33" t="str">
        <f>HYPERLINK("https://app.clickup.com/t/869a01gfm", "[om: fatca 2.0 design implementation project (jira tasks)] CDC-2509 Investigate subset where controlling person and entity has different entity_ids")</f>
        <v>[om: fatca 2.0 design implementation project (jira tasks)] CDC-2509 Investigate subset where controlling person and entity has different entity_ids</v>
      </c>
      <c r="R33" t="str">
        <f>HYPERLINK("https://app.clickup.com/t/869ag79ab", "[internal projects] Test Framework UAT doc")</f>
        <v>[internal projects] Test Framework UAT doc</v>
      </c>
    </row>
    <row r="34" spans="6:18" x14ac:dyDescent="0.3">
      <c r="K34" t="str">
        <f>HYPERLINK("https://app.clickup.com/t/86971xv04", "[discovery invest - dw maintenance] Run mart code")</f>
        <v>[discovery invest - dw maintenance] Run mart code</v>
      </c>
      <c r="O34" t="str">
        <f>HYPERLINK("https://app.clickup.com/t/8699yvvh7", "[om: fatca 2.0 design implementation project (jira tasks)] CDC-2560 SARS TPAH Template Update the rule to avoid referencing the database table")</f>
        <v>[om: fatca 2.0 design implementation project (jira tasks)] CDC-2560 SARS TPAH Template Update the rule to avoid referencing the database table</v>
      </c>
      <c r="R34" t="str">
        <f>HYPERLINK("https://app.clickup.com/t/869a70f9p", "[internal projects] Billed VS Invoiced VS SLA")</f>
        <v>[internal projects] Billed VS Invoiced VS SLA</v>
      </c>
    </row>
    <row r="35" spans="6:18" x14ac:dyDescent="0.3">
      <c r="K35" t="str">
        <f>HYPERLINK("https://app.clickup.com/t/86971xur8", "[discovery invest - dw maintenance] Run implied deletes code")</f>
        <v>[discovery invest - dw maintenance] Run implied deletes code</v>
      </c>
      <c r="O35" t="str">
        <f>HYPERLINK("https://app.clickup.com/t/8699yvveh", "[om: fatca 2.0 design implementation project (jira tasks)] CDC-2559 SARS TPAH Template Remove all spaces and special characters")</f>
        <v>[om: fatca 2.0 design implementation project (jira tasks)] CDC-2559 SARS TPAH Template Remove all spaces and special characters</v>
      </c>
      <c r="R35" t="str">
        <f>HYPERLINK("https://app.clickup.com/t/8697xudfa", "[internal projects] Income statement dashboard")</f>
        <v>[internal projects] Income statement dashboard</v>
      </c>
    </row>
    <row r="36" spans="6:18" x14ac:dyDescent="0.3">
      <c r="K36" t="str">
        <f>HYPERLINK("https://app.clickup.com/t/86971xtt3", "[discovery invest - dw maintenance] Validating the DWH")</f>
        <v>[discovery invest - dw maintenance] Validating the DWH</v>
      </c>
      <c r="R36" t="str">
        <f>HYPERLINK("https://app.clickup.com/t/8697t8mu2", "[internal projects] Sales Dashboard Additional requirements")</f>
        <v>[internal projects] Sales Dashboard Additional requirements</v>
      </c>
    </row>
    <row r="37" spans="6:18" x14ac:dyDescent="0.3">
      <c r="O37" t="str">
        <f>HYPERLINK("https://app.clickup.com/t/8699yvuqh", "[om: fatca 2.0 design implementation project (jira tasks)] CDC-2555 Entities former COB")</f>
        <v>[om: fatca 2.0 design implementation project (jira tasks)] CDC-2555 Entities former COB</v>
      </c>
      <c r="R37" t="str">
        <f>HYPERLINK("https://app.clickup.com/t/8697my8gd", "[internal projects] Financial and Sales Dashboard enhancement")</f>
        <v>[internal projects] Financial and Sales Dashboard enhancement</v>
      </c>
    </row>
    <row r="38" spans="6:18" x14ac:dyDescent="0.3">
      <c r="O38" t="str">
        <f>HYPERLINK("https://app.clickup.com/t/8699yvtjg", "[om: fatca 2.0 design implementation project (jira tasks)] CDC-2553 Flexcube SARS Templates - rename the RFI to source system code at scheme level")</f>
        <v>[om: fatca 2.0 design implementation project (jira tasks)] CDC-2553 Flexcube SARS Templates - rename the RFI to source system code at scheme level</v>
      </c>
      <c r="R38" t="str">
        <f>HYPERLINK("https://app.clickup.com/t/8696yar98", "[internal projects] Resource Utilization Dashboard Refinements")</f>
        <v>[internal projects] Resource Utilization Dashboard Refinements</v>
      </c>
    </row>
    <row r="39" spans="6:18" x14ac:dyDescent="0.3">
      <c r="O39" t="str">
        <f>HYPERLINK("https://app.clickup.com/t/8699yvruw", "[om: fatca 2.0 design implementation project (jira tasks)] CDC-2561 Diminmus rules to be applied at scheme level and not at OMUT level")</f>
        <v>[om: fatca 2.0 design implementation project (jira tasks)] CDC-2561 Diminmus rules to be applied at scheme level and not at OMUT level</v>
      </c>
      <c r="R39" t="str">
        <f>HYPERLINK("https://app.clickup.com/t/8696u6wyy", "[internal projects] Alteryx Server SLA Report process")</f>
        <v>[internal projects] Alteryx Server SLA Report process</v>
      </c>
    </row>
    <row r="40" spans="6:18" x14ac:dyDescent="0.3">
      <c r="O40" t="str">
        <f>HYPERLINK("https://app.clickup.com/t/8699yvra6", "[om: fatca 2.0 design implementation project (jira tasks)] CDC-2554 Entities COB")</f>
        <v>[om: fatca 2.0 design implementation project (jira tasks)] CDC-2554 Entities COB</v>
      </c>
      <c r="R40" t="str">
        <f>HYPERLINK("https://app.clickup.com/t/8695mj63r", "[internal projects] Shoprite B2B SLA Document")</f>
        <v>[internal projects] Shoprite B2B SLA Document</v>
      </c>
    </row>
    <row r="41" spans="6:18" x14ac:dyDescent="0.3">
      <c r="R41" t="str">
        <f>HYPERLINK("https://app.clickup.com/t/869474qb4", "[internal projects] Commit code to GitHub")</f>
        <v>[internal projects] Commit code to GitHub</v>
      </c>
    </row>
    <row r="42" spans="6:18" x14ac:dyDescent="0.3">
      <c r="R42" t="str">
        <f>HYPERLINK("https://app.clickup.com/t/869agp147", "[certification] Snowflake Sales Professional")</f>
        <v>[certification] Snowflake Sales Professional</v>
      </c>
    </row>
    <row r="43" spans="6:18" x14ac:dyDescent="0.3">
      <c r="R43" t="str">
        <f>HYPERLINK("https://app.clickup.com/t/869agp0uz", "[certification] Snowflake Technical Sales Professional")</f>
        <v>[certification] Snowflake Technical Sales Professional</v>
      </c>
    </row>
    <row r="44" spans="6:18" x14ac:dyDescent="0.3">
      <c r="R44" t="str">
        <f>HYPERLINK("https://app.clickup.com/t/869af829t", "[certification] Salesforce Certified Agentforce Specialist")</f>
        <v>[certification] Salesforce Certified Agentforce Specialist</v>
      </c>
    </row>
    <row r="45" spans="6:18" x14ac:dyDescent="0.3">
      <c r="R45" t="str">
        <f>HYPERLINK("https://app.clickup.com/t/869ab9g7u", "[certification] AWS Data Engineer - Associate")</f>
        <v>[certification] AWS Data Engineer - Associate</v>
      </c>
    </row>
    <row r="46" spans="6:18" x14ac:dyDescent="0.3">
      <c r="R46" t="str">
        <f>HYPERLINK("https://app.clickup.com/t/869b6v0gh", "[om: fatca 2.0 design implementation project (jira tasks)] CDC-2562 Develop a Foreigners List dashboard")</f>
        <v>[om: fatca 2.0 design implementation project (jira tasks)] CDC-2562 Develop a Foreigners List dashboard</v>
      </c>
    </row>
    <row r="47" spans="6:18" x14ac:dyDescent="0.3">
      <c r="R47" t="str">
        <f>HYPERLINK("https://app.clickup.com/t/869ax6j44", "[om: fatca 2.0 design implementation project (jira tasks)] Titanium Reports")</f>
        <v>[om: fatca 2.0 design implementation project (jira tasks)] Titanium Reports</v>
      </c>
    </row>
    <row r="48" spans="6:18" x14ac:dyDescent="0.3">
      <c r="R48" t="str">
        <f>HYPERLINK("https://app.clickup.com/t/869ax6j0z", "[om: fatca 2.0 design implementation project (jira tasks)] CDC-3034-aws-s3-bucket-investigation")</f>
        <v>[om: fatca 2.0 design implementation project (jira tasks)] CDC-3034-aws-s3-bucket-investigation</v>
      </c>
    </row>
    <row r="49" spans="18:18" x14ac:dyDescent="0.3">
      <c r="R49" t="str">
        <f>HYPERLINK("https://app.clickup.com/t/869avjm5f", "[om: fatca 2.0 design implementation project (jira tasks)] CBR Quarterly Run")</f>
        <v>[om: fatca 2.0 design implementation project (jira tasks)] CBR Quarterly Run</v>
      </c>
    </row>
    <row r="50" spans="18:18" x14ac:dyDescent="0.3">
      <c r="R50" t="str">
        <f>HYPERLINK("https://app.clickup.com/t/869auvvmp", "[om: fatca 2.0 design implementation project (jira tasks)] Advisor Recon Report Manual Run")</f>
        <v>[om: fatca 2.0 design implementation project (jira tasks)] Advisor Recon Report Manual Run</v>
      </c>
    </row>
    <row r="51" spans="18:18" x14ac:dyDescent="0.3">
      <c r="R51" t="str">
        <f>HYPERLINK("https://app.clickup.com/t/869arkz3a", "[om: fatca 2.0 design implementation project (jira tasks)] CDC-2914 Create Test Cases Cura Reg Change (Framework) Dashboard")</f>
        <v>[om: fatca 2.0 design implementation project (jira tasks)] CDC-2914 Create Test Cases Cura Reg Change (Framework) Dashboard</v>
      </c>
    </row>
    <row r="52" spans="18:18" x14ac:dyDescent="0.3">
      <c r="R52" t="str">
        <f>HYPERLINK("https://app.clickup.com/t/869am7mt7", "[om: fatca 2.0 design implementation project (jira tasks)] CDC-2913 Cura Reg Change Dashboard Modifications")</f>
        <v>[om: fatca 2.0 design implementation project (jira tasks)] CDC-2913 Cura Reg Change Dashboard Modifications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R52"/>
  <sheetViews>
    <sheetView workbookViewId="0"/>
  </sheetViews>
  <sheetFormatPr defaultRowHeight="14.4" x14ac:dyDescent="0.3"/>
  <cols>
    <col min="1" max="1" width="20" customWidth="1"/>
    <col min="2" max="18" width="50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</row>
    <row r="3" spans="1:17" x14ac:dyDescent="0.3">
      <c r="A3" t="s">
        <v>18</v>
      </c>
      <c r="B3" t="s">
        <v>44</v>
      </c>
      <c r="C3" t="s">
        <v>44</v>
      </c>
      <c r="D3" t="s">
        <v>44</v>
      </c>
      <c r="E3" t="s">
        <v>44</v>
      </c>
      <c r="F3" t="s">
        <v>44</v>
      </c>
      <c r="G3" t="s">
        <v>44</v>
      </c>
      <c r="H3" t="s">
        <v>44</v>
      </c>
      <c r="I3" t="s">
        <v>44</v>
      </c>
      <c r="J3" t="s">
        <v>44</v>
      </c>
      <c r="K3" t="s">
        <v>44</v>
      </c>
      <c r="L3" t="s">
        <v>44</v>
      </c>
      <c r="M3" t="s">
        <v>44</v>
      </c>
      <c r="N3" t="s">
        <v>44</v>
      </c>
      <c r="O3" t="s">
        <v>44</v>
      </c>
      <c r="P3" t="s">
        <v>44</v>
      </c>
      <c r="Q3" t="s">
        <v>44</v>
      </c>
    </row>
    <row r="4" spans="1:17" x14ac:dyDescent="0.3">
      <c r="A4" t="s">
        <v>19</v>
      </c>
      <c r="E4" t="s">
        <v>46</v>
      </c>
      <c r="G4" t="s">
        <v>68</v>
      </c>
      <c r="L4" t="s">
        <v>47</v>
      </c>
    </row>
    <row r="5" spans="1:17" x14ac:dyDescent="0.3">
      <c r="A5" t="s">
        <v>20</v>
      </c>
      <c r="E5" t="s">
        <v>46</v>
      </c>
      <c r="G5" t="s">
        <v>48</v>
      </c>
      <c r="L5" t="s">
        <v>47</v>
      </c>
    </row>
    <row r="6" spans="1:17" x14ac:dyDescent="0.3">
      <c r="A6" t="s">
        <v>21</v>
      </c>
      <c r="B6" t="s">
        <v>89</v>
      </c>
      <c r="D6" t="s">
        <v>49</v>
      </c>
      <c r="E6" t="s">
        <v>46</v>
      </c>
      <c r="G6" t="s">
        <v>48</v>
      </c>
      <c r="J6" t="s">
        <v>49</v>
      </c>
      <c r="L6" t="s">
        <v>47</v>
      </c>
    </row>
    <row r="7" spans="1:17" x14ac:dyDescent="0.3">
      <c r="A7" t="s">
        <v>22</v>
      </c>
      <c r="E7" t="s">
        <v>46</v>
      </c>
      <c r="L7" t="s">
        <v>47</v>
      </c>
    </row>
    <row r="8" spans="1:17" x14ac:dyDescent="0.3">
      <c r="A8" t="s">
        <v>23</v>
      </c>
      <c r="Q8" t="s">
        <v>52</v>
      </c>
    </row>
    <row r="9" spans="1:17" x14ac:dyDescent="0.3">
      <c r="A9" t="s">
        <v>24</v>
      </c>
      <c r="Q9" t="s">
        <v>52</v>
      </c>
    </row>
    <row r="10" spans="1:17" x14ac:dyDescent="0.3">
      <c r="A10" t="s">
        <v>25</v>
      </c>
      <c r="B10" t="s">
        <v>90</v>
      </c>
      <c r="G10" t="s">
        <v>91</v>
      </c>
      <c r="H10" t="s">
        <v>54</v>
      </c>
      <c r="K10" t="s">
        <v>90</v>
      </c>
      <c r="N10" t="s">
        <v>90</v>
      </c>
      <c r="Q10" t="s">
        <v>52</v>
      </c>
    </row>
    <row r="11" spans="1:17" x14ac:dyDescent="0.3">
      <c r="A11" t="s">
        <v>26</v>
      </c>
      <c r="H11" t="s">
        <v>54</v>
      </c>
      <c r="Q11" t="s">
        <v>52</v>
      </c>
    </row>
    <row r="12" spans="1:17" x14ac:dyDescent="0.3">
      <c r="A12" t="s">
        <v>27</v>
      </c>
      <c r="H12" t="s">
        <v>54</v>
      </c>
      <c r="Q12" t="s">
        <v>52</v>
      </c>
    </row>
    <row r="13" spans="1:17" x14ac:dyDescent="0.3">
      <c r="A13" t="s">
        <v>28</v>
      </c>
      <c r="H13" t="s">
        <v>54</v>
      </c>
      <c r="Q13" t="s">
        <v>58</v>
      </c>
    </row>
    <row r="14" spans="1:17" x14ac:dyDescent="0.3">
      <c r="A14" t="s">
        <v>29</v>
      </c>
      <c r="B14" t="s">
        <v>92</v>
      </c>
      <c r="C14" t="s">
        <v>92</v>
      </c>
      <c r="D14" t="s">
        <v>92</v>
      </c>
      <c r="E14" t="s">
        <v>92</v>
      </c>
      <c r="F14" t="s">
        <v>92</v>
      </c>
      <c r="K14" t="s">
        <v>92</v>
      </c>
      <c r="L14" t="s">
        <v>92</v>
      </c>
      <c r="M14" t="s">
        <v>92</v>
      </c>
      <c r="N14" t="s">
        <v>92</v>
      </c>
      <c r="P14" t="s">
        <v>92</v>
      </c>
      <c r="Q14" t="s">
        <v>93</v>
      </c>
    </row>
    <row r="15" spans="1:17" x14ac:dyDescent="0.3">
      <c r="A15" t="s">
        <v>30</v>
      </c>
      <c r="B15" t="s">
        <v>92</v>
      </c>
      <c r="C15" t="s">
        <v>92</v>
      </c>
      <c r="D15" t="s">
        <v>92</v>
      </c>
      <c r="E15" t="s">
        <v>92</v>
      </c>
      <c r="F15" t="s">
        <v>92</v>
      </c>
      <c r="K15" t="s">
        <v>92</v>
      </c>
      <c r="L15" t="s">
        <v>92</v>
      </c>
      <c r="M15" t="s">
        <v>92</v>
      </c>
      <c r="N15" t="s">
        <v>92</v>
      </c>
      <c r="P15" t="s">
        <v>92</v>
      </c>
      <c r="Q15" t="s">
        <v>93</v>
      </c>
    </row>
    <row r="16" spans="1:17" x14ac:dyDescent="0.3">
      <c r="A16" t="s">
        <v>31</v>
      </c>
    </row>
    <row r="17" spans="1:18" x14ac:dyDescent="0.3">
      <c r="A17" t="s">
        <v>32</v>
      </c>
    </row>
    <row r="18" spans="1:18" x14ac:dyDescent="0.3">
      <c r="A18" t="s">
        <v>33</v>
      </c>
      <c r="E18" t="s">
        <v>81</v>
      </c>
      <c r="G18" t="s">
        <v>68</v>
      </c>
      <c r="L18" t="s">
        <v>65</v>
      </c>
      <c r="Q18" t="s">
        <v>66</v>
      </c>
    </row>
    <row r="19" spans="1:18" x14ac:dyDescent="0.3">
      <c r="A19" t="s">
        <v>34</v>
      </c>
      <c r="E19" t="s">
        <v>81</v>
      </c>
      <c r="L19" t="s">
        <v>65</v>
      </c>
      <c r="Q19" t="s">
        <v>66</v>
      </c>
    </row>
    <row r="20" spans="1:18" x14ac:dyDescent="0.3">
      <c r="A20" t="s">
        <v>35</v>
      </c>
    </row>
    <row r="21" spans="1:18" x14ac:dyDescent="0.3">
      <c r="A21" t="s">
        <v>36</v>
      </c>
    </row>
    <row r="24" spans="1:18" x14ac:dyDescent="0.3">
      <c r="A24" t="s">
        <v>37</v>
      </c>
      <c r="B24">
        <f t="shared" ref="B24:Q24" si="0">ROUND(COUNTIF(B2:B19,"&lt;&gt;")/18,4)</f>
        <v>0.27779999999999999</v>
      </c>
      <c r="C24">
        <f t="shared" si="0"/>
        <v>0.16669999999999999</v>
      </c>
      <c r="D24">
        <f t="shared" si="0"/>
        <v>0.22220000000000001</v>
      </c>
      <c r="E24">
        <f t="shared" si="0"/>
        <v>0.5</v>
      </c>
      <c r="F24">
        <f t="shared" si="0"/>
        <v>0.16669999999999999</v>
      </c>
      <c r="G24">
        <f t="shared" si="0"/>
        <v>0.33329999999999999</v>
      </c>
      <c r="H24">
        <f t="shared" si="0"/>
        <v>0.27779999999999999</v>
      </c>
      <c r="I24">
        <f t="shared" si="0"/>
        <v>5.5599999999999997E-2</v>
      </c>
      <c r="J24">
        <f t="shared" si="0"/>
        <v>0.1111</v>
      </c>
      <c r="K24">
        <f t="shared" si="0"/>
        <v>0.22220000000000001</v>
      </c>
      <c r="L24">
        <f t="shared" si="0"/>
        <v>0.5</v>
      </c>
      <c r="M24">
        <f t="shared" si="0"/>
        <v>0.16669999999999999</v>
      </c>
      <c r="N24">
        <f t="shared" si="0"/>
        <v>0.22220000000000001</v>
      </c>
      <c r="O24">
        <f t="shared" si="0"/>
        <v>5.5599999999999997E-2</v>
      </c>
      <c r="P24">
        <f t="shared" si="0"/>
        <v>0.16669999999999999</v>
      </c>
      <c r="Q24">
        <f t="shared" si="0"/>
        <v>0.61109999999999998</v>
      </c>
    </row>
    <row r="27" spans="1:18" x14ac:dyDescent="0.3">
      <c r="A27" t="s">
        <v>38</v>
      </c>
      <c r="B27" t="s">
        <v>39</v>
      </c>
      <c r="C27" t="s">
        <v>2</v>
      </c>
      <c r="D27" t="s">
        <v>3</v>
      </c>
      <c r="E27" t="s">
        <v>4</v>
      </c>
      <c r="F27" t="s">
        <v>40</v>
      </c>
      <c r="G27" t="s">
        <v>6</v>
      </c>
      <c r="H27" t="s">
        <v>7</v>
      </c>
      <c r="I27" t="s">
        <v>8</v>
      </c>
      <c r="J27" t="s">
        <v>9</v>
      </c>
      <c r="K27" t="s">
        <v>10</v>
      </c>
      <c r="L27" t="s">
        <v>11</v>
      </c>
      <c r="M27" t="s">
        <v>41</v>
      </c>
      <c r="N27" t="s">
        <v>13</v>
      </c>
      <c r="O27" t="s">
        <v>14</v>
      </c>
      <c r="P27" t="s">
        <v>15</v>
      </c>
      <c r="Q27" t="s">
        <v>16</v>
      </c>
      <c r="R27" t="s">
        <v>42</v>
      </c>
    </row>
    <row r="28" spans="1:18" x14ac:dyDescent="0.3">
      <c r="B28" t="str">
        <f>HYPERLINK("https://app.clickup.com/t/8698kwuqq", "[slipstream - data warehouse solution - git (productization)] Design and Build Costing reports in Snowflake")</f>
        <v>[slipstream - data warehouse solution - git (productization)] Design and Build Costing reports in Snowflake</v>
      </c>
      <c r="C28" t="str">
        <f>HYPERLINK("https://app.clickup.com/t/86995td5m", "[slipstream - data warehouse solution - git (productization)] Build the data deployment pipelines for DEV to QA")</f>
        <v>[slipstream - data warehouse solution - git (productization)] Build the data deployment pipelines for DEV to QA</v>
      </c>
      <c r="D28" t="str">
        <f>HYPERLINK("https://app.clickup.com/t/86995td5m", "[slipstream - data warehouse solution - git (productization)] Build the data deployment pipelines for DEV to QA")</f>
        <v>[slipstream - data warehouse solution - git (productization)] Build the data deployment pipelines for DEV to QA</v>
      </c>
      <c r="F28" t="str">
        <f>HYPERLINK("https://app.clickup.com/t/869a2knmy", "[slipstream - data warehouse solution - git (productization)] Create views as exploitation layer out of data lake")</f>
        <v>[slipstream - data warehouse solution - git (productization)] Create views as exploitation layer out of data lake</v>
      </c>
      <c r="G28" t="str">
        <f>HYPERLINK("https://app.clickup.com/t/869474qb4", "[internal projects] Commit code to GitHub")</f>
        <v>[internal projects] Commit code to GitHub</v>
      </c>
      <c r="H28" t="str">
        <f>HYPERLINK("https://app.clickup.com/t/869474qb4", "[internal projects] Commit code to GitHub")</f>
        <v>[internal projects] Commit code to GitHub</v>
      </c>
      <c r="I28" t="str">
        <f>HYPERLINK("https://app.clickup.com/t/869atfeg3", "[freshdesk] 1375 FPM Look through results compared to Reg30 rounding differences")</f>
        <v>[freshdesk] 1375 FPM Look through results compared to Reg30 rounding differences</v>
      </c>
      <c r="J28" t="str">
        <f>HYPERLINK("https://app.clickup.com/t/869bd0zxj", "[freshdesk] 1430 Athena Connection Setup")</f>
        <v>[freshdesk] 1430 Athena Connection Setup</v>
      </c>
      <c r="K28" t="str">
        <f>HYPERLINK("https://app.clickup.com/t/8698jrq49", "[slipstream - data warehouse solution - git (productization)] Testing - data Audit processes")</f>
        <v>[slipstream - data warehouse solution - git (productization)] Testing - data Audit processes</v>
      </c>
      <c r="L28" t="str">
        <f>HYPERLINK("https://app.clickup.com/t/869a5344p", "[freshdesk] Documentation")</f>
        <v>[freshdesk] Documentation</v>
      </c>
      <c r="O28" t="str">
        <f>HYPERLINK("https://app.clickup.com/t/869474qb4", "[internal projects] Commit code to GitHub")</f>
        <v>[internal projects] Commit code to GitHub</v>
      </c>
      <c r="P28" t="str">
        <f>HYPERLINK("https://app.clickup.com/t/869bd6a0f", "[wonga: data warehouse development &amp; migration onto snowflake project] Dim_Funnel_Checks")</f>
        <v>[wonga: data warehouse development &amp; migration onto snowflake project] Dim_Funnel_Checks</v>
      </c>
      <c r="R28" t="str">
        <f>HYPERLINK("https://app.clickup.com/t/869bbt350", "[freshdesk] 1428 SSO Intergations for data connections within Alteryx")</f>
        <v>[freshdesk] 1428 SSO Intergations for data connections within Alteryx</v>
      </c>
    </row>
    <row r="29" spans="1:18" x14ac:dyDescent="0.3">
      <c r="B29" t="str">
        <f>HYPERLINK("https://app.clickup.com/t/8698jrq4e", "[slipstream - data warehouse solution - git (productization)] Support. Includes platform optimisation, query optimisation etc.")</f>
        <v>[slipstream - data warehouse solution - git (productization)] Support. Includes platform optimisation, query optimisation etc.</v>
      </c>
      <c r="C29" t="str">
        <f>HYPERLINK("https://app.clickup.com/t/8695qbamh", "[internal projects] Testing")</f>
        <v>[internal projects] Testing</v>
      </c>
      <c r="D29" t="str">
        <f>HYPERLINK("https://app.clickup.com/t/869474qb4", "[internal projects] Commit code to GitHub")</f>
        <v>[internal projects] Commit code to GitHub</v>
      </c>
      <c r="F29" t="str">
        <f>HYPERLINK("https://app.clickup.com/t/8698kwuqq", "[slipstream - data warehouse solution - git (productization)] Design and Build Costing reports in Snowflake")</f>
        <v>[slipstream - data warehouse solution - git (productization)] Design and Build Costing reports in Snowflake</v>
      </c>
      <c r="G29" t="str">
        <f>HYPERLINK("https://app.clickup.com/t/8696c93m9", "[discovery invest - dw maintenance] Change LAst_seed_Process = 2 for 7 tables")</f>
        <v>[discovery invest - dw maintenance] Change LAst_seed_Process = 2 for 7 tables</v>
      </c>
      <c r="H29" t="str">
        <f>HYPERLINK("https://app.clickup.com/t/862k4g368", "[internal projects] Integrate data to Tableau report")</f>
        <v>[internal projects] Integrate data to Tableau report</v>
      </c>
      <c r="I29" t="str">
        <f>HYPERLINK("https://app.clickup.com/t/869474qb4", "[internal projects] Commit code to GitHub")</f>
        <v>[internal projects] Commit code to GitHub</v>
      </c>
      <c r="J29" t="str">
        <f>HYPERLINK("https://app.clickup.com/t/8696q3a3m", "[internal projects] Team Skills")</f>
        <v>[internal projects] Team Skills</v>
      </c>
      <c r="K29" t="str">
        <f>HYPERLINK("https://app.clickup.com/t/8698jrq40", "[slipstream - data warehouse solution - git (productization)] Optimisation and Enhancemnets post testing")</f>
        <v>[slipstream - data warehouse solution - git (productization)] Optimisation and Enhancemnets post testing</v>
      </c>
      <c r="L29" t="str">
        <f>HYPERLINK("https://app.clickup.com/t/8698juq5h", "[slipstream - data warehouse solution - git (productization)] Build the PowerBI reports for monitoring data Lake progress")</f>
        <v>[slipstream - data warehouse solution - git (productization)] Build the PowerBI reports for monitoring data Lake progress</v>
      </c>
      <c r="O29" t="str">
        <f>HYPERLINK("https://app.clickup.com/t/869a9nmh7", "[om: fatca 2.0 design implementation project (jira tasks)] CDC-2626 Setup Non-prod and Prod space on Alteryx Servers")</f>
        <v>[om: fatca 2.0 design implementation project (jira tasks)] CDC-2626 Setup Non-prod and Prod space on Alteryx Servers</v>
      </c>
      <c r="R29" t="str">
        <f>HYPERLINK("https://app.clickup.com/t/869b88fev", "[freshdesk] 1421 OTIF Schedule date changes")</f>
        <v>[freshdesk] 1421 OTIF Schedule date changes</v>
      </c>
    </row>
    <row r="30" spans="1:18" x14ac:dyDescent="0.3">
      <c r="B30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  <c r="C30" t="str">
        <f>HYPERLINK("https://app.clickup.com/t/869474qb4", "[internal projects] Commit code to GitHub")</f>
        <v>[internal projects] Commit code to GitHub</v>
      </c>
      <c r="F30" t="str">
        <f>HYPERLINK("https://app.clickup.com/t/8698jrxaj", "[slipstream - data warehouse solution - git (productization)] Snowflake Setup and Configuration")</f>
        <v>[slipstream - data warehouse solution - git (productization)] Snowflake Setup and Configuration</v>
      </c>
      <c r="H30" t="str">
        <f>HYPERLINK("https://app.clickup.com/t/86931cq82", "[certification] Alteryx")</f>
        <v>[certification] Alteryx</v>
      </c>
      <c r="J30" t="str">
        <f>HYPERLINK("https://app.clickup.com/t/8696kqh8k", "[internal projects] Tableau server Microsoft Teams app set up")</f>
        <v>[internal projects] Tableau server Microsoft Teams app set up</v>
      </c>
      <c r="K30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  <c r="L30" t="str">
        <f>HYPERLINK("https://app.clickup.com/t/8698jupt0", "[slipstream - data warehouse solution - git (productization)] Build the PowerBI reports for monitoring data Stage progress")</f>
        <v>[slipstream - data warehouse solution - git (productization)] Build the PowerBI reports for monitoring data Stage progress</v>
      </c>
      <c r="O30" t="str">
        <f>HYPERLINK("https://app.clickup.com/t/869a6vnq6", "[om: fatca 2.0 design implementation project (jira tasks)] CDC-2757 Market Conduct: Provide time estimates for deliverables")</f>
        <v>[om: fatca 2.0 design implementation project (jira tasks)] CDC-2757 Market Conduct: Provide time estimates for deliverables</v>
      </c>
      <c r="R30" t="str">
        <f>HYPERLINK("https://app.clickup.com/t/8698jrq49", "[slipstream - data warehouse solution - git (productization)] Testing - data Audit processes")</f>
        <v>[slipstream - data warehouse solution - git (productization)] Testing - data Audit processes</v>
      </c>
    </row>
    <row r="31" spans="1:18" x14ac:dyDescent="0.3">
      <c r="B31" t="str">
        <f>HYPERLINK("https://app.clickup.com/t/869474qb4", "[internal projects] Commit code to GitHub")</f>
        <v>[internal projects] Commit code to GitHub</v>
      </c>
      <c r="C31" t="str">
        <f>HYPERLINK("https://app.clickup.com/t/862k18nwr", "[internal projects] SLA performance for each customer")</f>
        <v>[internal projects] SLA performance for each customer</v>
      </c>
      <c r="F31" t="str">
        <f>HYPERLINK("https://app.clickup.com/t/8698jrq40", "[slipstream - data warehouse solution - git (productization)] Optimisation and Enhancemnets post testing")</f>
        <v>[slipstream - data warehouse solution - git (productization)] Optimisation and Enhancemnets post testing</v>
      </c>
      <c r="J31" t="str">
        <f>HYPERLINK("https://app.clickup.com/t/869474qb4", "[internal projects] Commit code to GitHub")</f>
        <v>[internal projects] Commit code to GitHub</v>
      </c>
      <c r="K31" t="str">
        <f>HYPERLINK("https://app.clickup.com/t/869474qb4", "[internal projects] Commit code to GitHub")</f>
        <v>[internal projects] Commit code to GitHub</v>
      </c>
      <c r="L31" t="str">
        <f>HYPERLINK("https://app.clickup.com/t/8698jrq3g", "[slipstream - data warehouse solution - git (productization)] Orchestration")</f>
        <v>[slipstream - data warehouse solution - git (productization)] Orchestration</v>
      </c>
      <c r="O31" t="str">
        <f>HYPERLINK("https://app.clickup.com/t/869a1x6nk", "[om: fatca 2.0 design implementation project (jira tasks)] CDC-2062 Highlight where field values do not map to static reference tables in the raw schema")</f>
        <v>[om: fatca 2.0 design implementation project (jira tasks)] CDC-2062 Highlight where field values do not map to static reference tables in the raw schema</v>
      </c>
      <c r="R31" t="str">
        <f>HYPERLINK("https://app.clickup.com/t/8698jrq3g", "[slipstream - data warehouse solution - git (productization)] Orchestration")</f>
        <v>[slipstream - data warehouse solution - git (productization)] Orchestration</v>
      </c>
    </row>
    <row r="32" spans="1:18" x14ac:dyDescent="0.3">
      <c r="C32" t="str">
        <f>HYPERLINK("https://app.clickup.com/t/8694x2b1k", "[certification] Alteryx Designer Advanced")</f>
        <v>[certification] Alteryx Designer Advanced</v>
      </c>
      <c r="F32" t="str">
        <f>HYPERLINK("https://app.clickup.com/t/869474qb4", "[internal projects] Commit code to GitHub")</f>
        <v>[internal projects] Commit code to GitHub</v>
      </c>
      <c r="J32" t="str">
        <f>HYPERLINK("https://app.clickup.com/t/8698rmb2r", "[certification] AWS Certified Solutions Architect - Associate")</f>
        <v>[certification] AWS Certified Solutions Architect - Associate</v>
      </c>
      <c r="K32" t="str">
        <f>HYPERLINK("https://app.clickup.com/t/86971xvd4", "[discovery invest - dw maintenance] Run the file extracts")</f>
        <v>[discovery invest - dw maintenance] Run the file extracts</v>
      </c>
      <c r="O32" t="str">
        <f>HYPERLINK("https://app.clickup.com/t/869a1bu7g", "[om: fatca 2.0 design implementation project (jira tasks)] CDC-2563 Business Rule - Tax Free investments")</f>
        <v>[om: fatca 2.0 design implementation project (jira tasks)] CDC-2563 Business Rule - Tax Free investments</v>
      </c>
      <c r="R32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</row>
    <row r="33" spans="6:18" x14ac:dyDescent="0.3">
      <c r="F33" t="str">
        <f>HYPERLINK("https://app.clickup.com/t/86931cq56", "[certification] Snowflake")</f>
        <v>[certification] Snowflake</v>
      </c>
      <c r="K33" t="str">
        <f>HYPERLINK("https://app.clickup.com/t/86971xv4x", "[discovery invest - dw maintenance] Validating the marts")</f>
        <v>[discovery invest - dw maintenance] Validating the marts</v>
      </c>
      <c r="O33" t="str">
        <f>HYPERLINK("https://app.clickup.com/t/869a01gfm", "[om: fatca 2.0 design implementation project (jira tasks)] CDC-2509 Investigate subset where controlling person and entity has different entity_ids")</f>
        <v>[om: fatca 2.0 design implementation project (jira tasks)] CDC-2509 Investigate subset where controlling person and entity has different entity_ids</v>
      </c>
      <c r="R33" t="str">
        <f>HYPERLINK("https://app.clickup.com/t/869ag79ab", "[internal projects] Test Framework UAT doc")</f>
        <v>[internal projects] Test Framework UAT doc</v>
      </c>
    </row>
    <row r="34" spans="6:18" x14ac:dyDescent="0.3">
      <c r="K34" t="str">
        <f>HYPERLINK("https://app.clickup.com/t/86971xv04", "[discovery invest - dw maintenance] Run mart code")</f>
        <v>[discovery invest - dw maintenance] Run mart code</v>
      </c>
      <c r="O34" t="str">
        <f>HYPERLINK("https://app.clickup.com/t/8699yvvh7", "[om: fatca 2.0 design implementation project (jira tasks)] CDC-2560 SARS TPAH Template Update the rule to avoid referencing the database table")</f>
        <v>[om: fatca 2.0 design implementation project (jira tasks)] CDC-2560 SARS TPAH Template Update the rule to avoid referencing the database table</v>
      </c>
      <c r="R34" t="str">
        <f>HYPERLINK("https://app.clickup.com/t/869a70f9p", "[internal projects] Billed VS Invoiced VS SLA")</f>
        <v>[internal projects] Billed VS Invoiced VS SLA</v>
      </c>
    </row>
    <row r="35" spans="6:18" x14ac:dyDescent="0.3">
      <c r="K35" t="str">
        <f>HYPERLINK("https://app.clickup.com/t/86971xur8", "[discovery invest - dw maintenance] Run implied deletes code")</f>
        <v>[discovery invest - dw maintenance] Run implied deletes code</v>
      </c>
      <c r="O35" t="str">
        <f>HYPERLINK("https://app.clickup.com/t/8699yvveh", "[om: fatca 2.0 design implementation project (jira tasks)] CDC-2559 SARS TPAH Template Remove all spaces and special characters")</f>
        <v>[om: fatca 2.0 design implementation project (jira tasks)] CDC-2559 SARS TPAH Template Remove all spaces and special characters</v>
      </c>
      <c r="R35" t="str">
        <f>HYPERLINK("https://app.clickup.com/t/8697xudfa", "[internal projects] Income statement dashboard")</f>
        <v>[internal projects] Income statement dashboard</v>
      </c>
    </row>
    <row r="36" spans="6:18" x14ac:dyDescent="0.3">
      <c r="K36" t="str">
        <f>HYPERLINK("https://app.clickup.com/t/86971xtt3", "[discovery invest - dw maintenance] Validating the DWH")</f>
        <v>[discovery invest - dw maintenance] Validating the DWH</v>
      </c>
      <c r="R36" t="str">
        <f>HYPERLINK("https://app.clickup.com/t/8697t8mu2", "[internal projects] Sales Dashboard Additional requirements")</f>
        <v>[internal projects] Sales Dashboard Additional requirements</v>
      </c>
    </row>
    <row r="37" spans="6:18" x14ac:dyDescent="0.3">
      <c r="O37" t="str">
        <f>HYPERLINK("https://app.clickup.com/t/8699yvuqh", "[om: fatca 2.0 design implementation project (jira tasks)] CDC-2555 Entities former COB")</f>
        <v>[om: fatca 2.0 design implementation project (jira tasks)] CDC-2555 Entities former COB</v>
      </c>
      <c r="R37" t="str">
        <f>HYPERLINK("https://app.clickup.com/t/8697my8gd", "[internal projects] Financial and Sales Dashboard enhancement")</f>
        <v>[internal projects] Financial and Sales Dashboard enhancement</v>
      </c>
    </row>
    <row r="38" spans="6:18" x14ac:dyDescent="0.3">
      <c r="O38" t="str">
        <f>HYPERLINK("https://app.clickup.com/t/8699yvtjg", "[om: fatca 2.0 design implementation project (jira tasks)] CDC-2553 Flexcube SARS Templates - rename the RFI to source system code at scheme level")</f>
        <v>[om: fatca 2.0 design implementation project (jira tasks)] CDC-2553 Flexcube SARS Templates - rename the RFI to source system code at scheme level</v>
      </c>
      <c r="R38" t="str">
        <f>HYPERLINK("https://app.clickup.com/t/8696yar98", "[internal projects] Resource Utilization Dashboard Refinements")</f>
        <v>[internal projects] Resource Utilization Dashboard Refinements</v>
      </c>
    </row>
    <row r="39" spans="6:18" x14ac:dyDescent="0.3">
      <c r="O39" t="str">
        <f>HYPERLINK("https://app.clickup.com/t/8699yvruw", "[om: fatca 2.0 design implementation project (jira tasks)] CDC-2561 Diminmus rules to be applied at scheme level and not at OMUT level")</f>
        <v>[om: fatca 2.0 design implementation project (jira tasks)] CDC-2561 Diminmus rules to be applied at scheme level and not at OMUT level</v>
      </c>
      <c r="R39" t="str">
        <f>HYPERLINK("https://app.clickup.com/t/8696u6wyy", "[internal projects] Alteryx Server SLA Report process")</f>
        <v>[internal projects] Alteryx Server SLA Report process</v>
      </c>
    </row>
    <row r="40" spans="6:18" x14ac:dyDescent="0.3">
      <c r="O40" t="str">
        <f>HYPERLINK("https://app.clickup.com/t/8699yvra6", "[om: fatca 2.0 design implementation project (jira tasks)] CDC-2554 Entities COB")</f>
        <v>[om: fatca 2.0 design implementation project (jira tasks)] CDC-2554 Entities COB</v>
      </c>
      <c r="R40" t="str">
        <f>HYPERLINK("https://app.clickup.com/t/8695mj63r", "[internal projects] Shoprite B2B SLA Document")</f>
        <v>[internal projects] Shoprite B2B SLA Document</v>
      </c>
    </row>
    <row r="41" spans="6:18" x14ac:dyDescent="0.3">
      <c r="R41" t="str">
        <f>HYPERLINK("https://app.clickup.com/t/869474qb4", "[internal projects] Commit code to GitHub")</f>
        <v>[internal projects] Commit code to GitHub</v>
      </c>
    </row>
    <row r="42" spans="6:18" x14ac:dyDescent="0.3">
      <c r="R42" t="str">
        <f>HYPERLINK("https://app.clickup.com/t/869agp147", "[certification] Snowflake Sales Professional")</f>
        <v>[certification] Snowflake Sales Professional</v>
      </c>
    </row>
    <row r="43" spans="6:18" x14ac:dyDescent="0.3">
      <c r="R43" t="str">
        <f>HYPERLINK("https://app.clickup.com/t/869agp0uz", "[certification] Snowflake Technical Sales Professional")</f>
        <v>[certification] Snowflake Technical Sales Professional</v>
      </c>
    </row>
    <row r="44" spans="6:18" x14ac:dyDescent="0.3">
      <c r="R44" t="str">
        <f>HYPERLINK("https://app.clickup.com/t/869af829t", "[certification] Salesforce Certified Agentforce Specialist")</f>
        <v>[certification] Salesforce Certified Agentforce Specialist</v>
      </c>
    </row>
    <row r="45" spans="6:18" x14ac:dyDescent="0.3">
      <c r="R45" t="str">
        <f>HYPERLINK("https://app.clickup.com/t/869ab9g7u", "[certification] AWS Data Engineer - Associate")</f>
        <v>[certification] AWS Data Engineer - Associate</v>
      </c>
    </row>
    <row r="46" spans="6:18" x14ac:dyDescent="0.3">
      <c r="R46" t="str">
        <f>HYPERLINK("https://app.clickup.com/t/869b6v0gh", "[om: fatca 2.0 design implementation project (jira tasks)] CDC-2562 Develop a Foreigners List dashboard")</f>
        <v>[om: fatca 2.0 design implementation project (jira tasks)] CDC-2562 Develop a Foreigners List dashboard</v>
      </c>
    </row>
    <row r="47" spans="6:18" x14ac:dyDescent="0.3">
      <c r="R47" t="str">
        <f>HYPERLINK("https://app.clickup.com/t/869ax6j44", "[om: fatca 2.0 design implementation project (jira tasks)] Titanium Reports")</f>
        <v>[om: fatca 2.0 design implementation project (jira tasks)] Titanium Reports</v>
      </c>
    </row>
    <row r="48" spans="6:18" x14ac:dyDescent="0.3">
      <c r="R48" t="str">
        <f>HYPERLINK("https://app.clickup.com/t/869ax6j0z", "[om: fatca 2.0 design implementation project (jira tasks)] CDC-3034-aws-s3-bucket-investigation")</f>
        <v>[om: fatca 2.0 design implementation project (jira tasks)] CDC-3034-aws-s3-bucket-investigation</v>
      </c>
    </row>
    <row r="49" spans="18:18" x14ac:dyDescent="0.3">
      <c r="R49" t="str">
        <f>HYPERLINK("https://app.clickup.com/t/869avjm5f", "[om: fatca 2.0 design implementation project (jira tasks)] CBR Quarterly Run")</f>
        <v>[om: fatca 2.0 design implementation project (jira tasks)] CBR Quarterly Run</v>
      </c>
    </row>
    <row r="50" spans="18:18" x14ac:dyDescent="0.3">
      <c r="R50" t="str">
        <f>HYPERLINK("https://app.clickup.com/t/869auvvmp", "[om: fatca 2.0 design implementation project (jira tasks)] Advisor Recon Report Manual Run")</f>
        <v>[om: fatca 2.0 design implementation project (jira tasks)] Advisor Recon Report Manual Run</v>
      </c>
    </row>
    <row r="51" spans="18:18" x14ac:dyDescent="0.3">
      <c r="R51" t="str">
        <f>HYPERLINK("https://app.clickup.com/t/869arkz3a", "[om: fatca 2.0 design implementation project (jira tasks)] CDC-2914 Create Test Cases Cura Reg Change (Framework) Dashboard")</f>
        <v>[om: fatca 2.0 design implementation project (jira tasks)] CDC-2914 Create Test Cases Cura Reg Change (Framework) Dashboard</v>
      </c>
    </row>
    <row r="52" spans="18:18" x14ac:dyDescent="0.3">
      <c r="R52" t="str">
        <f>HYPERLINK("https://app.clickup.com/t/869am7mt7", "[om: fatca 2.0 design implementation project (jira tasks)] CDC-2913 Cura Reg Change Dashboard Modifications")</f>
        <v>[om: fatca 2.0 design implementation project (jira tasks)] CDC-2913 Cura Reg Change Dashboard Modifications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R52"/>
  <sheetViews>
    <sheetView workbookViewId="0"/>
  </sheetViews>
  <sheetFormatPr defaultRowHeight="14.4" x14ac:dyDescent="0.3"/>
  <cols>
    <col min="1" max="1" width="20" customWidth="1"/>
    <col min="2" max="4" width="50" customWidth="1"/>
    <col min="5" max="5" width="35" customWidth="1"/>
    <col min="6" max="12" width="50" customWidth="1"/>
    <col min="13" max="14" width="35" customWidth="1"/>
    <col min="15" max="16" width="50" customWidth="1"/>
    <col min="17" max="17" width="35" customWidth="1"/>
    <col min="18" max="18" width="50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</row>
    <row r="3" spans="1:17" x14ac:dyDescent="0.3">
      <c r="A3" t="s">
        <v>18</v>
      </c>
    </row>
    <row r="4" spans="1:17" x14ac:dyDescent="0.3">
      <c r="A4" t="s">
        <v>19</v>
      </c>
    </row>
    <row r="5" spans="1:17" x14ac:dyDescent="0.3">
      <c r="A5" t="s">
        <v>20</v>
      </c>
    </row>
    <row r="6" spans="1:17" x14ac:dyDescent="0.3">
      <c r="A6" t="s">
        <v>21</v>
      </c>
    </row>
    <row r="7" spans="1:17" x14ac:dyDescent="0.3">
      <c r="A7" t="s">
        <v>22</v>
      </c>
    </row>
    <row r="8" spans="1:17" x14ac:dyDescent="0.3">
      <c r="A8" t="s">
        <v>23</v>
      </c>
    </row>
    <row r="9" spans="1:17" x14ac:dyDescent="0.3">
      <c r="A9" t="s">
        <v>24</v>
      </c>
    </row>
    <row r="10" spans="1:17" x14ac:dyDescent="0.3">
      <c r="A10" t="s">
        <v>25</v>
      </c>
    </row>
    <row r="11" spans="1:17" x14ac:dyDescent="0.3">
      <c r="A11" t="s">
        <v>26</v>
      </c>
    </row>
    <row r="12" spans="1:17" x14ac:dyDescent="0.3">
      <c r="A12" t="s">
        <v>27</v>
      </c>
    </row>
    <row r="13" spans="1:17" x14ac:dyDescent="0.3">
      <c r="A13" t="s">
        <v>28</v>
      </c>
    </row>
    <row r="14" spans="1:17" x14ac:dyDescent="0.3">
      <c r="A14" t="s">
        <v>29</v>
      </c>
    </row>
    <row r="15" spans="1:17" x14ac:dyDescent="0.3">
      <c r="A15" t="s">
        <v>30</v>
      </c>
    </row>
    <row r="16" spans="1:17" x14ac:dyDescent="0.3">
      <c r="A16" t="s">
        <v>31</v>
      </c>
    </row>
    <row r="17" spans="1:18" x14ac:dyDescent="0.3">
      <c r="A17" t="s">
        <v>32</v>
      </c>
    </row>
    <row r="18" spans="1:18" x14ac:dyDescent="0.3">
      <c r="A18" t="s">
        <v>33</v>
      </c>
    </row>
    <row r="19" spans="1:18" x14ac:dyDescent="0.3">
      <c r="A19" t="s">
        <v>34</v>
      </c>
    </row>
    <row r="20" spans="1:18" x14ac:dyDescent="0.3">
      <c r="A20" t="s">
        <v>35</v>
      </c>
    </row>
    <row r="21" spans="1:18" x14ac:dyDescent="0.3">
      <c r="A21" t="s">
        <v>36</v>
      </c>
    </row>
    <row r="24" spans="1:18" x14ac:dyDescent="0.3">
      <c r="A24" t="s">
        <v>37</v>
      </c>
      <c r="B24">
        <f t="shared" ref="B24:Q24" si="0">ROUND(COUNTIF(B2:B19,"&lt;&gt;")/18,4)</f>
        <v>0</v>
      </c>
      <c r="C24">
        <f t="shared" si="0"/>
        <v>0</v>
      </c>
      <c r="D24">
        <f t="shared" si="0"/>
        <v>0</v>
      </c>
      <c r="E24">
        <f t="shared" si="0"/>
        <v>0</v>
      </c>
      <c r="F24">
        <f t="shared" si="0"/>
        <v>0</v>
      </c>
      <c r="G24">
        <f t="shared" si="0"/>
        <v>0</v>
      </c>
      <c r="H24">
        <f t="shared" si="0"/>
        <v>0</v>
      </c>
      <c r="I24">
        <f t="shared" si="0"/>
        <v>0</v>
      </c>
      <c r="J24">
        <f t="shared" si="0"/>
        <v>0</v>
      </c>
      <c r="K24">
        <f t="shared" si="0"/>
        <v>0</v>
      </c>
      <c r="L24">
        <f t="shared" si="0"/>
        <v>0</v>
      </c>
      <c r="M24">
        <f t="shared" si="0"/>
        <v>0</v>
      </c>
      <c r="N24">
        <f t="shared" si="0"/>
        <v>0</v>
      </c>
      <c r="O24">
        <f t="shared" si="0"/>
        <v>0</v>
      </c>
      <c r="P24">
        <f t="shared" si="0"/>
        <v>0</v>
      </c>
      <c r="Q24">
        <f t="shared" si="0"/>
        <v>0</v>
      </c>
    </row>
    <row r="27" spans="1:18" x14ac:dyDescent="0.3">
      <c r="A27" t="s">
        <v>38</v>
      </c>
      <c r="B27" t="s">
        <v>39</v>
      </c>
      <c r="C27" t="s">
        <v>2</v>
      </c>
      <c r="D27" t="s">
        <v>3</v>
      </c>
      <c r="E27" t="s">
        <v>4</v>
      </c>
      <c r="F27" t="s">
        <v>40</v>
      </c>
      <c r="G27" t="s">
        <v>6</v>
      </c>
      <c r="H27" t="s">
        <v>7</v>
      </c>
      <c r="I27" t="s">
        <v>8</v>
      </c>
      <c r="J27" t="s">
        <v>9</v>
      </c>
      <c r="K27" t="s">
        <v>10</v>
      </c>
      <c r="L27" t="s">
        <v>11</v>
      </c>
      <c r="M27" t="s">
        <v>41</v>
      </c>
      <c r="N27" t="s">
        <v>13</v>
      </c>
      <c r="O27" t="s">
        <v>14</v>
      </c>
      <c r="P27" t="s">
        <v>15</v>
      </c>
      <c r="Q27" t="s">
        <v>16</v>
      </c>
      <c r="R27" t="s">
        <v>42</v>
      </c>
    </row>
    <row r="28" spans="1:18" x14ac:dyDescent="0.3">
      <c r="B28" t="str">
        <f>HYPERLINK("https://app.clickup.com/t/8698kwuqq", "[slipstream - data warehouse solution - git (productization)] Design and Build Costing reports in Snowflake")</f>
        <v>[slipstream - data warehouse solution - git (productization)] Design and Build Costing reports in Snowflake</v>
      </c>
      <c r="C28" t="str">
        <f>HYPERLINK("https://app.clickup.com/t/86995td5m", "[slipstream - data warehouse solution - git (productization)] Build the data deployment pipelines for DEV to QA")</f>
        <v>[slipstream - data warehouse solution - git (productization)] Build the data deployment pipelines for DEV to QA</v>
      </c>
      <c r="D28" t="str">
        <f>HYPERLINK("https://app.clickup.com/t/86995td5m", "[slipstream - data warehouse solution - git (productization)] Build the data deployment pipelines for DEV to QA")</f>
        <v>[slipstream - data warehouse solution - git (productization)] Build the data deployment pipelines for DEV to QA</v>
      </c>
      <c r="F28" t="str">
        <f>HYPERLINK("https://app.clickup.com/t/869a2knmy", "[slipstream - data warehouse solution - git (productization)] Create views as exploitation layer out of data lake")</f>
        <v>[slipstream - data warehouse solution - git (productization)] Create views as exploitation layer out of data lake</v>
      </c>
      <c r="G28" t="str">
        <f>HYPERLINK("https://app.clickup.com/t/869474qb4", "[internal projects] Commit code to GitHub")</f>
        <v>[internal projects] Commit code to GitHub</v>
      </c>
      <c r="H28" t="str">
        <f>HYPERLINK("https://app.clickup.com/t/869474qb4", "[internal projects] Commit code to GitHub")</f>
        <v>[internal projects] Commit code to GitHub</v>
      </c>
      <c r="I28" t="str">
        <f>HYPERLINK("https://app.clickup.com/t/869atfeg3", "[freshdesk] 1375 FPM Look through results compared to Reg30 rounding differences")</f>
        <v>[freshdesk] 1375 FPM Look through results compared to Reg30 rounding differences</v>
      </c>
      <c r="J28" t="str">
        <f>HYPERLINK("https://app.clickup.com/t/869bd0zxj", "[freshdesk] 1430 Athena Connection Setup")</f>
        <v>[freshdesk] 1430 Athena Connection Setup</v>
      </c>
      <c r="K28" t="str">
        <f>HYPERLINK("https://app.clickup.com/t/8698jrq49", "[slipstream - data warehouse solution - git (productization)] Testing - data Audit processes")</f>
        <v>[slipstream - data warehouse solution - git (productization)] Testing - data Audit processes</v>
      </c>
      <c r="L28" t="str">
        <f>HYPERLINK("https://app.clickup.com/t/869a5344p", "[freshdesk] Documentation")</f>
        <v>[freshdesk] Documentation</v>
      </c>
      <c r="O28" t="str">
        <f>HYPERLINK("https://app.clickup.com/t/869474qb4", "[internal projects] Commit code to GitHub")</f>
        <v>[internal projects] Commit code to GitHub</v>
      </c>
      <c r="P28" t="str">
        <f>HYPERLINK("https://app.clickup.com/t/869bd6a0f", "[wonga: data warehouse development &amp; migration onto snowflake project] Dim_Funnel_Checks")</f>
        <v>[wonga: data warehouse development &amp; migration onto snowflake project] Dim_Funnel_Checks</v>
      </c>
      <c r="R28" t="str">
        <f>HYPERLINK("https://app.clickup.com/t/869bbt350", "[freshdesk] 1428 SSO Intergations for data connections within Alteryx")</f>
        <v>[freshdesk] 1428 SSO Intergations for data connections within Alteryx</v>
      </c>
    </row>
    <row r="29" spans="1:18" x14ac:dyDescent="0.3">
      <c r="B29" t="str">
        <f>HYPERLINK("https://app.clickup.com/t/8698jrq4e", "[slipstream - data warehouse solution - git (productization)] Support. Includes platform optimisation, query optimisation etc.")</f>
        <v>[slipstream - data warehouse solution - git (productization)] Support. Includes platform optimisation, query optimisation etc.</v>
      </c>
      <c r="C29" t="str">
        <f>HYPERLINK("https://app.clickup.com/t/8695qbamh", "[internal projects] Testing")</f>
        <v>[internal projects] Testing</v>
      </c>
      <c r="D29" t="str">
        <f>HYPERLINK("https://app.clickup.com/t/869474qb4", "[internal projects] Commit code to GitHub")</f>
        <v>[internal projects] Commit code to GitHub</v>
      </c>
      <c r="F29" t="str">
        <f>HYPERLINK("https://app.clickup.com/t/8698kwuqq", "[slipstream - data warehouse solution - git (productization)] Design and Build Costing reports in Snowflake")</f>
        <v>[slipstream - data warehouse solution - git (productization)] Design and Build Costing reports in Snowflake</v>
      </c>
      <c r="G29" t="str">
        <f>HYPERLINK("https://app.clickup.com/t/8696c93m9", "[discovery invest - dw maintenance] Change LAst_seed_Process = 2 for 7 tables")</f>
        <v>[discovery invest - dw maintenance] Change LAst_seed_Process = 2 for 7 tables</v>
      </c>
      <c r="H29" t="str">
        <f>HYPERLINK("https://app.clickup.com/t/862k4g368", "[internal projects] Integrate data to Tableau report")</f>
        <v>[internal projects] Integrate data to Tableau report</v>
      </c>
      <c r="I29" t="str">
        <f>HYPERLINK("https://app.clickup.com/t/869474qb4", "[internal projects] Commit code to GitHub")</f>
        <v>[internal projects] Commit code to GitHub</v>
      </c>
      <c r="J29" t="str">
        <f>HYPERLINK("https://app.clickup.com/t/8696q3a3m", "[internal projects] Team Skills")</f>
        <v>[internal projects] Team Skills</v>
      </c>
      <c r="K29" t="str">
        <f>HYPERLINK("https://app.clickup.com/t/8698jrq40", "[slipstream - data warehouse solution - git (productization)] Optimisation and Enhancemnets post testing")</f>
        <v>[slipstream - data warehouse solution - git (productization)] Optimisation and Enhancemnets post testing</v>
      </c>
      <c r="L29" t="str">
        <f>HYPERLINK("https://app.clickup.com/t/8698juq5h", "[slipstream - data warehouse solution - git (productization)] Build the PowerBI reports for monitoring data Lake progress")</f>
        <v>[slipstream - data warehouse solution - git (productization)] Build the PowerBI reports for monitoring data Lake progress</v>
      </c>
      <c r="O29" t="str">
        <f>HYPERLINK("https://app.clickup.com/t/869a9nmh7", "[om: fatca 2.0 design implementation project (jira tasks)] CDC-2626 Setup Non-prod and Prod space on Alteryx Servers")</f>
        <v>[om: fatca 2.0 design implementation project (jira tasks)] CDC-2626 Setup Non-prod and Prod space on Alteryx Servers</v>
      </c>
      <c r="R29" t="str">
        <f>HYPERLINK("https://app.clickup.com/t/869b88fev", "[freshdesk] 1421 OTIF Schedule date changes")</f>
        <v>[freshdesk] 1421 OTIF Schedule date changes</v>
      </c>
    </row>
    <row r="30" spans="1:18" x14ac:dyDescent="0.3">
      <c r="B30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  <c r="C30" t="str">
        <f>HYPERLINK("https://app.clickup.com/t/869474qb4", "[internal projects] Commit code to GitHub")</f>
        <v>[internal projects] Commit code to GitHub</v>
      </c>
      <c r="F30" t="str">
        <f>HYPERLINK("https://app.clickup.com/t/8698jrxaj", "[slipstream - data warehouse solution - git (productization)] Snowflake Setup and Configuration")</f>
        <v>[slipstream - data warehouse solution - git (productization)] Snowflake Setup and Configuration</v>
      </c>
      <c r="H30" t="str">
        <f>HYPERLINK("https://app.clickup.com/t/86931cq82", "[certification] Alteryx")</f>
        <v>[certification] Alteryx</v>
      </c>
      <c r="J30" t="str">
        <f>HYPERLINK("https://app.clickup.com/t/8696kqh8k", "[internal projects] Tableau server Microsoft Teams app set up")</f>
        <v>[internal projects] Tableau server Microsoft Teams app set up</v>
      </c>
      <c r="K30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  <c r="L30" t="str">
        <f>HYPERLINK("https://app.clickup.com/t/8698jupt0", "[slipstream - data warehouse solution - git (productization)] Build the PowerBI reports for monitoring data Stage progress")</f>
        <v>[slipstream - data warehouse solution - git (productization)] Build the PowerBI reports for monitoring data Stage progress</v>
      </c>
      <c r="O30" t="str">
        <f>HYPERLINK("https://app.clickup.com/t/869a6vnq6", "[om: fatca 2.0 design implementation project (jira tasks)] CDC-2757 Market Conduct: Provide time estimates for deliverables")</f>
        <v>[om: fatca 2.0 design implementation project (jira tasks)] CDC-2757 Market Conduct: Provide time estimates for deliverables</v>
      </c>
      <c r="R30" t="str">
        <f>HYPERLINK("https://app.clickup.com/t/8698jrq49", "[slipstream - data warehouse solution - git (productization)] Testing - data Audit processes")</f>
        <v>[slipstream - data warehouse solution - git (productization)] Testing - data Audit processes</v>
      </c>
    </row>
    <row r="31" spans="1:18" x14ac:dyDescent="0.3">
      <c r="B31" t="str">
        <f>HYPERLINK("https://app.clickup.com/t/869474qb4", "[internal projects] Commit code to GitHub")</f>
        <v>[internal projects] Commit code to GitHub</v>
      </c>
      <c r="C31" t="str">
        <f>HYPERLINK("https://app.clickup.com/t/862k18nwr", "[internal projects] SLA performance for each customer")</f>
        <v>[internal projects] SLA performance for each customer</v>
      </c>
      <c r="F31" t="str">
        <f>HYPERLINK("https://app.clickup.com/t/8698jrq40", "[slipstream - data warehouse solution - git (productization)] Optimisation and Enhancemnets post testing")</f>
        <v>[slipstream - data warehouse solution - git (productization)] Optimisation and Enhancemnets post testing</v>
      </c>
      <c r="J31" t="str">
        <f>HYPERLINK("https://app.clickup.com/t/869474qb4", "[internal projects] Commit code to GitHub")</f>
        <v>[internal projects] Commit code to GitHub</v>
      </c>
      <c r="K31" t="str">
        <f>HYPERLINK("https://app.clickup.com/t/869474qb4", "[internal projects] Commit code to GitHub")</f>
        <v>[internal projects] Commit code to GitHub</v>
      </c>
      <c r="L31" t="str">
        <f>HYPERLINK("https://app.clickup.com/t/8698jrq3g", "[slipstream - data warehouse solution - git (productization)] Orchestration")</f>
        <v>[slipstream - data warehouse solution - git (productization)] Orchestration</v>
      </c>
      <c r="O31" t="str">
        <f>HYPERLINK("https://app.clickup.com/t/869a1x6nk", "[om: fatca 2.0 design implementation project (jira tasks)] CDC-2062 Highlight where field values do not map to static reference tables in the raw schema")</f>
        <v>[om: fatca 2.0 design implementation project (jira tasks)] CDC-2062 Highlight where field values do not map to static reference tables in the raw schema</v>
      </c>
      <c r="R31" t="str">
        <f>HYPERLINK("https://app.clickup.com/t/8698jrq3g", "[slipstream - data warehouse solution - git (productization)] Orchestration")</f>
        <v>[slipstream - data warehouse solution - git (productization)] Orchestration</v>
      </c>
    </row>
    <row r="32" spans="1:18" x14ac:dyDescent="0.3">
      <c r="C32" t="str">
        <f>HYPERLINK("https://app.clickup.com/t/8694x2b1k", "[certification] Alteryx Designer Advanced")</f>
        <v>[certification] Alteryx Designer Advanced</v>
      </c>
      <c r="F32" t="str">
        <f>HYPERLINK("https://app.clickup.com/t/869474qb4", "[internal projects] Commit code to GitHub")</f>
        <v>[internal projects] Commit code to GitHub</v>
      </c>
      <c r="J32" t="str">
        <f>HYPERLINK("https://app.clickup.com/t/8698rmb2r", "[certification] AWS Certified Solutions Architect - Associate")</f>
        <v>[certification] AWS Certified Solutions Architect - Associate</v>
      </c>
      <c r="K32" t="str">
        <f>HYPERLINK("https://app.clickup.com/t/86971xvd4", "[discovery invest - dw maintenance] Run the file extracts")</f>
        <v>[discovery invest - dw maintenance] Run the file extracts</v>
      </c>
      <c r="O32" t="str">
        <f>HYPERLINK("https://app.clickup.com/t/869a1bu7g", "[om: fatca 2.0 design implementation project (jira tasks)] CDC-2563 Business Rule - Tax Free investments")</f>
        <v>[om: fatca 2.0 design implementation project (jira tasks)] CDC-2563 Business Rule - Tax Free investments</v>
      </c>
      <c r="R32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</row>
    <row r="33" spans="6:18" x14ac:dyDescent="0.3">
      <c r="F33" t="str">
        <f>HYPERLINK("https://app.clickup.com/t/86931cq56", "[certification] Snowflake")</f>
        <v>[certification] Snowflake</v>
      </c>
      <c r="K33" t="str">
        <f>HYPERLINK("https://app.clickup.com/t/86971xv4x", "[discovery invest - dw maintenance] Validating the marts")</f>
        <v>[discovery invest - dw maintenance] Validating the marts</v>
      </c>
      <c r="O33" t="str">
        <f>HYPERLINK("https://app.clickup.com/t/869a01gfm", "[om: fatca 2.0 design implementation project (jira tasks)] CDC-2509 Investigate subset where controlling person and entity has different entity_ids")</f>
        <v>[om: fatca 2.0 design implementation project (jira tasks)] CDC-2509 Investigate subset where controlling person and entity has different entity_ids</v>
      </c>
      <c r="R33" t="str">
        <f>HYPERLINK("https://app.clickup.com/t/869ag79ab", "[internal projects] Test Framework UAT doc")</f>
        <v>[internal projects] Test Framework UAT doc</v>
      </c>
    </row>
    <row r="34" spans="6:18" x14ac:dyDescent="0.3">
      <c r="K34" t="str">
        <f>HYPERLINK("https://app.clickup.com/t/86971xv04", "[discovery invest - dw maintenance] Run mart code")</f>
        <v>[discovery invest - dw maintenance] Run mart code</v>
      </c>
      <c r="O34" t="str">
        <f>HYPERLINK("https://app.clickup.com/t/8699yvvh7", "[om: fatca 2.0 design implementation project (jira tasks)] CDC-2560 SARS TPAH Template Update the rule to avoid referencing the database table")</f>
        <v>[om: fatca 2.0 design implementation project (jira tasks)] CDC-2560 SARS TPAH Template Update the rule to avoid referencing the database table</v>
      </c>
      <c r="R34" t="str">
        <f>HYPERLINK("https://app.clickup.com/t/869a70f9p", "[internal projects] Billed VS Invoiced VS SLA")</f>
        <v>[internal projects] Billed VS Invoiced VS SLA</v>
      </c>
    </row>
    <row r="35" spans="6:18" x14ac:dyDescent="0.3">
      <c r="K35" t="str">
        <f>HYPERLINK("https://app.clickup.com/t/86971xur8", "[discovery invest - dw maintenance] Run implied deletes code")</f>
        <v>[discovery invest - dw maintenance] Run implied deletes code</v>
      </c>
      <c r="O35" t="str">
        <f>HYPERLINK("https://app.clickup.com/t/8699yvveh", "[om: fatca 2.0 design implementation project (jira tasks)] CDC-2559 SARS TPAH Template Remove all spaces and special characters")</f>
        <v>[om: fatca 2.0 design implementation project (jira tasks)] CDC-2559 SARS TPAH Template Remove all spaces and special characters</v>
      </c>
      <c r="R35" t="str">
        <f>HYPERLINK("https://app.clickup.com/t/8697xudfa", "[internal projects] Income statement dashboard")</f>
        <v>[internal projects] Income statement dashboard</v>
      </c>
    </row>
    <row r="36" spans="6:18" x14ac:dyDescent="0.3">
      <c r="K36" t="str">
        <f>HYPERLINK("https://app.clickup.com/t/86971xtt3", "[discovery invest - dw maintenance] Validating the DWH")</f>
        <v>[discovery invest - dw maintenance] Validating the DWH</v>
      </c>
      <c r="R36" t="str">
        <f>HYPERLINK("https://app.clickup.com/t/8697t8mu2", "[internal projects] Sales Dashboard Additional requirements")</f>
        <v>[internal projects] Sales Dashboard Additional requirements</v>
      </c>
    </row>
    <row r="37" spans="6:18" x14ac:dyDescent="0.3">
      <c r="O37" t="str">
        <f>HYPERLINK("https://app.clickup.com/t/8699yvuqh", "[om: fatca 2.0 design implementation project (jira tasks)] CDC-2555 Entities former COB")</f>
        <v>[om: fatca 2.0 design implementation project (jira tasks)] CDC-2555 Entities former COB</v>
      </c>
      <c r="R37" t="str">
        <f>HYPERLINK("https://app.clickup.com/t/8697my8gd", "[internal projects] Financial and Sales Dashboard enhancement")</f>
        <v>[internal projects] Financial and Sales Dashboard enhancement</v>
      </c>
    </row>
    <row r="38" spans="6:18" x14ac:dyDescent="0.3">
      <c r="O38" t="str">
        <f>HYPERLINK("https://app.clickup.com/t/8699yvtjg", "[om: fatca 2.0 design implementation project (jira tasks)] CDC-2553 Flexcube SARS Templates - rename the RFI to source system code at scheme level")</f>
        <v>[om: fatca 2.0 design implementation project (jira tasks)] CDC-2553 Flexcube SARS Templates - rename the RFI to source system code at scheme level</v>
      </c>
      <c r="R38" t="str">
        <f>HYPERLINK("https://app.clickup.com/t/8696yar98", "[internal projects] Resource Utilization Dashboard Refinements")</f>
        <v>[internal projects] Resource Utilization Dashboard Refinements</v>
      </c>
    </row>
    <row r="39" spans="6:18" x14ac:dyDescent="0.3">
      <c r="O39" t="str">
        <f>HYPERLINK("https://app.clickup.com/t/8699yvruw", "[om: fatca 2.0 design implementation project (jira tasks)] CDC-2561 Diminmus rules to be applied at scheme level and not at OMUT level")</f>
        <v>[om: fatca 2.0 design implementation project (jira tasks)] CDC-2561 Diminmus rules to be applied at scheme level and not at OMUT level</v>
      </c>
      <c r="R39" t="str">
        <f>HYPERLINK("https://app.clickup.com/t/8696u6wyy", "[internal projects] Alteryx Server SLA Report process")</f>
        <v>[internal projects] Alteryx Server SLA Report process</v>
      </c>
    </row>
    <row r="40" spans="6:18" x14ac:dyDescent="0.3">
      <c r="O40" t="str">
        <f>HYPERLINK("https://app.clickup.com/t/8699yvra6", "[om: fatca 2.0 design implementation project (jira tasks)] CDC-2554 Entities COB")</f>
        <v>[om: fatca 2.0 design implementation project (jira tasks)] CDC-2554 Entities COB</v>
      </c>
      <c r="R40" t="str">
        <f>HYPERLINK("https://app.clickup.com/t/8695mj63r", "[internal projects] Shoprite B2B SLA Document")</f>
        <v>[internal projects] Shoprite B2B SLA Document</v>
      </c>
    </row>
    <row r="41" spans="6:18" x14ac:dyDescent="0.3">
      <c r="R41" t="str">
        <f>HYPERLINK("https://app.clickup.com/t/869474qb4", "[internal projects] Commit code to GitHub")</f>
        <v>[internal projects] Commit code to GitHub</v>
      </c>
    </row>
    <row r="42" spans="6:18" x14ac:dyDescent="0.3">
      <c r="R42" t="str">
        <f>HYPERLINK("https://app.clickup.com/t/869agp147", "[certification] Snowflake Sales Professional")</f>
        <v>[certification] Snowflake Sales Professional</v>
      </c>
    </row>
    <row r="43" spans="6:18" x14ac:dyDescent="0.3">
      <c r="R43" t="str">
        <f>HYPERLINK("https://app.clickup.com/t/869agp0uz", "[certification] Snowflake Technical Sales Professional")</f>
        <v>[certification] Snowflake Technical Sales Professional</v>
      </c>
    </row>
    <row r="44" spans="6:18" x14ac:dyDescent="0.3">
      <c r="R44" t="str">
        <f>HYPERLINK("https://app.clickup.com/t/869af829t", "[certification] Salesforce Certified Agentforce Specialist")</f>
        <v>[certification] Salesforce Certified Agentforce Specialist</v>
      </c>
    </row>
    <row r="45" spans="6:18" x14ac:dyDescent="0.3">
      <c r="R45" t="str">
        <f>HYPERLINK("https://app.clickup.com/t/869ab9g7u", "[certification] AWS Data Engineer - Associate")</f>
        <v>[certification] AWS Data Engineer - Associate</v>
      </c>
    </row>
    <row r="46" spans="6:18" x14ac:dyDescent="0.3">
      <c r="R46" t="str">
        <f>HYPERLINK("https://app.clickup.com/t/869b6v0gh", "[om: fatca 2.0 design implementation project (jira tasks)] CDC-2562 Develop a Foreigners List dashboard")</f>
        <v>[om: fatca 2.0 design implementation project (jira tasks)] CDC-2562 Develop a Foreigners List dashboard</v>
      </c>
    </row>
    <row r="47" spans="6:18" x14ac:dyDescent="0.3">
      <c r="R47" t="str">
        <f>HYPERLINK("https://app.clickup.com/t/869ax6j44", "[om: fatca 2.0 design implementation project (jira tasks)] Titanium Reports")</f>
        <v>[om: fatca 2.0 design implementation project (jira tasks)] Titanium Reports</v>
      </c>
    </row>
    <row r="48" spans="6:18" x14ac:dyDescent="0.3">
      <c r="R48" t="str">
        <f>HYPERLINK("https://app.clickup.com/t/869ax6j0z", "[om: fatca 2.0 design implementation project (jira tasks)] CDC-3034-aws-s3-bucket-investigation")</f>
        <v>[om: fatca 2.0 design implementation project (jira tasks)] CDC-3034-aws-s3-bucket-investigation</v>
      </c>
    </row>
    <row r="49" spans="18:18" x14ac:dyDescent="0.3">
      <c r="R49" t="str">
        <f>HYPERLINK("https://app.clickup.com/t/869avjm5f", "[om: fatca 2.0 design implementation project (jira tasks)] CBR Quarterly Run")</f>
        <v>[om: fatca 2.0 design implementation project (jira tasks)] CBR Quarterly Run</v>
      </c>
    </row>
    <row r="50" spans="18:18" x14ac:dyDescent="0.3">
      <c r="R50" t="str">
        <f>HYPERLINK("https://app.clickup.com/t/869auvvmp", "[om: fatca 2.0 design implementation project (jira tasks)] Advisor Recon Report Manual Run")</f>
        <v>[om: fatca 2.0 design implementation project (jira tasks)] Advisor Recon Report Manual Run</v>
      </c>
    </row>
    <row r="51" spans="18:18" x14ac:dyDescent="0.3">
      <c r="R51" t="str">
        <f>HYPERLINK("https://app.clickup.com/t/869arkz3a", "[om: fatca 2.0 design implementation project (jira tasks)] CDC-2914 Create Test Cases Cura Reg Change (Framework) Dashboard")</f>
        <v>[om: fatca 2.0 design implementation project (jira tasks)] CDC-2914 Create Test Cases Cura Reg Change (Framework) Dashboard</v>
      </c>
    </row>
    <row r="52" spans="18:18" x14ac:dyDescent="0.3">
      <c r="R52" t="str">
        <f>HYPERLINK("https://app.clickup.com/t/869am7mt7", "[om: fatca 2.0 design implementation project (jira tasks)] CDC-2913 Cura Reg Change Dashboard Modifications")</f>
        <v>[om: fatca 2.0 design implementation project (jira tasks)] CDC-2913 Cura Reg Change Dashboard Modifications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R52"/>
  <sheetViews>
    <sheetView workbookViewId="0"/>
  </sheetViews>
  <sheetFormatPr defaultRowHeight="14.4" x14ac:dyDescent="0.3"/>
  <cols>
    <col min="1" max="1" width="20" customWidth="1"/>
    <col min="2" max="4" width="50" customWidth="1"/>
    <col min="5" max="5" width="35" customWidth="1"/>
    <col min="6" max="12" width="50" customWidth="1"/>
    <col min="13" max="14" width="35" customWidth="1"/>
    <col min="15" max="16" width="50" customWidth="1"/>
    <col min="17" max="17" width="35" customWidth="1"/>
    <col min="18" max="18" width="50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</row>
    <row r="3" spans="1:17" x14ac:dyDescent="0.3">
      <c r="A3" t="s">
        <v>18</v>
      </c>
    </row>
    <row r="4" spans="1:17" x14ac:dyDescent="0.3">
      <c r="A4" t="s">
        <v>19</v>
      </c>
    </row>
    <row r="5" spans="1:17" x14ac:dyDescent="0.3">
      <c r="A5" t="s">
        <v>20</v>
      </c>
    </row>
    <row r="6" spans="1:17" x14ac:dyDescent="0.3">
      <c r="A6" t="s">
        <v>21</v>
      </c>
    </row>
    <row r="7" spans="1:17" x14ac:dyDescent="0.3">
      <c r="A7" t="s">
        <v>22</v>
      </c>
    </row>
    <row r="8" spans="1:17" x14ac:dyDescent="0.3">
      <c r="A8" t="s">
        <v>23</v>
      </c>
    </row>
    <row r="9" spans="1:17" x14ac:dyDescent="0.3">
      <c r="A9" t="s">
        <v>24</v>
      </c>
    </row>
    <row r="10" spans="1:17" x14ac:dyDescent="0.3">
      <c r="A10" t="s">
        <v>25</v>
      </c>
    </row>
    <row r="11" spans="1:17" x14ac:dyDescent="0.3">
      <c r="A11" t="s">
        <v>26</v>
      </c>
    </row>
    <row r="12" spans="1:17" x14ac:dyDescent="0.3">
      <c r="A12" t="s">
        <v>27</v>
      </c>
    </row>
    <row r="13" spans="1:17" x14ac:dyDescent="0.3">
      <c r="A13" t="s">
        <v>28</v>
      </c>
    </row>
    <row r="14" spans="1:17" x14ac:dyDescent="0.3">
      <c r="A14" t="s">
        <v>29</v>
      </c>
    </row>
    <row r="15" spans="1:17" x14ac:dyDescent="0.3">
      <c r="A15" t="s">
        <v>30</v>
      </c>
    </row>
    <row r="16" spans="1:17" x14ac:dyDescent="0.3">
      <c r="A16" t="s">
        <v>31</v>
      </c>
    </row>
    <row r="17" spans="1:18" x14ac:dyDescent="0.3">
      <c r="A17" t="s">
        <v>32</v>
      </c>
    </row>
    <row r="18" spans="1:18" x14ac:dyDescent="0.3">
      <c r="A18" t="s">
        <v>33</v>
      </c>
    </row>
    <row r="19" spans="1:18" x14ac:dyDescent="0.3">
      <c r="A19" t="s">
        <v>34</v>
      </c>
    </row>
    <row r="20" spans="1:18" x14ac:dyDescent="0.3">
      <c r="A20" t="s">
        <v>35</v>
      </c>
    </row>
    <row r="21" spans="1:18" x14ac:dyDescent="0.3">
      <c r="A21" t="s">
        <v>36</v>
      </c>
    </row>
    <row r="24" spans="1:18" x14ac:dyDescent="0.3">
      <c r="A24" t="s">
        <v>37</v>
      </c>
      <c r="B24">
        <f t="shared" ref="B24:Q24" si="0">ROUND(COUNTIF(B2:B19,"&lt;&gt;")/18,4)</f>
        <v>0</v>
      </c>
      <c r="C24">
        <f t="shared" si="0"/>
        <v>0</v>
      </c>
      <c r="D24">
        <f t="shared" si="0"/>
        <v>0</v>
      </c>
      <c r="E24">
        <f t="shared" si="0"/>
        <v>0</v>
      </c>
      <c r="F24">
        <f t="shared" si="0"/>
        <v>0</v>
      </c>
      <c r="G24">
        <f t="shared" si="0"/>
        <v>0</v>
      </c>
      <c r="H24">
        <f t="shared" si="0"/>
        <v>0</v>
      </c>
      <c r="I24">
        <f t="shared" si="0"/>
        <v>0</v>
      </c>
      <c r="J24">
        <f t="shared" si="0"/>
        <v>0</v>
      </c>
      <c r="K24">
        <f t="shared" si="0"/>
        <v>0</v>
      </c>
      <c r="L24">
        <f t="shared" si="0"/>
        <v>0</v>
      </c>
      <c r="M24">
        <f t="shared" si="0"/>
        <v>0</v>
      </c>
      <c r="N24">
        <f t="shared" si="0"/>
        <v>0</v>
      </c>
      <c r="O24">
        <f t="shared" si="0"/>
        <v>0</v>
      </c>
      <c r="P24">
        <f t="shared" si="0"/>
        <v>0</v>
      </c>
      <c r="Q24">
        <f t="shared" si="0"/>
        <v>0</v>
      </c>
    </row>
    <row r="27" spans="1:18" x14ac:dyDescent="0.3">
      <c r="A27" t="s">
        <v>38</v>
      </c>
      <c r="B27" t="s">
        <v>39</v>
      </c>
      <c r="C27" t="s">
        <v>2</v>
      </c>
      <c r="D27" t="s">
        <v>3</v>
      </c>
      <c r="E27" t="s">
        <v>4</v>
      </c>
      <c r="F27" t="s">
        <v>40</v>
      </c>
      <c r="G27" t="s">
        <v>6</v>
      </c>
      <c r="H27" t="s">
        <v>7</v>
      </c>
      <c r="I27" t="s">
        <v>8</v>
      </c>
      <c r="J27" t="s">
        <v>9</v>
      </c>
      <c r="K27" t="s">
        <v>10</v>
      </c>
      <c r="L27" t="s">
        <v>11</v>
      </c>
      <c r="M27" t="s">
        <v>41</v>
      </c>
      <c r="N27" t="s">
        <v>13</v>
      </c>
      <c r="O27" t="s">
        <v>14</v>
      </c>
      <c r="P27" t="s">
        <v>15</v>
      </c>
      <c r="Q27" t="s">
        <v>16</v>
      </c>
      <c r="R27" t="s">
        <v>42</v>
      </c>
    </row>
    <row r="28" spans="1:18" x14ac:dyDescent="0.3">
      <c r="B28" t="str">
        <f>HYPERLINK("https://app.clickup.com/t/8698kwuqq", "[slipstream - data warehouse solution - git (productization)] Design and Build Costing reports in Snowflake")</f>
        <v>[slipstream - data warehouse solution - git (productization)] Design and Build Costing reports in Snowflake</v>
      </c>
      <c r="C28" t="str">
        <f>HYPERLINK("https://app.clickup.com/t/86995td5m", "[slipstream - data warehouse solution - git (productization)] Build the data deployment pipelines for DEV to QA")</f>
        <v>[slipstream - data warehouse solution - git (productization)] Build the data deployment pipelines for DEV to QA</v>
      </c>
      <c r="D28" t="str">
        <f>HYPERLINK("https://app.clickup.com/t/86995td5m", "[slipstream - data warehouse solution - git (productization)] Build the data deployment pipelines for DEV to QA")</f>
        <v>[slipstream - data warehouse solution - git (productization)] Build the data deployment pipelines for DEV to QA</v>
      </c>
      <c r="F28" t="str">
        <f>HYPERLINK("https://app.clickup.com/t/869a2knmy", "[slipstream - data warehouse solution - git (productization)] Create views as exploitation layer out of data lake")</f>
        <v>[slipstream - data warehouse solution - git (productization)] Create views as exploitation layer out of data lake</v>
      </c>
      <c r="G28" t="str">
        <f>HYPERLINK("https://app.clickup.com/t/869474qb4", "[internal projects] Commit code to GitHub")</f>
        <v>[internal projects] Commit code to GitHub</v>
      </c>
      <c r="H28" t="str">
        <f>HYPERLINK("https://app.clickup.com/t/869474qb4", "[internal projects] Commit code to GitHub")</f>
        <v>[internal projects] Commit code to GitHub</v>
      </c>
      <c r="I28" t="str">
        <f>HYPERLINK("https://app.clickup.com/t/869atfeg3", "[freshdesk] 1375 FPM Look through results compared to Reg30 rounding differences")</f>
        <v>[freshdesk] 1375 FPM Look through results compared to Reg30 rounding differences</v>
      </c>
      <c r="J28" t="str">
        <f>HYPERLINK("https://app.clickup.com/t/869bd0zxj", "[freshdesk] 1430 Athena Connection Setup")</f>
        <v>[freshdesk] 1430 Athena Connection Setup</v>
      </c>
      <c r="K28" t="str">
        <f>HYPERLINK("https://app.clickup.com/t/8698jrq49", "[slipstream - data warehouse solution - git (productization)] Testing - data Audit processes")</f>
        <v>[slipstream - data warehouse solution - git (productization)] Testing - data Audit processes</v>
      </c>
      <c r="L28" t="str">
        <f>HYPERLINK("https://app.clickup.com/t/869a5344p", "[freshdesk] Documentation")</f>
        <v>[freshdesk] Documentation</v>
      </c>
      <c r="O28" t="str">
        <f>HYPERLINK("https://app.clickup.com/t/869474qb4", "[internal projects] Commit code to GitHub")</f>
        <v>[internal projects] Commit code to GitHub</v>
      </c>
      <c r="P28" t="str">
        <f>HYPERLINK("https://app.clickup.com/t/869bd6a0f", "[wonga: data warehouse development &amp; migration onto snowflake project] Dim_Funnel_Checks")</f>
        <v>[wonga: data warehouse development &amp; migration onto snowflake project] Dim_Funnel_Checks</v>
      </c>
      <c r="R28" t="str">
        <f>HYPERLINK("https://app.clickup.com/t/869bbt350", "[freshdesk] 1428 SSO Intergations for data connections within Alteryx")</f>
        <v>[freshdesk] 1428 SSO Intergations for data connections within Alteryx</v>
      </c>
    </row>
    <row r="29" spans="1:18" x14ac:dyDescent="0.3">
      <c r="B29" t="str">
        <f>HYPERLINK("https://app.clickup.com/t/8698jrq4e", "[slipstream - data warehouse solution - git (productization)] Support. Includes platform optimisation, query optimisation etc.")</f>
        <v>[slipstream - data warehouse solution - git (productization)] Support. Includes platform optimisation, query optimisation etc.</v>
      </c>
      <c r="C29" t="str">
        <f>HYPERLINK("https://app.clickup.com/t/8695qbamh", "[internal projects] Testing")</f>
        <v>[internal projects] Testing</v>
      </c>
      <c r="D29" t="str">
        <f>HYPERLINK("https://app.clickup.com/t/869474qb4", "[internal projects] Commit code to GitHub")</f>
        <v>[internal projects] Commit code to GitHub</v>
      </c>
      <c r="F29" t="str">
        <f>HYPERLINK("https://app.clickup.com/t/8698kwuqq", "[slipstream - data warehouse solution - git (productization)] Design and Build Costing reports in Snowflake")</f>
        <v>[slipstream - data warehouse solution - git (productization)] Design and Build Costing reports in Snowflake</v>
      </c>
      <c r="G29" t="str">
        <f>HYPERLINK("https://app.clickup.com/t/8696c93m9", "[discovery invest - dw maintenance] Change LAst_seed_Process = 2 for 7 tables")</f>
        <v>[discovery invest - dw maintenance] Change LAst_seed_Process = 2 for 7 tables</v>
      </c>
      <c r="H29" t="str">
        <f>HYPERLINK("https://app.clickup.com/t/862k4g368", "[internal projects] Integrate data to Tableau report")</f>
        <v>[internal projects] Integrate data to Tableau report</v>
      </c>
      <c r="I29" t="str">
        <f>HYPERLINK("https://app.clickup.com/t/869474qb4", "[internal projects] Commit code to GitHub")</f>
        <v>[internal projects] Commit code to GitHub</v>
      </c>
      <c r="J29" t="str">
        <f>HYPERLINK("https://app.clickup.com/t/8696q3a3m", "[internal projects] Team Skills")</f>
        <v>[internal projects] Team Skills</v>
      </c>
      <c r="K29" t="str">
        <f>HYPERLINK("https://app.clickup.com/t/8698jrq40", "[slipstream - data warehouse solution - git (productization)] Optimisation and Enhancemnets post testing")</f>
        <v>[slipstream - data warehouse solution - git (productization)] Optimisation and Enhancemnets post testing</v>
      </c>
      <c r="L29" t="str">
        <f>HYPERLINK("https://app.clickup.com/t/8698juq5h", "[slipstream - data warehouse solution - git (productization)] Build the PowerBI reports for monitoring data Lake progress")</f>
        <v>[slipstream - data warehouse solution - git (productization)] Build the PowerBI reports for monitoring data Lake progress</v>
      </c>
      <c r="O29" t="str">
        <f>HYPERLINK("https://app.clickup.com/t/869a9nmh7", "[om: fatca 2.0 design implementation project (jira tasks)] CDC-2626 Setup Non-prod and Prod space on Alteryx Servers")</f>
        <v>[om: fatca 2.0 design implementation project (jira tasks)] CDC-2626 Setup Non-prod and Prod space on Alteryx Servers</v>
      </c>
      <c r="R29" t="str">
        <f>HYPERLINK("https://app.clickup.com/t/869b88fev", "[freshdesk] 1421 OTIF Schedule date changes")</f>
        <v>[freshdesk] 1421 OTIF Schedule date changes</v>
      </c>
    </row>
    <row r="30" spans="1:18" x14ac:dyDescent="0.3">
      <c r="B30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  <c r="C30" t="str">
        <f>HYPERLINK("https://app.clickup.com/t/869474qb4", "[internal projects] Commit code to GitHub")</f>
        <v>[internal projects] Commit code to GitHub</v>
      </c>
      <c r="F30" t="str">
        <f>HYPERLINK("https://app.clickup.com/t/8698jrxaj", "[slipstream - data warehouse solution - git (productization)] Snowflake Setup and Configuration")</f>
        <v>[slipstream - data warehouse solution - git (productization)] Snowflake Setup and Configuration</v>
      </c>
      <c r="H30" t="str">
        <f>HYPERLINK("https://app.clickup.com/t/86931cq82", "[certification] Alteryx")</f>
        <v>[certification] Alteryx</v>
      </c>
      <c r="J30" t="str">
        <f>HYPERLINK("https://app.clickup.com/t/8696kqh8k", "[internal projects] Tableau server Microsoft Teams app set up")</f>
        <v>[internal projects] Tableau server Microsoft Teams app set up</v>
      </c>
      <c r="K30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  <c r="L30" t="str">
        <f>HYPERLINK("https://app.clickup.com/t/8698jupt0", "[slipstream - data warehouse solution - git (productization)] Build the PowerBI reports for monitoring data Stage progress")</f>
        <v>[slipstream - data warehouse solution - git (productization)] Build the PowerBI reports for monitoring data Stage progress</v>
      </c>
      <c r="O30" t="str">
        <f>HYPERLINK("https://app.clickup.com/t/869a6vnq6", "[om: fatca 2.0 design implementation project (jira tasks)] CDC-2757 Market Conduct: Provide time estimates for deliverables")</f>
        <v>[om: fatca 2.0 design implementation project (jira tasks)] CDC-2757 Market Conduct: Provide time estimates for deliverables</v>
      </c>
      <c r="R30" t="str">
        <f>HYPERLINK("https://app.clickup.com/t/8698jrq49", "[slipstream - data warehouse solution - git (productization)] Testing - data Audit processes")</f>
        <v>[slipstream - data warehouse solution - git (productization)] Testing - data Audit processes</v>
      </c>
    </row>
    <row r="31" spans="1:18" x14ac:dyDescent="0.3">
      <c r="B31" t="str">
        <f>HYPERLINK("https://app.clickup.com/t/869474qb4", "[internal projects] Commit code to GitHub")</f>
        <v>[internal projects] Commit code to GitHub</v>
      </c>
      <c r="C31" t="str">
        <f>HYPERLINK("https://app.clickup.com/t/862k18nwr", "[internal projects] SLA performance for each customer")</f>
        <v>[internal projects] SLA performance for each customer</v>
      </c>
      <c r="F31" t="str">
        <f>HYPERLINK("https://app.clickup.com/t/8698jrq40", "[slipstream - data warehouse solution - git (productization)] Optimisation and Enhancemnets post testing")</f>
        <v>[slipstream - data warehouse solution - git (productization)] Optimisation and Enhancemnets post testing</v>
      </c>
      <c r="J31" t="str">
        <f>HYPERLINK("https://app.clickup.com/t/869474qb4", "[internal projects] Commit code to GitHub")</f>
        <v>[internal projects] Commit code to GitHub</v>
      </c>
      <c r="K31" t="str">
        <f>HYPERLINK("https://app.clickup.com/t/869474qb4", "[internal projects] Commit code to GitHub")</f>
        <v>[internal projects] Commit code to GitHub</v>
      </c>
      <c r="L31" t="str">
        <f>HYPERLINK("https://app.clickup.com/t/8698jrq3g", "[slipstream - data warehouse solution - git (productization)] Orchestration")</f>
        <v>[slipstream - data warehouse solution - git (productization)] Orchestration</v>
      </c>
      <c r="O31" t="str">
        <f>HYPERLINK("https://app.clickup.com/t/869a1x6nk", "[om: fatca 2.0 design implementation project (jira tasks)] CDC-2062 Highlight where field values do not map to static reference tables in the raw schema")</f>
        <v>[om: fatca 2.0 design implementation project (jira tasks)] CDC-2062 Highlight where field values do not map to static reference tables in the raw schema</v>
      </c>
      <c r="R31" t="str">
        <f>HYPERLINK("https://app.clickup.com/t/8698jrq3g", "[slipstream - data warehouse solution - git (productization)] Orchestration")</f>
        <v>[slipstream - data warehouse solution - git (productization)] Orchestration</v>
      </c>
    </row>
    <row r="32" spans="1:18" x14ac:dyDescent="0.3">
      <c r="C32" t="str">
        <f>HYPERLINK("https://app.clickup.com/t/8694x2b1k", "[certification] Alteryx Designer Advanced")</f>
        <v>[certification] Alteryx Designer Advanced</v>
      </c>
      <c r="F32" t="str">
        <f>HYPERLINK("https://app.clickup.com/t/869474qb4", "[internal projects] Commit code to GitHub")</f>
        <v>[internal projects] Commit code to GitHub</v>
      </c>
      <c r="J32" t="str">
        <f>HYPERLINK("https://app.clickup.com/t/8698rmb2r", "[certification] AWS Certified Solutions Architect - Associate")</f>
        <v>[certification] AWS Certified Solutions Architect - Associate</v>
      </c>
      <c r="K32" t="str">
        <f>HYPERLINK("https://app.clickup.com/t/86971xvd4", "[discovery invest - dw maintenance] Run the file extracts")</f>
        <v>[discovery invest - dw maintenance] Run the file extracts</v>
      </c>
      <c r="O32" t="str">
        <f>HYPERLINK("https://app.clickup.com/t/869a1bu7g", "[om: fatca 2.0 design implementation project (jira tasks)] CDC-2563 Business Rule - Tax Free investments")</f>
        <v>[om: fatca 2.0 design implementation project (jira tasks)] CDC-2563 Business Rule - Tax Free investments</v>
      </c>
      <c r="R32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</row>
    <row r="33" spans="6:18" x14ac:dyDescent="0.3">
      <c r="F33" t="str">
        <f>HYPERLINK("https://app.clickup.com/t/86931cq56", "[certification] Snowflake")</f>
        <v>[certification] Snowflake</v>
      </c>
      <c r="K33" t="str">
        <f>HYPERLINK("https://app.clickup.com/t/86971xv4x", "[discovery invest - dw maintenance] Validating the marts")</f>
        <v>[discovery invest - dw maintenance] Validating the marts</v>
      </c>
      <c r="O33" t="str">
        <f>HYPERLINK("https://app.clickup.com/t/869a01gfm", "[om: fatca 2.0 design implementation project (jira tasks)] CDC-2509 Investigate subset where controlling person and entity has different entity_ids")</f>
        <v>[om: fatca 2.0 design implementation project (jira tasks)] CDC-2509 Investigate subset where controlling person and entity has different entity_ids</v>
      </c>
      <c r="R33" t="str">
        <f>HYPERLINK("https://app.clickup.com/t/869ag79ab", "[internal projects] Test Framework UAT doc")</f>
        <v>[internal projects] Test Framework UAT doc</v>
      </c>
    </row>
    <row r="34" spans="6:18" x14ac:dyDescent="0.3">
      <c r="K34" t="str">
        <f>HYPERLINK("https://app.clickup.com/t/86971xv04", "[discovery invest - dw maintenance] Run mart code")</f>
        <v>[discovery invest - dw maintenance] Run mart code</v>
      </c>
      <c r="O34" t="str">
        <f>HYPERLINK("https://app.clickup.com/t/8699yvvh7", "[om: fatca 2.0 design implementation project (jira tasks)] CDC-2560 SARS TPAH Template Update the rule to avoid referencing the database table")</f>
        <v>[om: fatca 2.0 design implementation project (jira tasks)] CDC-2560 SARS TPAH Template Update the rule to avoid referencing the database table</v>
      </c>
      <c r="R34" t="str">
        <f>HYPERLINK("https://app.clickup.com/t/869a70f9p", "[internal projects] Billed VS Invoiced VS SLA")</f>
        <v>[internal projects] Billed VS Invoiced VS SLA</v>
      </c>
    </row>
    <row r="35" spans="6:18" x14ac:dyDescent="0.3">
      <c r="K35" t="str">
        <f>HYPERLINK("https://app.clickup.com/t/86971xur8", "[discovery invest - dw maintenance] Run implied deletes code")</f>
        <v>[discovery invest - dw maintenance] Run implied deletes code</v>
      </c>
      <c r="O35" t="str">
        <f>HYPERLINK("https://app.clickup.com/t/8699yvveh", "[om: fatca 2.0 design implementation project (jira tasks)] CDC-2559 SARS TPAH Template Remove all spaces and special characters")</f>
        <v>[om: fatca 2.0 design implementation project (jira tasks)] CDC-2559 SARS TPAH Template Remove all spaces and special characters</v>
      </c>
      <c r="R35" t="str">
        <f>HYPERLINK("https://app.clickup.com/t/8697xudfa", "[internal projects] Income statement dashboard")</f>
        <v>[internal projects] Income statement dashboard</v>
      </c>
    </row>
    <row r="36" spans="6:18" x14ac:dyDescent="0.3">
      <c r="K36" t="str">
        <f>HYPERLINK("https://app.clickup.com/t/86971xtt3", "[discovery invest - dw maintenance] Validating the DWH")</f>
        <v>[discovery invest - dw maintenance] Validating the DWH</v>
      </c>
      <c r="R36" t="str">
        <f>HYPERLINK("https://app.clickup.com/t/8697t8mu2", "[internal projects] Sales Dashboard Additional requirements")</f>
        <v>[internal projects] Sales Dashboard Additional requirements</v>
      </c>
    </row>
    <row r="37" spans="6:18" x14ac:dyDescent="0.3">
      <c r="O37" t="str">
        <f>HYPERLINK("https://app.clickup.com/t/8699yvuqh", "[om: fatca 2.0 design implementation project (jira tasks)] CDC-2555 Entities former COB")</f>
        <v>[om: fatca 2.0 design implementation project (jira tasks)] CDC-2555 Entities former COB</v>
      </c>
      <c r="R37" t="str">
        <f>HYPERLINK("https://app.clickup.com/t/8697my8gd", "[internal projects] Financial and Sales Dashboard enhancement")</f>
        <v>[internal projects] Financial and Sales Dashboard enhancement</v>
      </c>
    </row>
    <row r="38" spans="6:18" x14ac:dyDescent="0.3">
      <c r="O38" t="str">
        <f>HYPERLINK("https://app.clickup.com/t/8699yvtjg", "[om: fatca 2.0 design implementation project (jira tasks)] CDC-2553 Flexcube SARS Templates - rename the RFI to source system code at scheme level")</f>
        <v>[om: fatca 2.0 design implementation project (jira tasks)] CDC-2553 Flexcube SARS Templates - rename the RFI to source system code at scheme level</v>
      </c>
      <c r="R38" t="str">
        <f>HYPERLINK("https://app.clickup.com/t/8696yar98", "[internal projects] Resource Utilization Dashboard Refinements")</f>
        <v>[internal projects] Resource Utilization Dashboard Refinements</v>
      </c>
    </row>
    <row r="39" spans="6:18" x14ac:dyDescent="0.3">
      <c r="O39" t="str">
        <f>HYPERLINK("https://app.clickup.com/t/8699yvruw", "[om: fatca 2.0 design implementation project (jira tasks)] CDC-2561 Diminmus rules to be applied at scheme level and not at OMUT level")</f>
        <v>[om: fatca 2.0 design implementation project (jira tasks)] CDC-2561 Diminmus rules to be applied at scheme level and not at OMUT level</v>
      </c>
      <c r="R39" t="str">
        <f>HYPERLINK("https://app.clickup.com/t/8696u6wyy", "[internal projects] Alteryx Server SLA Report process")</f>
        <v>[internal projects] Alteryx Server SLA Report process</v>
      </c>
    </row>
    <row r="40" spans="6:18" x14ac:dyDescent="0.3">
      <c r="O40" t="str">
        <f>HYPERLINK("https://app.clickup.com/t/8699yvra6", "[om: fatca 2.0 design implementation project (jira tasks)] CDC-2554 Entities COB")</f>
        <v>[om: fatca 2.0 design implementation project (jira tasks)] CDC-2554 Entities COB</v>
      </c>
      <c r="R40" t="str">
        <f>HYPERLINK("https://app.clickup.com/t/8695mj63r", "[internal projects] Shoprite B2B SLA Document")</f>
        <v>[internal projects] Shoprite B2B SLA Document</v>
      </c>
    </row>
    <row r="41" spans="6:18" x14ac:dyDescent="0.3">
      <c r="R41" t="str">
        <f>HYPERLINK("https://app.clickup.com/t/869474qb4", "[internal projects] Commit code to GitHub")</f>
        <v>[internal projects] Commit code to GitHub</v>
      </c>
    </row>
    <row r="42" spans="6:18" x14ac:dyDescent="0.3">
      <c r="R42" t="str">
        <f>HYPERLINK("https://app.clickup.com/t/869agp147", "[certification] Snowflake Sales Professional")</f>
        <v>[certification] Snowflake Sales Professional</v>
      </c>
    </row>
    <row r="43" spans="6:18" x14ac:dyDescent="0.3">
      <c r="R43" t="str">
        <f>HYPERLINK("https://app.clickup.com/t/869agp0uz", "[certification] Snowflake Technical Sales Professional")</f>
        <v>[certification] Snowflake Technical Sales Professional</v>
      </c>
    </row>
    <row r="44" spans="6:18" x14ac:dyDescent="0.3">
      <c r="R44" t="str">
        <f>HYPERLINK("https://app.clickup.com/t/869af829t", "[certification] Salesforce Certified Agentforce Specialist")</f>
        <v>[certification] Salesforce Certified Agentforce Specialist</v>
      </c>
    </row>
    <row r="45" spans="6:18" x14ac:dyDescent="0.3">
      <c r="R45" t="str">
        <f>HYPERLINK("https://app.clickup.com/t/869ab9g7u", "[certification] AWS Data Engineer - Associate")</f>
        <v>[certification] AWS Data Engineer - Associate</v>
      </c>
    </row>
    <row r="46" spans="6:18" x14ac:dyDescent="0.3">
      <c r="R46" t="str">
        <f>HYPERLINK("https://app.clickup.com/t/869b6v0gh", "[om: fatca 2.0 design implementation project (jira tasks)] CDC-2562 Develop a Foreigners List dashboard")</f>
        <v>[om: fatca 2.0 design implementation project (jira tasks)] CDC-2562 Develop a Foreigners List dashboard</v>
      </c>
    </row>
    <row r="47" spans="6:18" x14ac:dyDescent="0.3">
      <c r="R47" t="str">
        <f>HYPERLINK("https://app.clickup.com/t/869ax6j44", "[om: fatca 2.0 design implementation project (jira tasks)] Titanium Reports")</f>
        <v>[om: fatca 2.0 design implementation project (jira tasks)] Titanium Reports</v>
      </c>
    </row>
    <row r="48" spans="6:18" x14ac:dyDescent="0.3">
      <c r="R48" t="str">
        <f>HYPERLINK("https://app.clickup.com/t/869ax6j0z", "[om: fatca 2.0 design implementation project (jira tasks)] CDC-3034-aws-s3-bucket-investigation")</f>
        <v>[om: fatca 2.0 design implementation project (jira tasks)] CDC-3034-aws-s3-bucket-investigation</v>
      </c>
    </row>
    <row r="49" spans="18:18" x14ac:dyDescent="0.3">
      <c r="R49" t="str">
        <f>HYPERLINK("https://app.clickup.com/t/869avjm5f", "[om: fatca 2.0 design implementation project (jira tasks)] CBR Quarterly Run")</f>
        <v>[om: fatca 2.0 design implementation project (jira tasks)] CBR Quarterly Run</v>
      </c>
    </row>
    <row r="50" spans="18:18" x14ac:dyDescent="0.3">
      <c r="R50" t="str">
        <f>HYPERLINK("https://app.clickup.com/t/869auvvmp", "[om: fatca 2.0 design implementation project (jira tasks)] Advisor Recon Report Manual Run")</f>
        <v>[om: fatca 2.0 design implementation project (jira tasks)] Advisor Recon Report Manual Run</v>
      </c>
    </row>
    <row r="51" spans="18:18" x14ac:dyDescent="0.3">
      <c r="R51" t="str">
        <f>HYPERLINK("https://app.clickup.com/t/869arkz3a", "[om: fatca 2.0 design implementation project (jira tasks)] CDC-2914 Create Test Cases Cura Reg Change (Framework) Dashboard")</f>
        <v>[om: fatca 2.0 design implementation project (jira tasks)] CDC-2914 Create Test Cases Cura Reg Change (Framework) Dashboard</v>
      </c>
    </row>
    <row r="52" spans="18:18" x14ac:dyDescent="0.3">
      <c r="R52" t="str">
        <f>HYPERLINK("https://app.clickup.com/t/869am7mt7", "[om: fatca 2.0 design implementation project (jira tasks)] CDC-2913 Cura Reg Change Dashboard Modifications")</f>
        <v>[om: fatca 2.0 design implementation project (jira tasks)] CDC-2913 Cura Reg Change Dashboard Modifications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R52"/>
  <sheetViews>
    <sheetView workbookViewId="0"/>
  </sheetViews>
  <sheetFormatPr defaultRowHeight="14.4" x14ac:dyDescent="0.3"/>
  <cols>
    <col min="1" max="1" width="20" customWidth="1"/>
    <col min="2" max="4" width="50" customWidth="1"/>
    <col min="5" max="5" width="35" customWidth="1"/>
    <col min="6" max="12" width="50" customWidth="1"/>
    <col min="13" max="13" width="35" customWidth="1"/>
    <col min="14" max="16" width="50" customWidth="1"/>
    <col min="17" max="17" width="35" customWidth="1"/>
    <col min="18" max="18" width="50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</row>
    <row r="3" spans="1:17" x14ac:dyDescent="0.3">
      <c r="A3" t="s">
        <v>18</v>
      </c>
      <c r="B3" t="s">
        <v>43</v>
      </c>
      <c r="C3" t="s">
        <v>44</v>
      </c>
      <c r="D3" t="s">
        <v>44</v>
      </c>
      <c r="E3" t="s">
        <v>44</v>
      </c>
      <c r="F3" t="s">
        <v>44</v>
      </c>
      <c r="G3" t="s">
        <v>43</v>
      </c>
      <c r="H3" t="s">
        <v>44</v>
      </c>
      <c r="I3" t="s">
        <v>43</v>
      </c>
      <c r="J3" t="s">
        <v>44</v>
      </c>
      <c r="K3" t="s">
        <v>44</v>
      </c>
      <c r="L3" t="s">
        <v>44</v>
      </c>
      <c r="M3" t="s">
        <v>44</v>
      </c>
      <c r="N3" t="s">
        <v>44</v>
      </c>
      <c r="O3" t="s">
        <v>44</v>
      </c>
      <c r="P3" t="s">
        <v>44</v>
      </c>
      <c r="Q3" t="s">
        <v>44</v>
      </c>
    </row>
    <row r="4" spans="1:17" x14ac:dyDescent="0.3">
      <c r="A4" t="s">
        <v>19</v>
      </c>
      <c r="B4" t="s">
        <v>45</v>
      </c>
      <c r="E4" t="s">
        <v>46</v>
      </c>
      <c r="F4" t="s">
        <v>45</v>
      </c>
      <c r="L4" t="s">
        <v>47</v>
      </c>
      <c r="N4" t="s">
        <v>94</v>
      </c>
    </row>
    <row r="5" spans="1:17" x14ac:dyDescent="0.3">
      <c r="A5" t="s">
        <v>20</v>
      </c>
      <c r="B5" t="s">
        <v>45</v>
      </c>
      <c r="E5" t="s">
        <v>46</v>
      </c>
      <c r="F5" t="s">
        <v>45</v>
      </c>
      <c r="G5" t="s">
        <v>48</v>
      </c>
      <c r="L5" t="s">
        <v>47</v>
      </c>
      <c r="N5" t="s">
        <v>94</v>
      </c>
    </row>
    <row r="6" spans="1:17" x14ac:dyDescent="0.3">
      <c r="A6" t="s">
        <v>21</v>
      </c>
      <c r="B6" t="s">
        <v>45</v>
      </c>
      <c r="D6" t="s">
        <v>49</v>
      </c>
      <c r="E6" t="s">
        <v>46</v>
      </c>
      <c r="F6" t="s">
        <v>45</v>
      </c>
      <c r="G6" t="s">
        <v>48</v>
      </c>
      <c r="J6" t="s">
        <v>49</v>
      </c>
      <c r="L6" t="s">
        <v>47</v>
      </c>
      <c r="N6" t="s">
        <v>45</v>
      </c>
    </row>
    <row r="7" spans="1:17" x14ac:dyDescent="0.3">
      <c r="A7" t="s">
        <v>22</v>
      </c>
      <c r="E7" t="s">
        <v>46</v>
      </c>
      <c r="L7" t="s">
        <v>47</v>
      </c>
    </row>
    <row r="8" spans="1:17" x14ac:dyDescent="0.3">
      <c r="A8" t="s">
        <v>23</v>
      </c>
      <c r="E8" t="s">
        <v>46</v>
      </c>
      <c r="G8" t="s">
        <v>51</v>
      </c>
      <c r="Q8" t="s">
        <v>52</v>
      </c>
    </row>
    <row r="9" spans="1:17" x14ac:dyDescent="0.3">
      <c r="A9" t="s">
        <v>24</v>
      </c>
      <c r="D9" t="s">
        <v>95</v>
      </c>
      <c r="E9" t="s">
        <v>46</v>
      </c>
      <c r="G9" t="s">
        <v>51</v>
      </c>
      <c r="I9" t="s">
        <v>96</v>
      </c>
      <c r="Q9" t="s">
        <v>52</v>
      </c>
    </row>
    <row r="10" spans="1:17" x14ac:dyDescent="0.3">
      <c r="A10" t="s">
        <v>25</v>
      </c>
      <c r="C10" t="s">
        <v>97</v>
      </c>
      <c r="E10" t="s">
        <v>46</v>
      </c>
      <c r="G10" t="s">
        <v>53</v>
      </c>
      <c r="H10" t="s">
        <v>54</v>
      </c>
      <c r="Q10" t="s">
        <v>52</v>
      </c>
    </row>
    <row r="11" spans="1:17" x14ac:dyDescent="0.3">
      <c r="A11" t="s">
        <v>26</v>
      </c>
      <c r="E11" t="s">
        <v>98</v>
      </c>
      <c r="G11" t="s">
        <v>55</v>
      </c>
      <c r="H11" t="s">
        <v>54</v>
      </c>
      <c r="Q11" t="s">
        <v>52</v>
      </c>
    </row>
    <row r="12" spans="1:17" x14ac:dyDescent="0.3">
      <c r="A12" t="s">
        <v>27</v>
      </c>
      <c r="G12" t="s">
        <v>55</v>
      </c>
      <c r="H12" t="s">
        <v>54</v>
      </c>
      <c r="Q12" t="s">
        <v>52</v>
      </c>
    </row>
    <row r="13" spans="1:17" x14ac:dyDescent="0.3">
      <c r="A13" t="s">
        <v>28</v>
      </c>
      <c r="F13" t="s">
        <v>99</v>
      </c>
      <c r="G13" t="s">
        <v>55</v>
      </c>
      <c r="H13" t="s">
        <v>54</v>
      </c>
      <c r="Q13" t="s">
        <v>58</v>
      </c>
    </row>
    <row r="14" spans="1:17" x14ac:dyDescent="0.3">
      <c r="A14" t="s">
        <v>29</v>
      </c>
      <c r="E14" t="s">
        <v>46</v>
      </c>
      <c r="G14" t="s">
        <v>100</v>
      </c>
      <c r="I14" t="s">
        <v>120</v>
      </c>
      <c r="Q14" t="s">
        <v>58</v>
      </c>
    </row>
    <row r="15" spans="1:17" x14ac:dyDescent="0.3">
      <c r="A15" t="s">
        <v>30</v>
      </c>
      <c r="E15" t="s">
        <v>46</v>
      </c>
      <c r="I15" t="s">
        <v>120</v>
      </c>
      <c r="Q15" t="s">
        <v>58</v>
      </c>
    </row>
    <row r="16" spans="1:17" x14ac:dyDescent="0.3">
      <c r="A16" t="s">
        <v>31</v>
      </c>
      <c r="E16" t="s">
        <v>46</v>
      </c>
      <c r="I16" t="s">
        <v>121</v>
      </c>
    </row>
    <row r="17" spans="1:18" x14ac:dyDescent="0.3">
      <c r="A17" t="s">
        <v>32</v>
      </c>
      <c r="E17" t="s">
        <v>46</v>
      </c>
      <c r="I17" t="s">
        <v>101</v>
      </c>
    </row>
    <row r="18" spans="1:18" x14ac:dyDescent="0.3">
      <c r="A18" t="s">
        <v>33</v>
      </c>
      <c r="L18" t="s">
        <v>65</v>
      </c>
      <c r="Q18" t="s">
        <v>66</v>
      </c>
    </row>
    <row r="19" spans="1:18" x14ac:dyDescent="0.3">
      <c r="A19" t="s">
        <v>34</v>
      </c>
      <c r="L19" t="s">
        <v>65</v>
      </c>
      <c r="Q19" t="s">
        <v>66</v>
      </c>
    </row>
    <row r="20" spans="1:18" x14ac:dyDescent="0.3">
      <c r="A20" t="s">
        <v>35</v>
      </c>
    </row>
    <row r="21" spans="1:18" x14ac:dyDescent="0.3">
      <c r="A21" t="s">
        <v>36</v>
      </c>
    </row>
    <row r="24" spans="1:18" x14ac:dyDescent="0.3">
      <c r="A24" t="s">
        <v>37</v>
      </c>
      <c r="B24">
        <f t="shared" ref="B24:Q24" si="0">ROUND(COUNTIF(B2:B19,"&lt;&gt;")/18,4)</f>
        <v>0.22220000000000001</v>
      </c>
      <c r="C24">
        <f t="shared" si="0"/>
        <v>0.1111</v>
      </c>
      <c r="D24">
        <f t="shared" si="0"/>
        <v>0.16669999999999999</v>
      </c>
      <c r="E24">
        <f t="shared" si="0"/>
        <v>0.72219999999999995</v>
      </c>
      <c r="F24">
        <f t="shared" si="0"/>
        <v>0.27779999999999999</v>
      </c>
      <c r="G24">
        <f t="shared" si="0"/>
        <v>0.55559999999999998</v>
      </c>
      <c r="H24">
        <f t="shared" si="0"/>
        <v>0.27779999999999999</v>
      </c>
      <c r="I24">
        <f t="shared" si="0"/>
        <v>0.33329999999999999</v>
      </c>
      <c r="J24">
        <f t="shared" si="0"/>
        <v>0.1111</v>
      </c>
      <c r="K24">
        <f t="shared" si="0"/>
        <v>5.5599999999999997E-2</v>
      </c>
      <c r="L24">
        <f t="shared" si="0"/>
        <v>0.38890000000000002</v>
      </c>
      <c r="M24">
        <f t="shared" si="0"/>
        <v>5.5599999999999997E-2</v>
      </c>
      <c r="N24">
        <f t="shared" si="0"/>
        <v>0.22220000000000001</v>
      </c>
      <c r="O24">
        <f t="shared" si="0"/>
        <v>5.5599999999999997E-2</v>
      </c>
      <c r="P24">
        <f t="shared" si="0"/>
        <v>5.5599999999999997E-2</v>
      </c>
      <c r="Q24">
        <f t="shared" si="0"/>
        <v>0.61109999999999998</v>
      </c>
    </row>
    <row r="27" spans="1:18" x14ac:dyDescent="0.3">
      <c r="A27" t="s">
        <v>38</v>
      </c>
      <c r="B27" t="s">
        <v>39</v>
      </c>
      <c r="C27" t="s">
        <v>2</v>
      </c>
      <c r="D27" t="s">
        <v>3</v>
      </c>
      <c r="E27" t="s">
        <v>4</v>
      </c>
      <c r="F27" t="s">
        <v>40</v>
      </c>
      <c r="G27" t="s">
        <v>6</v>
      </c>
      <c r="H27" t="s">
        <v>7</v>
      </c>
      <c r="I27" t="s">
        <v>8</v>
      </c>
      <c r="J27" t="s">
        <v>9</v>
      </c>
      <c r="K27" t="s">
        <v>10</v>
      </c>
      <c r="L27" t="s">
        <v>11</v>
      </c>
      <c r="M27" t="s">
        <v>41</v>
      </c>
      <c r="N27" t="s">
        <v>13</v>
      </c>
      <c r="O27" t="s">
        <v>14</v>
      </c>
      <c r="P27" t="s">
        <v>15</v>
      </c>
      <c r="Q27" t="s">
        <v>16</v>
      </c>
      <c r="R27" t="s">
        <v>42</v>
      </c>
    </row>
    <row r="28" spans="1:18" x14ac:dyDescent="0.3">
      <c r="B28" t="str">
        <f>HYPERLINK("https://app.clickup.com/t/8698kwuqq", "[slipstream - data warehouse solution - git (productization)] Design and Build Costing reports in Snowflake")</f>
        <v>[slipstream - data warehouse solution - git (productization)] Design and Build Costing reports in Snowflake</v>
      </c>
      <c r="C28" t="str">
        <f>HYPERLINK("https://app.clickup.com/t/86995td5m", "[slipstream - data warehouse solution - git (productization)] Build the data deployment pipelines for DEV to QA")</f>
        <v>[slipstream - data warehouse solution - git (productization)] Build the data deployment pipelines for DEV to QA</v>
      </c>
      <c r="D28" t="str">
        <f>HYPERLINK("https://app.clickup.com/t/86995td5m", "[slipstream - data warehouse solution - git (productization)] Build the data deployment pipelines for DEV to QA")</f>
        <v>[slipstream - data warehouse solution - git (productization)] Build the data deployment pipelines for DEV to QA</v>
      </c>
      <c r="F28" t="str">
        <f>HYPERLINK("https://app.clickup.com/t/869a2knmy", "[slipstream - data warehouse solution - git (productization)] Create views as exploitation layer out of data lake")</f>
        <v>[slipstream - data warehouse solution - git (productization)] Create views as exploitation layer out of data lake</v>
      </c>
      <c r="G28" t="str">
        <f>HYPERLINK("https://app.clickup.com/t/869474qb4", "[internal projects] Commit code to GitHub")</f>
        <v>[internal projects] Commit code to GitHub</v>
      </c>
      <c r="H28" t="str">
        <f>HYPERLINK("https://app.clickup.com/t/869474qb4", "[internal projects] Commit code to GitHub")</f>
        <v>[internal projects] Commit code to GitHub</v>
      </c>
      <c r="I28" t="str">
        <f>HYPERLINK("https://app.clickup.com/t/869atfeg3", "[freshdesk] 1375 FPM Look through results compared to Reg30 rounding differences")</f>
        <v>[freshdesk] 1375 FPM Look through results compared to Reg30 rounding differences</v>
      </c>
      <c r="J28" t="str">
        <f>HYPERLINK("https://app.clickup.com/t/869bd0zxj", "[freshdesk] 1430 Athena Connection Setup")</f>
        <v>[freshdesk] 1430 Athena Connection Setup</v>
      </c>
      <c r="K28" t="str">
        <f>HYPERLINK("https://app.clickup.com/t/8698jrq49", "[slipstream - data warehouse solution - git (productization)] Testing - data Audit processes")</f>
        <v>[slipstream - data warehouse solution - git (productization)] Testing - data Audit processes</v>
      </c>
      <c r="L28" t="str">
        <f>HYPERLINK("https://app.clickup.com/t/869a5344p", "[freshdesk] Documentation")</f>
        <v>[freshdesk] Documentation</v>
      </c>
      <c r="O28" t="str">
        <f>HYPERLINK("https://app.clickup.com/t/869474qb4", "[internal projects] Commit code to GitHub")</f>
        <v>[internal projects] Commit code to GitHub</v>
      </c>
      <c r="P28" t="str">
        <f>HYPERLINK("https://app.clickup.com/t/869bd6a0f", "[wonga: data warehouse development &amp; migration onto snowflake project] Dim_Funnel_Checks")</f>
        <v>[wonga: data warehouse development &amp; migration onto snowflake project] Dim_Funnel_Checks</v>
      </c>
      <c r="R28" t="str">
        <f>HYPERLINK("https://app.clickup.com/t/869bbt350", "[freshdesk] 1428 SSO Intergations for data connections within Alteryx")</f>
        <v>[freshdesk] 1428 SSO Intergations for data connections within Alteryx</v>
      </c>
    </row>
    <row r="29" spans="1:18" x14ac:dyDescent="0.3">
      <c r="B29" t="str">
        <f>HYPERLINK("https://app.clickup.com/t/8698jrq4e", "[slipstream - data warehouse solution - git (productization)] Support. Includes platform optimisation, query optimisation etc.")</f>
        <v>[slipstream - data warehouse solution - git (productization)] Support. Includes platform optimisation, query optimisation etc.</v>
      </c>
      <c r="C29" t="str">
        <f>HYPERLINK("https://app.clickup.com/t/8695qbamh", "[internal projects] Testing")</f>
        <v>[internal projects] Testing</v>
      </c>
      <c r="D29" t="str">
        <f>HYPERLINK("https://app.clickup.com/t/869474qb4", "[internal projects] Commit code to GitHub")</f>
        <v>[internal projects] Commit code to GitHub</v>
      </c>
      <c r="F29" t="str">
        <f>HYPERLINK("https://app.clickup.com/t/8698kwuqq", "[slipstream - data warehouse solution - git (productization)] Design and Build Costing reports in Snowflake")</f>
        <v>[slipstream - data warehouse solution - git (productization)] Design and Build Costing reports in Snowflake</v>
      </c>
      <c r="G29" t="str">
        <f>HYPERLINK("https://app.clickup.com/t/8696c93m9", "[discovery invest - dw maintenance] Change LAst_seed_Process = 2 for 7 tables")</f>
        <v>[discovery invest - dw maintenance] Change LAst_seed_Process = 2 for 7 tables</v>
      </c>
      <c r="H29" t="str">
        <f>HYPERLINK("https://app.clickup.com/t/862k4g368", "[internal projects] Integrate data to Tableau report")</f>
        <v>[internal projects] Integrate data to Tableau report</v>
      </c>
      <c r="I29" t="str">
        <f>HYPERLINK("https://app.clickup.com/t/869474qb4", "[internal projects] Commit code to GitHub")</f>
        <v>[internal projects] Commit code to GitHub</v>
      </c>
      <c r="J29" t="str">
        <f>HYPERLINK("https://app.clickup.com/t/8696q3a3m", "[internal projects] Team Skills")</f>
        <v>[internal projects] Team Skills</v>
      </c>
      <c r="K29" t="str">
        <f>HYPERLINK("https://app.clickup.com/t/8698jrq40", "[slipstream - data warehouse solution - git (productization)] Optimisation and Enhancemnets post testing")</f>
        <v>[slipstream - data warehouse solution - git (productization)] Optimisation and Enhancemnets post testing</v>
      </c>
      <c r="L29" t="str">
        <f>HYPERLINK("https://app.clickup.com/t/8698juq5h", "[slipstream - data warehouse solution - git (productization)] Build the PowerBI reports for monitoring data Lake progress")</f>
        <v>[slipstream - data warehouse solution - git (productization)] Build the PowerBI reports for monitoring data Lake progress</v>
      </c>
      <c r="O29" t="str">
        <f>HYPERLINK("https://app.clickup.com/t/869a9nmh7", "[om: fatca 2.0 design implementation project (jira tasks)] CDC-2626 Setup Non-prod and Prod space on Alteryx Servers")</f>
        <v>[om: fatca 2.0 design implementation project (jira tasks)] CDC-2626 Setup Non-prod and Prod space on Alteryx Servers</v>
      </c>
      <c r="R29" t="str">
        <f>HYPERLINK("https://app.clickup.com/t/869b88fev", "[freshdesk] 1421 OTIF Schedule date changes")</f>
        <v>[freshdesk] 1421 OTIF Schedule date changes</v>
      </c>
    </row>
    <row r="30" spans="1:18" x14ac:dyDescent="0.3">
      <c r="B30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  <c r="C30" t="str">
        <f>HYPERLINK("https://app.clickup.com/t/869474qb4", "[internal projects] Commit code to GitHub")</f>
        <v>[internal projects] Commit code to GitHub</v>
      </c>
      <c r="F30" t="str">
        <f>HYPERLINK("https://app.clickup.com/t/8698jrxaj", "[slipstream - data warehouse solution - git (productization)] Snowflake Setup and Configuration")</f>
        <v>[slipstream - data warehouse solution - git (productization)] Snowflake Setup and Configuration</v>
      </c>
      <c r="H30" t="str">
        <f>HYPERLINK("https://app.clickup.com/t/86931cq82", "[certification] Alteryx")</f>
        <v>[certification] Alteryx</v>
      </c>
      <c r="J30" t="str">
        <f>HYPERLINK("https://app.clickup.com/t/8696kqh8k", "[internal projects] Tableau server Microsoft Teams app set up")</f>
        <v>[internal projects] Tableau server Microsoft Teams app set up</v>
      </c>
      <c r="K30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  <c r="L30" t="str">
        <f>HYPERLINK("https://app.clickup.com/t/8698jupt0", "[slipstream - data warehouse solution - git (productization)] Build the PowerBI reports for monitoring data Stage progress")</f>
        <v>[slipstream - data warehouse solution - git (productization)] Build the PowerBI reports for monitoring data Stage progress</v>
      </c>
      <c r="O30" t="str">
        <f>HYPERLINK("https://app.clickup.com/t/869a6vnq6", "[om: fatca 2.0 design implementation project (jira tasks)] CDC-2757 Market Conduct: Provide time estimates for deliverables")</f>
        <v>[om: fatca 2.0 design implementation project (jira tasks)] CDC-2757 Market Conduct: Provide time estimates for deliverables</v>
      </c>
      <c r="R30" t="str">
        <f>HYPERLINK("https://app.clickup.com/t/8698jrq49", "[slipstream - data warehouse solution - git (productization)] Testing - data Audit processes")</f>
        <v>[slipstream - data warehouse solution - git (productization)] Testing - data Audit processes</v>
      </c>
    </row>
    <row r="31" spans="1:18" x14ac:dyDescent="0.3">
      <c r="B31" t="str">
        <f>HYPERLINK("https://app.clickup.com/t/869474qb4", "[internal projects] Commit code to GitHub")</f>
        <v>[internal projects] Commit code to GitHub</v>
      </c>
      <c r="C31" t="str">
        <f>HYPERLINK("https://app.clickup.com/t/862k18nwr", "[internal projects] SLA performance for each customer")</f>
        <v>[internal projects] SLA performance for each customer</v>
      </c>
      <c r="F31" t="str">
        <f>HYPERLINK("https://app.clickup.com/t/8698jrq40", "[slipstream - data warehouse solution - git (productization)] Optimisation and Enhancemnets post testing")</f>
        <v>[slipstream - data warehouse solution - git (productization)] Optimisation and Enhancemnets post testing</v>
      </c>
      <c r="J31" t="str">
        <f>HYPERLINK("https://app.clickup.com/t/869474qb4", "[internal projects] Commit code to GitHub")</f>
        <v>[internal projects] Commit code to GitHub</v>
      </c>
      <c r="K31" t="str">
        <f>HYPERLINK("https://app.clickup.com/t/869474qb4", "[internal projects] Commit code to GitHub")</f>
        <v>[internal projects] Commit code to GitHub</v>
      </c>
      <c r="L31" t="str">
        <f>HYPERLINK("https://app.clickup.com/t/8698jrq3g", "[slipstream - data warehouse solution - git (productization)] Orchestration")</f>
        <v>[slipstream - data warehouse solution - git (productization)] Orchestration</v>
      </c>
      <c r="O31" t="str">
        <f>HYPERLINK("https://app.clickup.com/t/869a1x6nk", "[om: fatca 2.0 design implementation project (jira tasks)] CDC-2062 Highlight where field values do not map to static reference tables in the raw schema")</f>
        <v>[om: fatca 2.0 design implementation project (jira tasks)] CDC-2062 Highlight where field values do not map to static reference tables in the raw schema</v>
      </c>
      <c r="R31" t="str">
        <f>HYPERLINK("https://app.clickup.com/t/8698jrq3g", "[slipstream - data warehouse solution - git (productization)] Orchestration")</f>
        <v>[slipstream - data warehouse solution - git (productization)] Orchestration</v>
      </c>
    </row>
    <row r="32" spans="1:18" x14ac:dyDescent="0.3">
      <c r="C32" t="str">
        <f>HYPERLINK("https://app.clickup.com/t/8694x2b1k", "[certification] Alteryx Designer Advanced")</f>
        <v>[certification] Alteryx Designer Advanced</v>
      </c>
      <c r="F32" t="str">
        <f>HYPERLINK("https://app.clickup.com/t/869474qb4", "[internal projects] Commit code to GitHub")</f>
        <v>[internal projects] Commit code to GitHub</v>
      </c>
      <c r="J32" t="str">
        <f>HYPERLINK("https://app.clickup.com/t/8698rmb2r", "[certification] AWS Certified Solutions Architect - Associate")</f>
        <v>[certification] AWS Certified Solutions Architect - Associate</v>
      </c>
      <c r="K32" t="str">
        <f>HYPERLINK("https://app.clickup.com/t/86971xvd4", "[discovery invest - dw maintenance] Run the file extracts")</f>
        <v>[discovery invest - dw maintenance] Run the file extracts</v>
      </c>
      <c r="O32" t="str">
        <f>HYPERLINK("https://app.clickup.com/t/869a1bu7g", "[om: fatca 2.0 design implementation project (jira tasks)] CDC-2563 Business Rule - Tax Free investments")</f>
        <v>[om: fatca 2.0 design implementation project (jira tasks)] CDC-2563 Business Rule - Tax Free investments</v>
      </c>
      <c r="R32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</row>
    <row r="33" spans="6:18" x14ac:dyDescent="0.3">
      <c r="F33" t="str">
        <f>HYPERLINK("https://app.clickup.com/t/86931cq56", "[certification] Snowflake")</f>
        <v>[certification] Snowflake</v>
      </c>
      <c r="K33" t="str">
        <f>HYPERLINK("https://app.clickup.com/t/86971xv4x", "[discovery invest - dw maintenance] Validating the marts")</f>
        <v>[discovery invest - dw maintenance] Validating the marts</v>
      </c>
      <c r="O33" t="str">
        <f>HYPERLINK("https://app.clickup.com/t/869a01gfm", "[om: fatca 2.0 design implementation project (jira tasks)] CDC-2509 Investigate subset where controlling person and entity has different entity_ids")</f>
        <v>[om: fatca 2.0 design implementation project (jira tasks)] CDC-2509 Investigate subset where controlling person and entity has different entity_ids</v>
      </c>
      <c r="R33" t="str">
        <f>HYPERLINK("https://app.clickup.com/t/869ag79ab", "[internal projects] Test Framework UAT doc")</f>
        <v>[internal projects] Test Framework UAT doc</v>
      </c>
    </row>
    <row r="34" spans="6:18" x14ac:dyDescent="0.3">
      <c r="K34" t="str">
        <f>HYPERLINK("https://app.clickup.com/t/86971xv04", "[discovery invest - dw maintenance] Run mart code")</f>
        <v>[discovery invest - dw maintenance] Run mart code</v>
      </c>
      <c r="O34" t="str">
        <f>HYPERLINK("https://app.clickup.com/t/8699yvvh7", "[om: fatca 2.0 design implementation project (jira tasks)] CDC-2560 SARS TPAH Template Update the rule to avoid referencing the database table")</f>
        <v>[om: fatca 2.0 design implementation project (jira tasks)] CDC-2560 SARS TPAH Template Update the rule to avoid referencing the database table</v>
      </c>
      <c r="R34" t="str">
        <f>HYPERLINK("https://app.clickup.com/t/869a70f9p", "[internal projects] Billed VS Invoiced VS SLA")</f>
        <v>[internal projects] Billed VS Invoiced VS SLA</v>
      </c>
    </row>
    <row r="35" spans="6:18" x14ac:dyDescent="0.3">
      <c r="K35" t="str">
        <f>HYPERLINK("https://app.clickup.com/t/86971xur8", "[discovery invest - dw maintenance] Run implied deletes code")</f>
        <v>[discovery invest - dw maintenance] Run implied deletes code</v>
      </c>
      <c r="O35" t="str">
        <f>HYPERLINK("https://app.clickup.com/t/8699yvveh", "[om: fatca 2.0 design implementation project (jira tasks)] CDC-2559 SARS TPAH Template Remove all spaces and special characters")</f>
        <v>[om: fatca 2.0 design implementation project (jira tasks)] CDC-2559 SARS TPAH Template Remove all spaces and special characters</v>
      </c>
      <c r="R35" t="str">
        <f>HYPERLINK("https://app.clickup.com/t/8697xudfa", "[internal projects] Income statement dashboard")</f>
        <v>[internal projects] Income statement dashboard</v>
      </c>
    </row>
    <row r="36" spans="6:18" x14ac:dyDescent="0.3">
      <c r="K36" t="str">
        <f>HYPERLINK("https://app.clickup.com/t/86971xtt3", "[discovery invest - dw maintenance] Validating the DWH")</f>
        <v>[discovery invest - dw maintenance] Validating the DWH</v>
      </c>
      <c r="R36" t="str">
        <f>HYPERLINK("https://app.clickup.com/t/8697t8mu2", "[internal projects] Sales Dashboard Additional requirements")</f>
        <v>[internal projects] Sales Dashboard Additional requirements</v>
      </c>
    </row>
    <row r="37" spans="6:18" x14ac:dyDescent="0.3">
      <c r="O37" t="str">
        <f>HYPERLINK("https://app.clickup.com/t/8699yvuqh", "[om: fatca 2.0 design implementation project (jira tasks)] CDC-2555 Entities former COB")</f>
        <v>[om: fatca 2.0 design implementation project (jira tasks)] CDC-2555 Entities former COB</v>
      </c>
      <c r="R37" t="str">
        <f>HYPERLINK("https://app.clickup.com/t/8697my8gd", "[internal projects] Financial and Sales Dashboard enhancement")</f>
        <v>[internal projects] Financial and Sales Dashboard enhancement</v>
      </c>
    </row>
    <row r="38" spans="6:18" x14ac:dyDescent="0.3">
      <c r="O38" t="str">
        <f>HYPERLINK("https://app.clickup.com/t/8699yvtjg", "[om: fatca 2.0 design implementation project (jira tasks)] CDC-2553 Flexcube SARS Templates - rename the RFI to source system code at scheme level")</f>
        <v>[om: fatca 2.0 design implementation project (jira tasks)] CDC-2553 Flexcube SARS Templates - rename the RFI to source system code at scheme level</v>
      </c>
      <c r="R38" t="str">
        <f>HYPERLINK("https://app.clickup.com/t/8696yar98", "[internal projects] Resource Utilization Dashboard Refinements")</f>
        <v>[internal projects] Resource Utilization Dashboard Refinements</v>
      </c>
    </row>
    <row r="39" spans="6:18" x14ac:dyDescent="0.3">
      <c r="O39" t="str">
        <f>HYPERLINK("https://app.clickup.com/t/8699yvruw", "[om: fatca 2.0 design implementation project (jira tasks)] CDC-2561 Diminmus rules to be applied at scheme level and not at OMUT level")</f>
        <v>[om: fatca 2.0 design implementation project (jira tasks)] CDC-2561 Diminmus rules to be applied at scheme level and not at OMUT level</v>
      </c>
      <c r="R39" t="str">
        <f>HYPERLINK("https://app.clickup.com/t/8696u6wyy", "[internal projects] Alteryx Server SLA Report process")</f>
        <v>[internal projects] Alteryx Server SLA Report process</v>
      </c>
    </row>
    <row r="40" spans="6:18" x14ac:dyDescent="0.3">
      <c r="O40" t="str">
        <f>HYPERLINK("https://app.clickup.com/t/8699yvra6", "[om: fatca 2.0 design implementation project (jira tasks)] CDC-2554 Entities COB")</f>
        <v>[om: fatca 2.0 design implementation project (jira tasks)] CDC-2554 Entities COB</v>
      </c>
      <c r="R40" t="str">
        <f>HYPERLINK("https://app.clickup.com/t/8695mj63r", "[internal projects] Shoprite B2B SLA Document")</f>
        <v>[internal projects] Shoprite B2B SLA Document</v>
      </c>
    </row>
    <row r="41" spans="6:18" x14ac:dyDescent="0.3">
      <c r="R41" t="str">
        <f>HYPERLINK("https://app.clickup.com/t/869474qb4", "[internal projects] Commit code to GitHub")</f>
        <v>[internal projects] Commit code to GitHub</v>
      </c>
    </row>
    <row r="42" spans="6:18" x14ac:dyDescent="0.3">
      <c r="R42" t="str">
        <f>HYPERLINK("https://app.clickup.com/t/869agp147", "[certification] Snowflake Sales Professional")</f>
        <v>[certification] Snowflake Sales Professional</v>
      </c>
    </row>
    <row r="43" spans="6:18" x14ac:dyDescent="0.3">
      <c r="R43" t="str">
        <f>HYPERLINK("https://app.clickup.com/t/869agp0uz", "[certification] Snowflake Technical Sales Professional")</f>
        <v>[certification] Snowflake Technical Sales Professional</v>
      </c>
    </row>
    <row r="44" spans="6:18" x14ac:dyDescent="0.3">
      <c r="R44" t="str">
        <f>HYPERLINK("https://app.clickup.com/t/869af829t", "[certification] Salesforce Certified Agentforce Specialist")</f>
        <v>[certification] Salesforce Certified Agentforce Specialist</v>
      </c>
    </row>
    <row r="45" spans="6:18" x14ac:dyDescent="0.3">
      <c r="R45" t="str">
        <f>HYPERLINK("https://app.clickup.com/t/869ab9g7u", "[certification] AWS Data Engineer - Associate")</f>
        <v>[certification] AWS Data Engineer - Associate</v>
      </c>
    </row>
    <row r="46" spans="6:18" x14ac:dyDescent="0.3">
      <c r="R46" t="str">
        <f>HYPERLINK("https://app.clickup.com/t/869b6v0gh", "[om: fatca 2.0 design implementation project (jira tasks)] CDC-2562 Develop a Foreigners List dashboard")</f>
        <v>[om: fatca 2.0 design implementation project (jira tasks)] CDC-2562 Develop a Foreigners List dashboard</v>
      </c>
    </row>
    <row r="47" spans="6:18" x14ac:dyDescent="0.3">
      <c r="R47" t="str">
        <f>HYPERLINK("https://app.clickup.com/t/869ax6j44", "[om: fatca 2.0 design implementation project (jira tasks)] Titanium Reports")</f>
        <v>[om: fatca 2.0 design implementation project (jira tasks)] Titanium Reports</v>
      </c>
    </row>
    <row r="48" spans="6:18" x14ac:dyDescent="0.3">
      <c r="R48" t="str">
        <f>HYPERLINK("https://app.clickup.com/t/869ax6j0z", "[om: fatca 2.0 design implementation project (jira tasks)] CDC-3034-aws-s3-bucket-investigation")</f>
        <v>[om: fatca 2.0 design implementation project (jira tasks)] CDC-3034-aws-s3-bucket-investigation</v>
      </c>
    </row>
    <row r="49" spans="18:18" x14ac:dyDescent="0.3">
      <c r="R49" t="str">
        <f>HYPERLINK("https://app.clickup.com/t/869avjm5f", "[om: fatca 2.0 design implementation project (jira tasks)] CBR Quarterly Run")</f>
        <v>[om: fatca 2.0 design implementation project (jira tasks)] CBR Quarterly Run</v>
      </c>
    </row>
    <row r="50" spans="18:18" x14ac:dyDescent="0.3">
      <c r="R50" t="str">
        <f>HYPERLINK("https://app.clickup.com/t/869auvvmp", "[om: fatca 2.0 design implementation project (jira tasks)] Advisor Recon Report Manual Run")</f>
        <v>[om: fatca 2.0 design implementation project (jira tasks)] Advisor Recon Report Manual Run</v>
      </c>
    </row>
    <row r="51" spans="18:18" x14ac:dyDescent="0.3">
      <c r="R51" t="str">
        <f>HYPERLINK("https://app.clickup.com/t/869arkz3a", "[om: fatca 2.0 design implementation project (jira tasks)] CDC-2914 Create Test Cases Cura Reg Change (Framework) Dashboard")</f>
        <v>[om: fatca 2.0 design implementation project (jira tasks)] CDC-2914 Create Test Cases Cura Reg Change (Framework) Dashboard</v>
      </c>
    </row>
    <row r="52" spans="18:18" x14ac:dyDescent="0.3">
      <c r="R52" t="str">
        <f>HYPERLINK("https://app.clickup.com/t/869am7mt7", "[om: fatca 2.0 design implementation project (jira tasks)] CDC-2913 Cura Reg Change Dashboard Modifications")</f>
        <v>[om: fatca 2.0 design implementation project (jira tasks)] CDC-2913 Cura Reg Change Dashboard Modifications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R52"/>
  <sheetViews>
    <sheetView workbookViewId="0"/>
  </sheetViews>
  <sheetFormatPr defaultRowHeight="14.4" x14ac:dyDescent="0.3"/>
  <cols>
    <col min="1" max="1" width="20" customWidth="1"/>
    <col min="2" max="18" width="50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</row>
    <row r="3" spans="1:17" x14ac:dyDescent="0.3">
      <c r="A3" t="s">
        <v>18</v>
      </c>
      <c r="B3" t="s">
        <v>44</v>
      </c>
      <c r="C3" t="s">
        <v>44</v>
      </c>
      <c r="D3" t="s">
        <v>44</v>
      </c>
      <c r="E3" t="s">
        <v>44</v>
      </c>
      <c r="F3" t="s">
        <v>44</v>
      </c>
      <c r="G3" t="s">
        <v>44</v>
      </c>
      <c r="H3" t="s">
        <v>44</v>
      </c>
      <c r="I3" t="s">
        <v>67</v>
      </c>
      <c r="J3" t="s">
        <v>44</v>
      </c>
      <c r="K3" t="s">
        <v>44</v>
      </c>
      <c r="L3" t="s">
        <v>44</v>
      </c>
      <c r="M3" t="s">
        <v>44</v>
      </c>
      <c r="N3" t="s">
        <v>44</v>
      </c>
      <c r="O3" t="s">
        <v>44</v>
      </c>
      <c r="P3" t="s">
        <v>44</v>
      </c>
      <c r="Q3" t="s">
        <v>44</v>
      </c>
    </row>
    <row r="4" spans="1:17" x14ac:dyDescent="0.3">
      <c r="A4" t="s">
        <v>19</v>
      </c>
      <c r="E4" t="s">
        <v>102</v>
      </c>
      <c r="G4" t="s">
        <v>68</v>
      </c>
      <c r="L4" t="s">
        <v>47</v>
      </c>
    </row>
    <row r="5" spans="1:17" x14ac:dyDescent="0.3">
      <c r="A5" t="s">
        <v>20</v>
      </c>
      <c r="B5" t="s">
        <v>70</v>
      </c>
      <c r="C5" t="s">
        <v>70</v>
      </c>
      <c r="D5" t="s">
        <v>70</v>
      </c>
      <c r="E5" t="s">
        <v>71</v>
      </c>
      <c r="G5" t="s">
        <v>48</v>
      </c>
      <c r="I5" t="s">
        <v>103</v>
      </c>
      <c r="J5" t="s">
        <v>70</v>
      </c>
      <c r="K5" t="s">
        <v>70</v>
      </c>
      <c r="L5" t="s">
        <v>72</v>
      </c>
      <c r="M5" t="s">
        <v>70</v>
      </c>
      <c r="N5" t="s">
        <v>70</v>
      </c>
      <c r="P5" t="s">
        <v>70</v>
      </c>
      <c r="Q5" t="s">
        <v>70</v>
      </c>
    </row>
    <row r="6" spans="1:17" x14ac:dyDescent="0.3">
      <c r="A6" t="s">
        <v>21</v>
      </c>
      <c r="D6" t="s">
        <v>49</v>
      </c>
      <c r="E6" t="s">
        <v>46</v>
      </c>
      <c r="G6" t="s">
        <v>48</v>
      </c>
      <c r="J6" t="s">
        <v>49</v>
      </c>
      <c r="L6" t="s">
        <v>47</v>
      </c>
      <c r="Q6" t="s">
        <v>104</v>
      </c>
    </row>
    <row r="7" spans="1:17" x14ac:dyDescent="0.3">
      <c r="A7" t="s">
        <v>22</v>
      </c>
      <c r="B7" t="s">
        <v>105</v>
      </c>
      <c r="E7" t="s">
        <v>106</v>
      </c>
      <c r="L7" t="s">
        <v>47</v>
      </c>
      <c r="N7" t="s">
        <v>73</v>
      </c>
      <c r="O7" t="s">
        <v>105</v>
      </c>
    </row>
    <row r="8" spans="1:17" x14ac:dyDescent="0.3">
      <c r="A8" t="s">
        <v>23</v>
      </c>
      <c r="B8" t="s">
        <v>105</v>
      </c>
      <c r="E8" t="s">
        <v>106</v>
      </c>
      <c r="O8" t="s">
        <v>105</v>
      </c>
      <c r="Q8" t="s">
        <v>52</v>
      </c>
    </row>
    <row r="9" spans="1:17" x14ac:dyDescent="0.3">
      <c r="A9" t="s">
        <v>24</v>
      </c>
      <c r="E9" t="s">
        <v>46</v>
      </c>
      <c r="J9" t="s">
        <v>108</v>
      </c>
      <c r="Q9" t="s">
        <v>52</v>
      </c>
    </row>
    <row r="10" spans="1:17" x14ac:dyDescent="0.3">
      <c r="A10" t="s">
        <v>25</v>
      </c>
      <c r="E10" t="s">
        <v>46</v>
      </c>
      <c r="H10" t="s">
        <v>54</v>
      </c>
      <c r="Q10" t="s">
        <v>52</v>
      </c>
    </row>
    <row r="11" spans="1:17" x14ac:dyDescent="0.3">
      <c r="A11" t="s">
        <v>26</v>
      </c>
      <c r="E11" t="s">
        <v>46</v>
      </c>
      <c r="H11" t="s">
        <v>54</v>
      </c>
      <c r="Q11" t="s">
        <v>52</v>
      </c>
    </row>
    <row r="12" spans="1:17" x14ac:dyDescent="0.3">
      <c r="A12" t="s">
        <v>27</v>
      </c>
      <c r="G12" t="s">
        <v>75</v>
      </c>
      <c r="H12" t="s">
        <v>54</v>
      </c>
      <c r="Q12" t="s">
        <v>52</v>
      </c>
    </row>
    <row r="13" spans="1:17" x14ac:dyDescent="0.3">
      <c r="A13" t="s">
        <v>28</v>
      </c>
      <c r="G13" t="s">
        <v>75</v>
      </c>
      <c r="H13" t="s">
        <v>54</v>
      </c>
      <c r="K13" t="s">
        <v>109</v>
      </c>
      <c r="Q13" t="s">
        <v>58</v>
      </c>
    </row>
    <row r="14" spans="1:17" x14ac:dyDescent="0.3">
      <c r="A14" t="s">
        <v>29</v>
      </c>
      <c r="E14" t="s">
        <v>46</v>
      </c>
      <c r="G14" t="s">
        <v>75</v>
      </c>
      <c r="L14" t="s">
        <v>110</v>
      </c>
      <c r="Q14" t="s">
        <v>58</v>
      </c>
    </row>
    <row r="15" spans="1:17" x14ac:dyDescent="0.3">
      <c r="A15" t="s">
        <v>30</v>
      </c>
      <c r="E15" t="s">
        <v>46</v>
      </c>
      <c r="G15" t="s">
        <v>75</v>
      </c>
      <c r="Q15" t="s">
        <v>58</v>
      </c>
    </row>
    <row r="16" spans="1:17" x14ac:dyDescent="0.3">
      <c r="A16" t="s">
        <v>31</v>
      </c>
      <c r="E16" t="s">
        <v>46</v>
      </c>
    </row>
    <row r="17" spans="1:18" x14ac:dyDescent="0.3">
      <c r="A17" t="s">
        <v>32</v>
      </c>
      <c r="E17" t="s">
        <v>46</v>
      </c>
    </row>
    <row r="18" spans="1:18" x14ac:dyDescent="0.3">
      <c r="A18" t="s">
        <v>33</v>
      </c>
      <c r="E18" t="s">
        <v>46</v>
      </c>
      <c r="G18" t="s">
        <v>68</v>
      </c>
      <c r="L18" t="s">
        <v>65</v>
      </c>
      <c r="Q18" t="s">
        <v>66</v>
      </c>
    </row>
    <row r="19" spans="1:18" x14ac:dyDescent="0.3">
      <c r="A19" t="s">
        <v>34</v>
      </c>
      <c r="E19" t="s">
        <v>46</v>
      </c>
      <c r="L19" t="s">
        <v>65</v>
      </c>
      <c r="Q19" t="s">
        <v>66</v>
      </c>
    </row>
    <row r="20" spans="1:18" x14ac:dyDescent="0.3">
      <c r="A20" t="s">
        <v>35</v>
      </c>
    </row>
    <row r="21" spans="1:18" x14ac:dyDescent="0.3">
      <c r="A21" t="s">
        <v>36</v>
      </c>
    </row>
    <row r="24" spans="1:18" x14ac:dyDescent="0.3">
      <c r="A24" t="s">
        <v>37</v>
      </c>
      <c r="B24">
        <f t="shared" ref="B24:Q24" si="0">ROUND(COUNTIF(B2:B19,"&lt;&gt;")/18,4)</f>
        <v>0.22220000000000001</v>
      </c>
      <c r="C24">
        <f t="shared" si="0"/>
        <v>0.1111</v>
      </c>
      <c r="D24">
        <f t="shared" si="0"/>
        <v>0.16669999999999999</v>
      </c>
      <c r="E24">
        <f t="shared" si="0"/>
        <v>0.83330000000000004</v>
      </c>
      <c r="F24">
        <f t="shared" si="0"/>
        <v>5.5599999999999997E-2</v>
      </c>
      <c r="G24">
        <f t="shared" si="0"/>
        <v>0.5</v>
      </c>
      <c r="H24">
        <f t="shared" si="0"/>
        <v>0.27779999999999999</v>
      </c>
      <c r="I24">
        <f t="shared" si="0"/>
        <v>0.1111</v>
      </c>
      <c r="J24">
        <f t="shared" si="0"/>
        <v>0.22220000000000001</v>
      </c>
      <c r="K24">
        <f t="shared" si="0"/>
        <v>0.16669999999999999</v>
      </c>
      <c r="L24">
        <f t="shared" si="0"/>
        <v>0.44440000000000002</v>
      </c>
      <c r="M24">
        <f t="shared" si="0"/>
        <v>0.1111</v>
      </c>
      <c r="N24">
        <f t="shared" si="0"/>
        <v>0.16669999999999999</v>
      </c>
      <c r="O24">
        <f t="shared" si="0"/>
        <v>0.16669999999999999</v>
      </c>
      <c r="P24">
        <f t="shared" si="0"/>
        <v>0.1111</v>
      </c>
      <c r="Q24">
        <f t="shared" si="0"/>
        <v>0.72219999999999995</v>
      </c>
    </row>
    <row r="27" spans="1:18" x14ac:dyDescent="0.3">
      <c r="A27" t="s">
        <v>38</v>
      </c>
      <c r="B27" t="s">
        <v>39</v>
      </c>
      <c r="C27" t="s">
        <v>2</v>
      </c>
      <c r="D27" t="s">
        <v>3</v>
      </c>
      <c r="E27" t="s">
        <v>4</v>
      </c>
      <c r="F27" t="s">
        <v>40</v>
      </c>
      <c r="G27" t="s">
        <v>6</v>
      </c>
      <c r="H27" t="s">
        <v>7</v>
      </c>
      <c r="I27" t="s">
        <v>8</v>
      </c>
      <c r="J27" t="s">
        <v>9</v>
      </c>
      <c r="K27" t="s">
        <v>10</v>
      </c>
      <c r="L27" t="s">
        <v>11</v>
      </c>
      <c r="M27" t="s">
        <v>41</v>
      </c>
      <c r="N27" t="s">
        <v>13</v>
      </c>
      <c r="O27" t="s">
        <v>14</v>
      </c>
      <c r="P27" t="s">
        <v>15</v>
      </c>
      <c r="Q27" t="s">
        <v>16</v>
      </c>
      <c r="R27" t="s">
        <v>42</v>
      </c>
    </row>
    <row r="28" spans="1:18" x14ac:dyDescent="0.3">
      <c r="B28" t="str">
        <f>HYPERLINK("https://app.clickup.com/t/8698kwuqq", "[slipstream - data warehouse solution - git (productization)] Design and Build Costing reports in Snowflake")</f>
        <v>[slipstream - data warehouse solution - git (productization)] Design and Build Costing reports in Snowflake</v>
      </c>
      <c r="C28" t="str">
        <f>HYPERLINK("https://app.clickup.com/t/86995td5m", "[slipstream - data warehouse solution - git (productization)] Build the data deployment pipelines for DEV to QA")</f>
        <v>[slipstream - data warehouse solution - git (productization)] Build the data deployment pipelines for DEV to QA</v>
      </c>
      <c r="D28" t="str">
        <f>HYPERLINK("https://app.clickup.com/t/86995td5m", "[slipstream - data warehouse solution - git (productization)] Build the data deployment pipelines for DEV to QA")</f>
        <v>[slipstream - data warehouse solution - git (productization)] Build the data deployment pipelines for DEV to QA</v>
      </c>
      <c r="F28" t="str">
        <f>HYPERLINK("https://app.clickup.com/t/869a2knmy", "[slipstream - data warehouse solution - git (productization)] Create views as exploitation layer out of data lake")</f>
        <v>[slipstream - data warehouse solution - git (productization)] Create views as exploitation layer out of data lake</v>
      </c>
      <c r="G28" t="str">
        <f>HYPERLINK("https://app.clickup.com/t/869474qb4", "[internal projects] Commit code to GitHub")</f>
        <v>[internal projects] Commit code to GitHub</v>
      </c>
      <c r="H28" t="str">
        <f>HYPERLINK("https://app.clickup.com/t/869474qb4", "[internal projects] Commit code to GitHub")</f>
        <v>[internal projects] Commit code to GitHub</v>
      </c>
      <c r="I28" t="str">
        <f>HYPERLINK("https://app.clickup.com/t/869atfeg3", "[freshdesk] 1375 FPM Look through results compared to Reg30 rounding differences")</f>
        <v>[freshdesk] 1375 FPM Look through results compared to Reg30 rounding differences</v>
      </c>
      <c r="J28" t="str">
        <f>HYPERLINK("https://app.clickup.com/t/869bd0zxj", "[freshdesk] 1430 Athena Connection Setup")</f>
        <v>[freshdesk] 1430 Athena Connection Setup</v>
      </c>
      <c r="K28" t="str">
        <f>HYPERLINK("https://app.clickup.com/t/8698jrq49", "[slipstream - data warehouse solution - git (productization)] Testing - data Audit processes")</f>
        <v>[slipstream - data warehouse solution - git (productization)] Testing - data Audit processes</v>
      </c>
      <c r="L28" t="str">
        <f>HYPERLINK("https://app.clickup.com/t/869a5344p", "[freshdesk] Documentation")</f>
        <v>[freshdesk] Documentation</v>
      </c>
      <c r="O28" t="str">
        <f>HYPERLINK("https://app.clickup.com/t/869474qb4", "[internal projects] Commit code to GitHub")</f>
        <v>[internal projects] Commit code to GitHub</v>
      </c>
      <c r="P28" t="str">
        <f>HYPERLINK("https://app.clickup.com/t/869bd6a0f", "[wonga: data warehouse development &amp; migration onto snowflake project] Dim_Funnel_Checks")</f>
        <v>[wonga: data warehouse development &amp; migration onto snowflake project] Dim_Funnel_Checks</v>
      </c>
      <c r="R28" t="str">
        <f>HYPERLINK("https://app.clickup.com/t/869bbt350", "[freshdesk] 1428 SSO Intergations for data connections within Alteryx")</f>
        <v>[freshdesk] 1428 SSO Intergations for data connections within Alteryx</v>
      </c>
    </row>
    <row r="29" spans="1:18" x14ac:dyDescent="0.3">
      <c r="B29" t="str">
        <f>HYPERLINK("https://app.clickup.com/t/8698jrq4e", "[slipstream - data warehouse solution - git (productization)] Support. Includes platform optimisation, query optimisation etc.")</f>
        <v>[slipstream - data warehouse solution - git (productization)] Support. Includes platform optimisation, query optimisation etc.</v>
      </c>
      <c r="C29" t="str">
        <f>HYPERLINK("https://app.clickup.com/t/8695qbamh", "[internal projects] Testing")</f>
        <v>[internal projects] Testing</v>
      </c>
      <c r="D29" t="str">
        <f>HYPERLINK("https://app.clickup.com/t/869474qb4", "[internal projects] Commit code to GitHub")</f>
        <v>[internal projects] Commit code to GitHub</v>
      </c>
      <c r="F29" t="str">
        <f>HYPERLINK("https://app.clickup.com/t/8698kwuqq", "[slipstream - data warehouse solution - git (productization)] Design and Build Costing reports in Snowflake")</f>
        <v>[slipstream - data warehouse solution - git (productization)] Design and Build Costing reports in Snowflake</v>
      </c>
      <c r="G29" t="str">
        <f>HYPERLINK("https://app.clickup.com/t/8696c93m9", "[discovery invest - dw maintenance] Change LAst_seed_Process = 2 for 7 tables")</f>
        <v>[discovery invest - dw maintenance] Change LAst_seed_Process = 2 for 7 tables</v>
      </c>
      <c r="H29" t="str">
        <f>HYPERLINK("https://app.clickup.com/t/862k4g368", "[internal projects] Integrate data to Tableau report")</f>
        <v>[internal projects] Integrate data to Tableau report</v>
      </c>
      <c r="I29" t="str">
        <f>HYPERLINK("https://app.clickup.com/t/869474qb4", "[internal projects] Commit code to GitHub")</f>
        <v>[internal projects] Commit code to GitHub</v>
      </c>
      <c r="J29" t="str">
        <f>HYPERLINK("https://app.clickup.com/t/8696q3a3m", "[internal projects] Team Skills")</f>
        <v>[internal projects] Team Skills</v>
      </c>
      <c r="K29" t="str">
        <f>HYPERLINK("https://app.clickup.com/t/8698jrq40", "[slipstream - data warehouse solution - git (productization)] Optimisation and Enhancemnets post testing")</f>
        <v>[slipstream - data warehouse solution - git (productization)] Optimisation and Enhancemnets post testing</v>
      </c>
      <c r="L29" t="str">
        <f>HYPERLINK("https://app.clickup.com/t/8698juq5h", "[slipstream - data warehouse solution - git (productization)] Build the PowerBI reports for monitoring data Lake progress")</f>
        <v>[slipstream - data warehouse solution - git (productization)] Build the PowerBI reports for monitoring data Lake progress</v>
      </c>
      <c r="O29" t="str">
        <f>HYPERLINK("https://app.clickup.com/t/869a9nmh7", "[om: fatca 2.0 design implementation project (jira tasks)] CDC-2626 Setup Non-prod and Prod space on Alteryx Servers")</f>
        <v>[om: fatca 2.0 design implementation project (jira tasks)] CDC-2626 Setup Non-prod and Prod space on Alteryx Servers</v>
      </c>
      <c r="R29" t="str">
        <f>HYPERLINK("https://app.clickup.com/t/869b88fev", "[freshdesk] 1421 OTIF Schedule date changes")</f>
        <v>[freshdesk] 1421 OTIF Schedule date changes</v>
      </c>
    </row>
    <row r="30" spans="1:18" x14ac:dyDescent="0.3">
      <c r="B30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  <c r="C30" t="str">
        <f>HYPERLINK("https://app.clickup.com/t/869474qb4", "[internal projects] Commit code to GitHub")</f>
        <v>[internal projects] Commit code to GitHub</v>
      </c>
      <c r="F30" t="str">
        <f>HYPERLINK("https://app.clickup.com/t/8698jrxaj", "[slipstream - data warehouse solution - git (productization)] Snowflake Setup and Configuration")</f>
        <v>[slipstream - data warehouse solution - git (productization)] Snowflake Setup and Configuration</v>
      </c>
      <c r="H30" t="str">
        <f>HYPERLINK("https://app.clickup.com/t/86931cq82", "[certification] Alteryx")</f>
        <v>[certification] Alteryx</v>
      </c>
      <c r="J30" t="str">
        <f>HYPERLINK("https://app.clickup.com/t/8696kqh8k", "[internal projects] Tableau server Microsoft Teams app set up")</f>
        <v>[internal projects] Tableau server Microsoft Teams app set up</v>
      </c>
      <c r="K30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  <c r="L30" t="str">
        <f>HYPERLINK("https://app.clickup.com/t/8698jupt0", "[slipstream - data warehouse solution - git (productization)] Build the PowerBI reports for monitoring data Stage progress")</f>
        <v>[slipstream - data warehouse solution - git (productization)] Build the PowerBI reports for monitoring data Stage progress</v>
      </c>
      <c r="O30" t="str">
        <f>HYPERLINK("https://app.clickup.com/t/869a6vnq6", "[om: fatca 2.0 design implementation project (jira tasks)] CDC-2757 Market Conduct: Provide time estimates for deliverables")</f>
        <v>[om: fatca 2.0 design implementation project (jira tasks)] CDC-2757 Market Conduct: Provide time estimates for deliverables</v>
      </c>
      <c r="R30" t="str">
        <f>HYPERLINK("https://app.clickup.com/t/8698jrq49", "[slipstream - data warehouse solution - git (productization)] Testing - data Audit processes")</f>
        <v>[slipstream - data warehouse solution - git (productization)] Testing - data Audit processes</v>
      </c>
    </row>
    <row r="31" spans="1:18" x14ac:dyDescent="0.3">
      <c r="B31" t="str">
        <f>HYPERLINK("https://app.clickup.com/t/869474qb4", "[internal projects] Commit code to GitHub")</f>
        <v>[internal projects] Commit code to GitHub</v>
      </c>
      <c r="C31" t="str">
        <f>HYPERLINK("https://app.clickup.com/t/862k18nwr", "[internal projects] SLA performance for each customer")</f>
        <v>[internal projects] SLA performance for each customer</v>
      </c>
      <c r="F31" t="str">
        <f>HYPERLINK("https://app.clickup.com/t/8698jrq40", "[slipstream - data warehouse solution - git (productization)] Optimisation and Enhancemnets post testing")</f>
        <v>[slipstream - data warehouse solution - git (productization)] Optimisation and Enhancemnets post testing</v>
      </c>
      <c r="J31" t="str">
        <f>HYPERLINK("https://app.clickup.com/t/869474qb4", "[internal projects] Commit code to GitHub")</f>
        <v>[internal projects] Commit code to GitHub</v>
      </c>
      <c r="K31" t="str">
        <f>HYPERLINK("https://app.clickup.com/t/869474qb4", "[internal projects] Commit code to GitHub")</f>
        <v>[internal projects] Commit code to GitHub</v>
      </c>
      <c r="L31" t="str">
        <f>HYPERLINK("https://app.clickup.com/t/8698jrq3g", "[slipstream - data warehouse solution - git (productization)] Orchestration")</f>
        <v>[slipstream - data warehouse solution - git (productization)] Orchestration</v>
      </c>
      <c r="O31" t="str">
        <f>HYPERLINK("https://app.clickup.com/t/869a1x6nk", "[om: fatca 2.0 design implementation project (jira tasks)] CDC-2062 Highlight where field values do not map to static reference tables in the raw schema")</f>
        <v>[om: fatca 2.0 design implementation project (jira tasks)] CDC-2062 Highlight where field values do not map to static reference tables in the raw schema</v>
      </c>
      <c r="R31" t="str">
        <f>HYPERLINK("https://app.clickup.com/t/8698jrq3g", "[slipstream - data warehouse solution - git (productization)] Orchestration")</f>
        <v>[slipstream - data warehouse solution - git (productization)] Orchestration</v>
      </c>
    </row>
    <row r="32" spans="1:18" x14ac:dyDescent="0.3">
      <c r="C32" t="str">
        <f>HYPERLINK("https://app.clickup.com/t/8694x2b1k", "[certification] Alteryx Designer Advanced")</f>
        <v>[certification] Alteryx Designer Advanced</v>
      </c>
      <c r="F32" t="str">
        <f>HYPERLINK("https://app.clickup.com/t/869474qb4", "[internal projects] Commit code to GitHub")</f>
        <v>[internal projects] Commit code to GitHub</v>
      </c>
      <c r="J32" t="str">
        <f>HYPERLINK("https://app.clickup.com/t/8698rmb2r", "[certification] AWS Certified Solutions Architect - Associate")</f>
        <v>[certification] AWS Certified Solutions Architect - Associate</v>
      </c>
      <c r="K32" t="str">
        <f>HYPERLINK("https://app.clickup.com/t/86971xvd4", "[discovery invest - dw maintenance] Run the file extracts")</f>
        <v>[discovery invest - dw maintenance] Run the file extracts</v>
      </c>
      <c r="O32" t="str">
        <f>HYPERLINK("https://app.clickup.com/t/869a1bu7g", "[om: fatca 2.0 design implementation project (jira tasks)] CDC-2563 Business Rule - Tax Free investments")</f>
        <v>[om: fatca 2.0 design implementation project (jira tasks)] CDC-2563 Business Rule - Tax Free investments</v>
      </c>
      <c r="R32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</row>
    <row r="33" spans="6:18" x14ac:dyDescent="0.3">
      <c r="F33" t="str">
        <f>HYPERLINK("https://app.clickup.com/t/86931cq56", "[certification] Snowflake")</f>
        <v>[certification] Snowflake</v>
      </c>
      <c r="K33" t="str">
        <f>HYPERLINK("https://app.clickup.com/t/86971xv4x", "[discovery invest - dw maintenance] Validating the marts")</f>
        <v>[discovery invest - dw maintenance] Validating the marts</v>
      </c>
      <c r="O33" t="str">
        <f>HYPERLINK("https://app.clickup.com/t/869a01gfm", "[om: fatca 2.0 design implementation project (jira tasks)] CDC-2509 Investigate subset where controlling person and entity has different entity_ids")</f>
        <v>[om: fatca 2.0 design implementation project (jira tasks)] CDC-2509 Investigate subset where controlling person and entity has different entity_ids</v>
      </c>
      <c r="R33" t="str">
        <f>HYPERLINK("https://app.clickup.com/t/869ag79ab", "[internal projects] Test Framework UAT doc")</f>
        <v>[internal projects] Test Framework UAT doc</v>
      </c>
    </row>
    <row r="34" spans="6:18" x14ac:dyDescent="0.3">
      <c r="K34" t="str">
        <f>HYPERLINK("https://app.clickup.com/t/86971xv04", "[discovery invest - dw maintenance] Run mart code")</f>
        <v>[discovery invest - dw maintenance] Run mart code</v>
      </c>
      <c r="O34" t="str">
        <f>HYPERLINK("https://app.clickup.com/t/8699yvvh7", "[om: fatca 2.0 design implementation project (jira tasks)] CDC-2560 SARS TPAH Template Update the rule to avoid referencing the database table")</f>
        <v>[om: fatca 2.0 design implementation project (jira tasks)] CDC-2560 SARS TPAH Template Update the rule to avoid referencing the database table</v>
      </c>
      <c r="R34" t="str">
        <f>HYPERLINK("https://app.clickup.com/t/869a70f9p", "[internal projects] Billed VS Invoiced VS SLA")</f>
        <v>[internal projects] Billed VS Invoiced VS SLA</v>
      </c>
    </row>
    <row r="35" spans="6:18" x14ac:dyDescent="0.3">
      <c r="K35" t="str">
        <f>HYPERLINK("https://app.clickup.com/t/86971xur8", "[discovery invest - dw maintenance] Run implied deletes code")</f>
        <v>[discovery invest - dw maintenance] Run implied deletes code</v>
      </c>
      <c r="O35" t="str">
        <f>HYPERLINK("https://app.clickup.com/t/8699yvveh", "[om: fatca 2.0 design implementation project (jira tasks)] CDC-2559 SARS TPAH Template Remove all spaces and special characters")</f>
        <v>[om: fatca 2.0 design implementation project (jira tasks)] CDC-2559 SARS TPAH Template Remove all spaces and special characters</v>
      </c>
      <c r="R35" t="str">
        <f>HYPERLINK("https://app.clickup.com/t/8697xudfa", "[internal projects] Income statement dashboard")</f>
        <v>[internal projects] Income statement dashboard</v>
      </c>
    </row>
    <row r="36" spans="6:18" x14ac:dyDescent="0.3">
      <c r="K36" t="str">
        <f>HYPERLINK("https://app.clickup.com/t/86971xtt3", "[discovery invest - dw maintenance] Validating the DWH")</f>
        <v>[discovery invest - dw maintenance] Validating the DWH</v>
      </c>
      <c r="R36" t="str">
        <f>HYPERLINK("https://app.clickup.com/t/8697t8mu2", "[internal projects] Sales Dashboard Additional requirements")</f>
        <v>[internal projects] Sales Dashboard Additional requirements</v>
      </c>
    </row>
    <row r="37" spans="6:18" x14ac:dyDescent="0.3">
      <c r="O37" t="str">
        <f>HYPERLINK("https://app.clickup.com/t/8699yvuqh", "[om: fatca 2.0 design implementation project (jira tasks)] CDC-2555 Entities former COB")</f>
        <v>[om: fatca 2.0 design implementation project (jira tasks)] CDC-2555 Entities former COB</v>
      </c>
      <c r="R37" t="str">
        <f>HYPERLINK("https://app.clickup.com/t/8697my8gd", "[internal projects] Financial and Sales Dashboard enhancement")</f>
        <v>[internal projects] Financial and Sales Dashboard enhancement</v>
      </c>
    </row>
    <row r="38" spans="6:18" x14ac:dyDescent="0.3">
      <c r="O38" t="str">
        <f>HYPERLINK("https://app.clickup.com/t/8699yvtjg", "[om: fatca 2.0 design implementation project (jira tasks)] CDC-2553 Flexcube SARS Templates - rename the RFI to source system code at scheme level")</f>
        <v>[om: fatca 2.0 design implementation project (jira tasks)] CDC-2553 Flexcube SARS Templates - rename the RFI to source system code at scheme level</v>
      </c>
      <c r="R38" t="str">
        <f>HYPERLINK("https://app.clickup.com/t/8696yar98", "[internal projects] Resource Utilization Dashboard Refinements")</f>
        <v>[internal projects] Resource Utilization Dashboard Refinements</v>
      </c>
    </row>
    <row r="39" spans="6:18" x14ac:dyDescent="0.3">
      <c r="O39" t="str">
        <f>HYPERLINK("https://app.clickup.com/t/8699yvruw", "[om: fatca 2.0 design implementation project (jira tasks)] CDC-2561 Diminmus rules to be applied at scheme level and not at OMUT level")</f>
        <v>[om: fatca 2.0 design implementation project (jira tasks)] CDC-2561 Diminmus rules to be applied at scheme level and not at OMUT level</v>
      </c>
      <c r="R39" t="str">
        <f>HYPERLINK("https://app.clickup.com/t/8696u6wyy", "[internal projects] Alteryx Server SLA Report process")</f>
        <v>[internal projects] Alteryx Server SLA Report process</v>
      </c>
    </row>
    <row r="40" spans="6:18" x14ac:dyDescent="0.3">
      <c r="O40" t="str">
        <f>HYPERLINK("https://app.clickup.com/t/8699yvra6", "[om: fatca 2.0 design implementation project (jira tasks)] CDC-2554 Entities COB")</f>
        <v>[om: fatca 2.0 design implementation project (jira tasks)] CDC-2554 Entities COB</v>
      </c>
      <c r="R40" t="str">
        <f>HYPERLINK("https://app.clickup.com/t/8695mj63r", "[internal projects] Shoprite B2B SLA Document")</f>
        <v>[internal projects] Shoprite B2B SLA Document</v>
      </c>
    </row>
    <row r="41" spans="6:18" x14ac:dyDescent="0.3">
      <c r="R41" t="str">
        <f>HYPERLINK("https://app.clickup.com/t/869474qb4", "[internal projects] Commit code to GitHub")</f>
        <v>[internal projects] Commit code to GitHub</v>
      </c>
    </row>
    <row r="42" spans="6:18" x14ac:dyDescent="0.3">
      <c r="R42" t="str">
        <f>HYPERLINK("https://app.clickup.com/t/869agp147", "[certification] Snowflake Sales Professional")</f>
        <v>[certification] Snowflake Sales Professional</v>
      </c>
    </row>
    <row r="43" spans="6:18" x14ac:dyDescent="0.3">
      <c r="R43" t="str">
        <f>HYPERLINK("https://app.clickup.com/t/869agp0uz", "[certification] Snowflake Technical Sales Professional")</f>
        <v>[certification] Snowflake Technical Sales Professional</v>
      </c>
    </row>
    <row r="44" spans="6:18" x14ac:dyDescent="0.3">
      <c r="R44" t="str">
        <f>HYPERLINK("https://app.clickup.com/t/869af829t", "[certification] Salesforce Certified Agentforce Specialist")</f>
        <v>[certification] Salesforce Certified Agentforce Specialist</v>
      </c>
    </row>
    <row r="45" spans="6:18" x14ac:dyDescent="0.3">
      <c r="R45" t="str">
        <f>HYPERLINK("https://app.clickup.com/t/869ab9g7u", "[certification] AWS Data Engineer - Associate")</f>
        <v>[certification] AWS Data Engineer - Associate</v>
      </c>
    </row>
    <row r="46" spans="6:18" x14ac:dyDescent="0.3">
      <c r="R46" t="str">
        <f>HYPERLINK("https://app.clickup.com/t/869b6v0gh", "[om: fatca 2.0 design implementation project (jira tasks)] CDC-2562 Develop a Foreigners List dashboard")</f>
        <v>[om: fatca 2.0 design implementation project (jira tasks)] CDC-2562 Develop a Foreigners List dashboard</v>
      </c>
    </row>
    <row r="47" spans="6:18" x14ac:dyDescent="0.3">
      <c r="R47" t="str">
        <f>HYPERLINK("https://app.clickup.com/t/869ax6j44", "[om: fatca 2.0 design implementation project (jira tasks)] Titanium Reports")</f>
        <v>[om: fatca 2.0 design implementation project (jira tasks)] Titanium Reports</v>
      </c>
    </row>
    <row r="48" spans="6:18" x14ac:dyDescent="0.3">
      <c r="R48" t="str">
        <f>HYPERLINK("https://app.clickup.com/t/869ax6j0z", "[om: fatca 2.0 design implementation project (jira tasks)] CDC-3034-aws-s3-bucket-investigation")</f>
        <v>[om: fatca 2.0 design implementation project (jira tasks)] CDC-3034-aws-s3-bucket-investigation</v>
      </c>
    </row>
    <row r="49" spans="18:18" x14ac:dyDescent="0.3">
      <c r="R49" t="str">
        <f>HYPERLINK("https://app.clickup.com/t/869avjm5f", "[om: fatca 2.0 design implementation project (jira tasks)] CBR Quarterly Run")</f>
        <v>[om: fatca 2.0 design implementation project (jira tasks)] CBR Quarterly Run</v>
      </c>
    </row>
    <row r="50" spans="18:18" x14ac:dyDescent="0.3">
      <c r="R50" t="str">
        <f>HYPERLINK("https://app.clickup.com/t/869auvvmp", "[om: fatca 2.0 design implementation project (jira tasks)] Advisor Recon Report Manual Run")</f>
        <v>[om: fatca 2.0 design implementation project (jira tasks)] Advisor Recon Report Manual Run</v>
      </c>
    </row>
    <row r="51" spans="18:18" x14ac:dyDescent="0.3">
      <c r="R51" t="str">
        <f>HYPERLINK("https://app.clickup.com/t/869arkz3a", "[om: fatca 2.0 design implementation project (jira tasks)] CDC-2914 Create Test Cases Cura Reg Change (Framework) Dashboard")</f>
        <v>[om: fatca 2.0 design implementation project (jira tasks)] CDC-2914 Create Test Cases Cura Reg Change (Framework) Dashboard</v>
      </c>
    </row>
    <row r="52" spans="18:18" x14ac:dyDescent="0.3">
      <c r="R52" t="str">
        <f>HYPERLINK("https://app.clickup.com/t/869am7mt7", "[om: fatca 2.0 design implementation project (jira tasks)] CDC-2913 Cura Reg Change Dashboard Modifications")</f>
        <v>[om: fatca 2.0 design implementation project (jira tasks)] CDC-2913 Cura Reg Change Dashboard Modifications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R52"/>
  <sheetViews>
    <sheetView workbookViewId="0"/>
  </sheetViews>
  <sheetFormatPr defaultRowHeight="14.4" x14ac:dyDescent="0.3"/>
  <cols>
    <col min="1" max="1" width="20" customWidth="1"/>
    <col min="2" max="18" width="50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</row>
    <row r="3" spans="1:17" x14ac:dyDescent="0.3">
      <c r="A3" t="s">
        <v>18</v>
      </c>
      <c r="B3" t="s">
        <v>44</v>
      </c>
      <c r="C3" t="s">
        <v>44</v>
      </c>
      <c r="D3" t="s">
        <v>44</v>
      </c>
      <c r="E3" t="s">
        <v>44</v>
      </c>
      <c r="F3" t="s">
        <v>44</v>
      </c>
      <c r="G3" t="s">
        <v>44</v>
      </c>
      <c r="H3" t="s">
        <v>44</v>
      </c>
      <c r="I3" t="s">
        <v>67</v>
      </c>
      <c r="J3" t="s">
        <v>44</v>
      </c>
      <c r="K3" t="s">
        <v>44</v>
      </c>
      <c r="L3" t="s">
        <v>44</v>
      </c>
      <c r="M3" t="s">
        <v>44</v>
      </c>
      <c r="N3" t="s">
        <v>44</v>
      </c>
      <c r="O3" t="s">
        <v>44</v>
      </c>
      <c r="P3" t="s">
        <v>44</v>
      </c>
      <c r="Q3" t="s">
        <v>44</v>
      </c>
    </row>
    <row r="4" spans="1:17" x14ac:dyDescent="0.3">
      <c r="A4" t="s">
        <v>19</v>
      </c>
      <c r="E4" t="s">
        <v>46</v>
      </c>
      <c r="G4" t="s">
        <v>68</v>
      </c>
      <c r="L4" t="s">
        <v>47</v>
      </c>
    </row>
    <row r="5" spans="1:17" x14ac:dyDescent="0.3">
      <c r="A5" t="s">
        <v>20</v>
      </c>
      <c r="B5" t="s">
        <v>70</v>
      </c>
      <c r="C5" t="s">
        <v>70</v>
      </c>
      <c r="D5" t="s">
        <v>70</v>
      </c>
      <c r="E5" t="s">
        <v>76</v>
      </c>
      <c r="G5" t="s">
        <v>48</v>
      </c>
      <c r="J5" t="s">
        <v>70</v>
      </c>
      <c r="K5" t="s">
        <v>70</v>
      </c>
      <c r="L5" t="s">
        <v>72</v>
      </c>
      <c r="M5" t="s">
        <v>70</v>
      </c>
      <c r="N5" t="s">
        <v>70</v>
      </c>
      <c r="P5" t="s">
        <v>70</v>
      </c>
      <c r="Q5" t="s">
        <v>70</v>
      </c>
    </row>
    <row r="6" spans="1:17" x14ac:dyDescent="0.3">
      <c r="A6" t="s">
        <v>21</v>
      </c>
      <c r="D6" t="s">
        <v>49</v>
      </c>
      <c r="E6" t="s">
        <v>46</v>
      </c>
      <c r="G6" t="s">
        <v>48</v>
      </c>
      <c r="J6" t="s">
        <v>49</v>
      </c>
      <c r="L6" t="s">
        <v>47</v>
      </c>
      <c r="N6" t="s">
        <v>79</v>
      </c>
    </row>
    <row r="7" spans="1:17" x14ac:dyDescent="0.3">
      <c r="A7" t="s">
        <v>22</v>
      </c>
      <c r="E7" t="s">
        <v>46</v>
      </c>
      <c r="L7" t="s">
        <v>47</v>
      </c>
    </row>
    <row r="8" spans="1:17" x14ac:dyDescent="0.3">
      <c r="A8" t="s">
        <v>23</v>
      </c>
      <c r="E8" t="s">
        <v>46</v>
      </c>
      <c r="Q8" t="s">
        <v>52</v>
      </c>
    </row>
    <row r="9" spans="1:17" x14ac:dyDescent="0.3">
      <c r="A9" t="s">
        <v>24</v>
      </c>
      <c r="E9" t="s">
        <v>46</v>
      </c>
      <c r="O9" t="s">
        <v>114</v>
      </c>
      <c r="Q9" t="s">
        <v>52</v>
      </c>
    </row>
    <row r="10" spans="1:17" x14ac:dyDescent="0.3">
      <c r="A10" t="s">
        <v>25</v>
      </c>
      <c r="E10" t="s">
        <v>46</v>
      </c>
      <c r="H10" t="s">
        <v>54</v>
      </c>
      <c r="Q10" t="s">
        <v>52</v>
      </c>
    </row>
    <row r="11" spans="1:17" x14ac:dyDescent="0.3">
      <c r="A11" t="s">
        <v>26</v>
      </c>
      <c r="E11" t="s">
        <v>46</v>
      </c>
      <c r="H11" t="s">
        <v>54</v>
      </c>
      <c r="Q11" t="s">
        <v>52</v>
      </c>
    </row>
    <row r="12" spans="1:17" x14ac:dyDescent="0.3">
      <c r="A12" t="s">
        <v>27</v>
      </c>
      <c r="G12" t="s">
        <v>75</v>
      </c>
      <c r="H12" t="s">
        <v>54</v>
      </c>
      <c r="Q12" t="s">
        <v>52</v>
      </c>
    </row>
    <row r="13" spans="1:17" x14ac:dyDescent="0.3">
      <c r="A13" t="s">
        <v>28</v>
      </c>
      <c r="G13" t="s">
        <v>75</v>
      </c>
      <c r="H13" t="s">
        <v>54</v>
      </c>
      <c r="Q13" t="s">
        <v>58</v>
      </c>
    </row>
    <row r="14" spans="1:17" x14ac:dyDescent="0.3">
      <c r="A14" t="s">
        <v>29</v>
      </c>
      <c r="E14" t="s">
        <v>46</v>
      </c>
      <c r="G14" t="s">
        <v>75</v>
      </c>
      <c r="Q14" t="s">
        <v>58</v>
      </c>
    </row>
    <row r="15" spans="1:17" x14ac:dyDescent="0.3">
      <c r="A15" t="s">
        <v>30</v>
      </c>
      <c r="E15" t="s">
        <v>46</v>
      </c>
      <c r="G15" t="s">
        <v>75</v>
      </c>
      <c r="Q15" t="s">
        <v>58</v>
      </c>
    </row>
    <row r="16" spans="1:17" x14ac:dyDescent="0.3">
      <c r="A16" t="s">
        <v>31</v>
      </c>
      <c r="E16" t="s">
        <v>46</v>
      </c>
      <c r="I16" t="s">
        <v>122</v>
      </c>
    </row>
    <row r="17" spans="1:18" x14ac:dyDescent="0.3">
      <c r="A17" t="s">
        <v>32</v>
      </c>
      <c r="E17" t="s">
        <v>46</v>
      </c>
      <c r="I17" t="s">
        <v>122</v>
      </c>
    </row>
    <row r="18" spans="1:18" x14ac:dyDescent="0.3">
      <c r="A18" t="s">
        <v>33</v>
      </c>
      <c r="B18" t="s">
        <v>80</v>
      </c>
      <c r="E18" t="s">
        <v>81</v>
      </c>
      <c r="G18" t="s">
        <v>68</v>
      </c>
      <c r="L18" t="s">
        <v>65</v>
      </c>
      <c r="O18" t="s">
        <v>80</v>
      </c>
      <c r="Q18" t="s">
        <v>66</v>
      </c>
    </row>
    <row r="19" spans="1:18" x14ac:dyDescent="0.3">
      <c r="A19" t="s">
        <v>34</v>
      </c>
      <c r="B19" t="s">
        <v>80</v>
      </c>
      <c r="E19" t="s">
        <v>81</v>
      </c>
      <c r="L19" t="s">
        <v>65</v>
      </c>
      <c r="O19" t="s">
        <v>80</v>
      </c>
      <c r="Q19" t="s">
        <v>66</v>
      </c>
    </row>
    <row r="20" spans="1:18" x14ac:dyDescent="0.3">
      <c r="A20" t="s">
        <v>35</v>
      </c>
    </row>
    <row r="21" spans="1:18" x14ac:dyDescent="0.3">
      <c r="A21" t="s">
        <v>36</v>
      </c>
    </row>
    <row r="24" spans="1:18" x14ac:dyDescent="0.3">
      <c r="A24" t="s">
        <v>37</v>
      </c>
      <c r="B24">
        <f t="shared" ref="B24:Q24" si="0">ROUND(COUNTIF(B2:B19,"&lt;&gt;")/18,4)</f>
        <v>0.22220000000000001</v>
      </c>
      <c r="C24">
        <f t="shared" si="0"/>
        <v>0.1111</v>
      </c>
      <c r="D24">
        <f t="shared" si="0"/>
        <v>0.16669999999999999</v>
      </c>
      <c r="E24">
        <f t="shared" si="0"/>
        <v>0.83330000000000004</v>
      </c>
      <c r="F24">
        <f t="shared" si="0"/>
        <v>5.5599999999999997E-2</v>
      </c>
      <c r="G24">
        <f t="shared" si="0"/>
        <v>0.5</v>
      </c>
      <c r="H24">
        <f t="shared" si="0"/>
        <v>0.27779999999999999</v>
      </c>
      <c r="I24">
        <f t="shared" si="0"/>
        <v>0.16669999999999999</v>
      </c>
      <c r="J24">
        <f t="shared" si="0"/>
        <v>0.16669999999999999</v>
      </c>
      <c r="K24">
        <f t="shared" si="0"/>
        <v>0.1111</v>
      </c>
      <c r="L24">
        <f t="shared" si="0"/>
        <v>0.38890000000000002</v>
      </c>
      <c r="M24">
        <f t="shared" si="0"/>
        <v>0.1111</v>
      </c>
      <c r="N24">
        <f t="shared" si="0"/>
        <v>0.16669999999999999</v>
      </c>
      <c r="O24">
        <f t="shared" si="0"/>
        <v>0.22220000000000001</v>
      </c>
      <c r="P24">
        <f t="shared" si="0"/>
        <v>0.1111</v>
      </c>
      <c r="Q24">
        <f t="shared" si="0"/>
        <v>0.66669999999999996</v>
      </c>
    </row>
    <row r="27" spans="1:18" x14ac:dyDescent="0.3">
      <c r="A27" t="s">
        <v>38</v>
      </c>
      <c r="B27" t="s">
        <v>39</v>
      </c>
      <c r="C27" t="s">
        <v>2</v>
      </c>
      <c r="D27" t="s">
        <v>3</v>
      </c>
      <c r="E27" t="s">
        <v>4</v>
      </c>
      <c r="F27" t="s">
        <v>40</v>
      </c>
      <c r="G27" t="s">
        <v>6</v>
      </c>
      <c r="H27" t="s">
        <v>7</v>
      </c>
      <c r="I27" t="s">
        <v>8</v>
      </c>
      <c r="J27" t="s">
        <v>9</v>
      </c>
      <c r="K27" t="s">
        <v>10</v>
      </c>
      <c r="L27" t="s">
        <v>11</v>
      </c>
      <c r="M27" t="s">
        <v>41</v>
      </c>
      <c r="N27" t="s">
        <v>13</v>
      </c>
      <c r="O27" t="s">
        <v>14</v>
      </c>
      <c r="P27" t="s">
        <v>15</v>
      </c>
      <c r="Q27" t="s">
        <v>16</v>
      </c>
      <c r="R27" t="s">
        <v>42</v>
      </c>
    </row>
    <row r="28" spans="1:18" x14ac:dyDescent="0.3">
      <c r="B28" t="str">
        <f>HYPERLINK("https://app.clickup.com/t/8698kwuqq", "[slipstream - data warehouse solution - git (productization)] Design and Build Costing reports in Snowflake")</f>
        <v>[slipstream - data warehouse solution - git (productization)] Design and Build Costing reports in Snowflake</v>
      </c>
      <c r="C28" t="str">
        <f>HYPERLINK("https://app.clickup.com/t/86995td5m", "[slipstream - data warehouse solution - git (productization)] Build the data deployment pipelines for DEV to QA")</f>
        <v>[slipstream - data warehouse solution - git (productization)] Build the data deployment pipelines for DEV to QA</v>
      </c>
      <c r="D28" t="str">
        <f>HYPERLINK("https://app.clickup.com/t/86995td5m", "[slipstream - data warehouse solution - git (productization)] Build the data deployment pipelines for DEV to QA")</f>
        <v>[slipstream - data warehouse solution - git (productization)] Build the data deployment pipelines for DEV to QA</v>
      </c>
      <c r="F28" t="str">
        <f>HYPERLINK("https://app.clickup.com/t/869a2knmy", "[slipstream - data warehouse solution - git (productization)] Create views as exploitation layer out of data lake")</f>
        <v>[slipstream - data warehouse solution - git (productization)] Create views as exploitation layer out of data lake</v>
      </c>
      <c r="G28" t="str">
        <f>HYPERLINK("https://app.clickup.com/t/869474qb4", "[internal projects] Commit code to GitHub")</f>
        <v>[internal projects] Commit code to GitHub</v>
      </c>
      <c r="H28" t="str">
        <f>HYPERLINK("https://app.clickup.com/t/869474qb4", "[internal projects] Commit code to GitHub")</f>
        <v>[internal projects] Commit code to GitHub</v>
      </c>
      <c r="I28" t="str">
        <f>HYPERLINK("https://app.clickup.com/t/869atfeg3", "[freshdesk] 1375 FPM Look through results compared to Reg30 rounding differences")</f>
        <v>[freshdesk] 1375 FPM Look through results compared to Reg30 rounding differences</v>
      </c>
      <c r="J28" t="str">
        <f>HYPERLINK("https://app.clickup.com/t/869bd0zxj", "[freshdesk] 1430 Athena Connection Setup")</f>
        <v>[freshdesk] 1430 Athena Connection Setup</v>
      </c>
      <c r="K28" t="str">
        <f>HYPERLINK("https://app.clickup.com/t/8698jrq49", "[slipstream - data warehouse solution - git (productization)] Testing - data Audit processes")</f>
        <v>[slipstream - data warehouse solution - git (productization)] Testing - data Audit processes</v>
      </c>
      <c r="L28" t="str">
        <f>HYPERLINK("https://app.clickup.com/t/869a5344p", "[freshdesk] Documentation")</f>
        <v>[freshdesk] Documentation</v>
      </c>
      <c r="O28" t="str">
        <f>HYPERLINK("https://app.clickup.com/t/869474qb4", "[internal projects] Commit code to GitHub")</f>
        <v>[internal projects] Commit code to GitHub</v>
      </c>
      <c r="P28" t="str">
        <f>HYPERLINK("https://app.clickup.com/t/869bd6a0f", "[wonga: data warehouse development &amp; migration onto snowflake project] Dim_Funnel_Checks")</f>
        <v>[wonga: data warehouse development &amp; migration onto snowflake project] Dim_Funnel_Checks</v>
      </c>
      <c r="R28" t="str">
        <f>HYPERLINK("https://app.clickup.com/t/869bbt350", "[freshdesk] 1428 SSO Intergations for data connections within Alteryx")</f>
        <v>[freshdesk] 1428 SSO Intergations for data connections within Alteryx</v>
      </c>
    </row>
    <row r="29" spans="1:18" x14ac:dyDescent="0.3">
      <c r="B29" t="str">
        <f>HYPERLINK("https://app.clickup.com/t/8698jrq4e", "[slipstream - data warehouse solution - git (productization)] Support. Includes platform optimisation, query optimisation etc.")</f>
        <v>[slipstream - data warehouse solution - git (productization)] Support. Includes platform optimisation, query optimisation etc.</v>
      </c>
      <c r="C29" t="str">
        <f>HYPERLINK("https://app.clickup.com/t/8695qbamh", "[internal projects] Testing")</f>
        <v>[internal projects] Testing</v>
      </c>
      <c r="D29" t="str">
        <f>HYPERLINK("https://app.clickup.com/t/869474qb4", "[internal projects] Commit code to GitHub")</f>
        <v>[internal projects] Commit code to GitHub</v>
      </c>
      <c r="F29" t="str">
        <f>HYPERLINK("https://app.clickup.com/t/8698kwuqq", "[slipstream - data warehouse solution - git (productization)] Design and Build Costing reports in Snowflake")</f>
        <v>[slipstream - data warehouse solution - git (productization)] Design and Build Costing reports in Snowflake</v>
      </c>
      <c r="G29" t="str">
        <f>HYPERLINK("https://app.clickup.com/t/8696c93m9", "[discovery invest - dw maintenance] Change LAst_seed_Process = 2 for 7 tables")</f>
        <v>[discovery invest - dw maintenance] Change LAst_seed_Process = 2 for 7 tables</v>
      </c>
      <c r="H29" t="str">
        <f>HYPERLINK("https://app.clickup.com/t/862k4g368", "[internal projects] Integrate data to Tableau report")</f>
        <v>[internal projects] Integrate data to Tableau report</v>
      </c>
      <c r="I29" t="str">
        <f>HYPERLINK("https://app.clickup.com/t/869474qb4", "[internal projects] Commit code to GitHub")</f>
        <v>[internal projects] Commit code to GitHub</v>
      </c>
      <c r="J29" t="str">
        <f>HYPERLINK("https://app.clickup.com/t/8696q3a3m", "[internal projects] Team Skills")</f>
        <v>[internal projects] Team Skills</v>
      </c>
      <c r="K29" t="str">
        <f>HYPERLINK("https://app.clickup.com/t/8698jrq40", "[slipstream - data warehouse solution - git (productization)] Optimisation and Enhancemnets post testing")</f>
        <v>[slipstream - data warehouse solution - git (productization)] Optimisation and Enhancemnets post testing</v>
      </c>
      <c r="L29" t="str">
        <f>HYPERLINK("https://app.clickup.com/t/8698juq5h", "[slipstream - data warehouse solution - git (productization)] Build the PowerBI reports for monitoring data Lake progress")</f>
        <v>[slipstream - data warehouse solution - git (productization)] Build the PowerBI reports for monitoring data Lake progress</v>
      </c>
      <c r="O29" t="str">
        <f>HYPERLINK("https://app.clickup.com/t/869a9nmh7", "[om: fatca 2.0 design implementation project (jira tasks)] CDC-2626 Setup Non-prod and Prod space on Alteryx Servers")</f>
        <v>[om: fatca 2.0 design implementation project (jira tasks)] CDC-2626 Setup Non-prod and Prod space on Alteryx Servers</v>
      </c>
      <c r="R29" t="str">
        <f>HYPERLINK("https://app.clickup.com/t/869b88fev", "[freshdesk] 1421 OTIF Schedule date changes")</f>
        <v>[freshdesk] 1421 OTIF Schedule date changes</v>
      </c>
    </row>
    <row r="30" spans="1:18" x14ac:dyDescent="0.3">
      <c r="B30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  <c r="C30" t="str">
        <f>HYPERLINK("https://app.clickup.com/t/869474qb4", "[internal projects] Commit code to GitHub")</f>
        <v>[internal projects] Commit code to GitHub</v>
      </c>
      <c r="F30" t="str">
        <f>HYPERLINK("https://app.clickup.com/t/8698jrxaj", "[slipstream - data warehouse solution - git (productization)] Snowflake Setup and Configuration")</f>
        <v>[slipstream - data warehouse solution - git (productization)] Snowflake Setup and Configuration</v>
      </c>
      <c r="H30" t="str">
        <f>HYPERLINK("https://app.clickup.com/t/86931cq82", "[certification] Alteryx")</f>
        <v>[certification] Alteryx</v>
      </c>
      <c r="J30" t="str">
        <f>HYPERLINK("https://app.clickup.com/t/8696kqh8k", "[internal projects] Tableau server Microsoft Teams app set up")</f>
        <v>[internal projects] Tableau server Microsoft Teams app set up</v>
      </c>
      <c r="K30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  <c r="L30" t="str">
        <f>HYPERLINK("https://app.clickup.com/t/8698jupt0", "[slipstream - data warehouse solution - git (productization)] Build the PowerBI reports for monitoring data Stage progress")</f>
        <v>[slipstream - data warehouse solution - git (productization)] Build the PowerBI reports for monitoring data Stage progress</v>
      </c>
      <c r="O30" t="str">
        <f>HYPERLINK("https://app.clickup.com/t/869a6vnq6", "[om: fatca 2.0 design implementation project (jira tasks)] CDC-2757 Market Conduct: Provide time estimates for deliverables")</f>
        <v>[om: fatca 2.0 design implementation project (jira tasks)] CDC-2757 Market Conduct: Provide time estimates for deliverables</v>
      </c>
      <c r="R30" t="str">
        <f>HYPERLINK("https://app.clickup.com/t/8698jrq49", "[slipstream - data warehouse solution - git (productization)] Testing - data Audit processes")</f>
        <v>[slipstream - data warehouse solution - git (productization)] Testing - data Audit processes</v>
      </c>
    </row>
    <row r="31" spans="1:18" x14ac:dyDescent="0.3">
      <c r="B31" t="str">
        <f>HYPERLINK("https://app.clickup.com/t/869474qb4", "[internal projects] Commit code to GitHub")</f>
        <v>[internal projects] Commit code to GitHub</v>
      </c>
      <c r="C31" t="str">
        <f>HYPERLINK("https://app.clickup.com/t/862k18nwr", "[internal projects] SLA performance for each customer")</f>
        <v>[internal projects] SLA performance for each customer</v>
      </c>
      <c r="F31" t="str">
        <f>HYPERLINK("https://app.clickup.com/t/8698jrq40", "[slipstream - data warehouse solution - git (productization)] Optimisation and Enhancemnets post testing")</f>
        <v>[slipstream - data warehouse solution - git (productization)] Optimisation and Enhancemnets post testing</v>
      </c>
      <c r="J31" t="str">
        <f>HYPERLINK("https://app.clickup.com/t/869474qb4", "[internal projects] Commit code to GitHub")</f>
        <v>[internal projects] Commit code to GitHub</v>
      </c>
      <c r="K31" t="str">
        <f>HYPERLINK("https://app.clickup.com/t/869474qb4", "[internal projects] Commit code to GitHub")</f>
        <v>[internal projects] Commit code to GitHub</v>
      </c>
      <c r="L31" t="str">
        <f>HYPERLINK("https://app.clickup.com/t/8698jrq3g", "[slipstream - data warehouse solution - git (productization)] Orchestration")</f>
        <v>[slipstream - data warehouse solution - git (productization)] Orchestration</v>
      </c>
      <c r="O31" t="str">
        <f>HYPERLINK("https://app.clickup.com/t/869a1x6nk", "[om: fatca 2.0 design implementation project (jira tasks)] CDC-2062 Highlight where field values do not map to static reference tables in the raw schema")</f>
        <v>[om: fatca 2.0 design implementation project (jira tasks)] CDC-2062 Highlight where field values do not map to static reference tables in the raw schema</v>
      </c>
      <c r="R31" t="str">
        <f>HYPERLINK("https://app.clickup.com/t/8698jrq3g", "[slipstream - data warehouse solution - git (productization)] Orchestration")</f>
        <v>[slipstream - data warehouse solution - git (productization)] Orchestration</v>
      </c>
    </row>
    <row r="32" spans="1:18" x14ac:dyDescent="0.3">
      <c r="C32" t="str">
        <f>HYPERLINK("https://app.clickup.com/t/8694x2b1k", "[certification] Alteryx Designer Advanced")</f>
        <v>[certification] Alteryx Designer Advanced</v>
      </c>
      <c r="F32" t="str">
        <f>HYPERLINK("https://app.clickup.com/t/869474qb4", "[internal projects] Commit code to GitHub")</f>
        <v>[internal projects] Commit code to GitHub</v>
      </c>
      <c r="J32" t="str">
        <f>HYPERLINK("https://app.clickup.com/t/8698rmb2r", "[certification] AWS Certified Solutions Architect - Associate")</f>
        <v>[certification] AWS Certified Solutions Architect - Associate</v>
      </c>
      <c r="K32" t="str">
        <f>HYPERLINK("https://app.clickup.com/t/86971xvd4", "[discovery invest - dw maintenance] Run the file extracts")</f>
        <v>[discovery invest - dw maintenance] Run the file extracts</v>
      </c>
      <c r="O32" t="str">
        <f>HYPERLINK("https://app.clickup.com/t/869a1bu7g", "[om: fatca 2.0 design implementation project (jira tasks)] CDC-2563 Business Rule - Tax Free investments")</f>
        <v>[om: fatca 2.0 design implementation project (jira tasks)] CDC-2563 Business Rule - Tax Free investments</v>
      </c>
      <c r="R32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</row>
    <row r="33" spans="6:18" x14ac:dyDescent="0.3">
      <c r="F33" t="str">
        <f>HYPERLINK("https://app.clickup.com/t/86931cq56", "[certification] Snowflake")</f>
        <v>[certification] Snowflake</v>
      </c>
      <c r="K33" t="str">
        <f>HYPERLINK("https://app.clickup.com/t/86971xv4x", "[discovery invest - dw maintenance] Validating the marts")</f>
        <v>[discovery invest - dw maintenance] Validating the marts</v>
      </c>
      <c r="O33" t="str">
        <f>HYPERLINK("https://app.clickup.com/t/869a01gfm", "[om: fatca 2.0 design implementation project (jira tasks)] CDC-2509 Investigate subset where controlling person and entity has different entity_ids")</f>
        <v>[om: fatca 2.0 design implementation project (jira tasks)] CDC-2509 Investigate subset where controlling person and entity has different entity_ids</v>
      </c>
      <c r="R33" t="str">
        <f>HYPERLINK("https://app.clickup.com/t/869ag79ab", "[internal projects] Test Framework UAT doc")</f>
        <v>[internal projects] Test Framework UAT doc</v>
      </c>
    </row>
    <row r="34" spans="6:18" x14ac:dyDescent="0.3">
      <c r="K34" t="str">
        <f>HYPERLINK("https://app.clickup.com/t/86971xv04", "[discovery invest - dw maintenance] Run mart code")</f>
        <v>[discovery invest - dw maintenance] Run mart code</v>
      </c>
      <c r="O34" t="str">
        <f>HYPERLINK("https://app.clickup.com/t/8699yvvh7", "[om: fatca 2.0 design implementation project (jira tasks)] CDC-2560 SARS TPAH Template Update the rule to avoid referencing the database table")</f>
        <v>[om: fatca 2.0 design implementation project (jira tasks)] CDC-2560 SARS TPAH Template Update the rule to avoid referencing the database table</v>
      </c>
      <c r="R34" t="str">
        <f>HYPERLINK("https://app.clickup.com/t/869a70f9p", "[internal projects] Billed VS Invoiced VS SLA")</f>
        <v>[internal projects] Billed VS Invoiced VS SLA</v>
      </c>
    </row>
    <row r="35" spans="6:18" x14ac:dyDescent="0.3">
      <c r="K35" t="str">
        <f>HYPERLINK("https://app.clickup.com/t/86971xur8", "[discovery invest - dw maintenance] Run implied deletes code")</f>
        <v>[discovery invest - dw maintenance] Run implied deletes code</v>
      </c>
      <c r="O35" t="str">
        <f>HYPERLINK("https://app.clickup.com/t/8699yvveh", "[om: fatca 2.0 design implementation project (jira tasks)] CDC-2559 SARS TPAH Template Remove all spaces and special characters")</f>
        <v>[om: fatca 2.0 design implementation project (jira tasks)] CDC-2559 SARS TPAH Template Remove all spaces and special characters</v>
      </c>
      <c r="R35" t="str">
        <f>HYPERLINK("https://app.clickup.com/t/8697xudfa", "[internal projects] Income statement dashboard")</f>
        <v>[internal projects] Income statement dashboard</v>
      </c>
    </row>
    <row r="36" spans="6:18" x14ac:dyDescent="0.3">
      <c r="K36" t="str">
        <f>HYPERLINK("https://app.clickup.com/t/86971xtt3", "[discovery invest - dw maintenance] Validating the DWH")</f>
        <v>[discovery invest - dw maintenance] Validating the DWH</v>
      </c>
      <c r="R36" t="str">
        <f>HYPERLINK("https://app.clickup.com/t/8697t8mu2", "[internal projects] Sales Dashboard Additional requirements")</f>
        <v>[internal projects] Sales Dashboard Additional requirements</v>
      </c>
    </row>
    <row r="37" spans="6:18" x14ac:dyDescent="0.3">
      <c r="O37" t="str">
        <f>HYPERLINK("https://app.clickup.com/t/8699yvuqh", "[om: fatca 2.0 design implementation project (jira tasks)] CDC-2555 Entities former COB")</f>
        <v>[om: fatca 2.0 design implementation project (jira tasks)] CDC-2555 Entities former COB</v>
      </c>
      <c r="R37" t="str">
        <f>HYPERLINK("https://app.clickup.com/t/8697my8gd", "[internal projects] Financial and Sales Dashboard enhancement")</f>
        <v>[internal projects] Financial and Sales Dashboard enhancement</v>
      </c>
    </row>
    <row r="38" spans="6:18" x14ac:dyDescent="0.3">
      <c r="O38" t="str">
        <f>HYPERLINK("https://app.clickup.com/t/8699yvtjg", "[om: fatca 2.0 design implementation project (jira tasks)] CDC-2553 Flexcube SARS Templates - rename the RFI to source system code at scheme level")</f>
        <v>[om: fatca 2.0 design implementation project (jira tasks)] CDC-2553 Flexcube SARS Templates - rename the RFI to source system code at scheme level</v>
      </c>
      <c r="R38" t="str">
        <f>HYPERLINK("https://app.clickup.com/t/8696yar98", "[internal projects] Resource Utilization Dashboard Refinements")</f>
        <v>[internal projects] Resource Utilization Dashboard Refinements</v>
      </c>
    </row>
    <row r="39" spans="6:18" x14ac:dyDescent="0.3">
      <c r="O39" t="str">
        <f>HYPERLINK("https://app.clickup.com/t/8699yvruw", "[om: fatca 2.0 design implementation project (jira tasks)] CDC-2561 Diminmus rules to be applied at scheme level and not at OMUT level")</f>
        <v>[om: fatca 2.0 design implementation project (jira tasks)] CDC-2561 Diminmus rules to be applied at scheme level and not at OMUT level</v>
      </c>
      <c r="R39" t="str">
        <f>HYPERLINK("https://app.clickup.com/t/8696u6wyy", "[internal projects] Alteryx Server SLA Report process")</f>
        <v>[internal projects] Alteryx Server SLA Report process</v>
      </c>
    </row>
    <row r="40" spans="6:18" x14ac:dyDescent="0.3">
      <c r="O40" t="str">
        <f>HYPERLINK("https://app.clickup.com/t/8699yvra6", "[om: fatca 2.0 design implementation project (jira tasks)] CDC-2554 Entities COB")</f>
        <v>[om: fatca 2.0 design implementation project (jira tasks)] CDC-2554 Entities COB</v>
      </c>
      <c r="R40" t="str">
        <f>HYPERLINK("https://app.clickup.com/t/8695mj63r", "[internal projects] Shoprite B2B SLA Document")</f>
        <v>[internal projects] Shoprite B2B SLA Document</v>
      </c>
    </row>
    <row r="41" spans="6:18" x14ac:dyDescent="0.3">
      <c r="R41" t="str">
        <f>HYPERLINK("https://app.clickup.com/t/869474qb4", "[internal projects] Commit code to GitHub")</f>
        <v>[internal projects] Commit code to GitHub</v>
      </c>
    </row>
    <row r="42" spans="6:18" x14ac:dyDescent="0.3">
      <c r="R42" t="str">
        <f>HYPERLINK("https://app.clickup.com/t/869agp147", "[certification] Snowflake Sales Professional")</f>
        <v>[certification] Snowflake Sales Professional</v>
      </c>
    </row>
    <row r="43" spans="6:18" x14ac:dyDescent="0.3">
      <c r="R43" t="str">
        <f>HYPERLINK("https://app.clickup.com/t/869agp0uz", "[certification] Snowflake Technical Sales Professional")</f>
        <v>[certification] Snowflake Technical Sales Professional</v>
      </c>
    </row>
    <row r="44" spans="6:18" x14ac:dyDescent="0.3">
      <c r="R44" t="str">
        <f>HYPERLINK("https://app.clickup.com/t/869af829t", "[certification] Salesforce Certified Agentforce Specialist")</f>
        <v>[certification] Salesforce Certified Agentforce Specialist</v>
      </c>
    </row>
    <row r="45" spans="6:18" x14ac:dyDescent="0.3">
      <c r="R45" t="str">
        <f>HYPERLINK("https://app.clickup.com/t/869ab9g7u", "[certification] AWS Data Engineer - Associate")</f>
        <v>[certification] AWS Data Engineer - Associate</v>
      </c>
    </row>
    <row r="46" spans="6:18" x14ac:dyDescent="0.3">
      <c r="R46" t="str">
        <f>HYPERLINK("https://app.clickup.com/t/869b6v0gh", "[om: fatca 2.0 design implementation project (jira tasks)] CDC-2562 Develop a Foreigners List dashboard")</f>
        <v>[om: fatca 2.0 design implementation project (jira tasks)] CDC-2562 Develop a Foreigners List dashboard</v>
      </c>
    </row>
    <row r="47" spans="6:18" x14ac:dyDescent="0.3">
      <c r="R47" t="str">
        <f>HYPERLINK("https://app.clickup.com/t/869ax6j44", "[om: fatca 2.0 design implementation project (jira tasks)] Titanium Reports")</f>
        <v>[om: fatca 2.0 design implementation project (jira tasks)] Titanium Reports</v>
      </c>
    </row>
    <row r="48" spans="6:18" x14ac:dyDescent="0.3">
      <c r="R48" t="str">
        <f>HYPERLINK("https://app.clickup.com/t/869ax6j0z", "[om: fatca 2.0 design implementation project (jira tasks)] CDC-3034-aws-s3-bucket-investigation")</f>
        <v>[om: fatca 2.0 design implementation project (jira tasks)] CDC-3034-aws-s3-bucket-investigation</v>
      </c>
    </row>
    <row r="49" spans="18:18" x14ac:dyDescent="0.3">
      <c r="R49" t="str">
        <f>HYPERLINK("https://app.clickup.com/t/869avjm5f", "[om: fatca 2.0 design implementation project (jira tasks)] CBR Quarterly Run")</f>
        <v>[om: fatca 2.0 design implementation project (jira tasks)] CBR Quarterly Run</v>
      </c>
    </row>
    <row r="50" spans="18:18" x14ac:dyDescent="0.3">
      <c r="R50" t="str">
        <f>HYPERLINK("https://app.clickup.com/t/869auvvmp", "[om: fatca 2.0 design implementation project (jira tasks)] Advisor Recon Report Manual Run")</f>
        <v>[om: fatca 2.0 design implementation project (jira tasks)] Advisor Recon Report Manual Run</v>
      </c>
    </row>
    <row r="51" spans="18:18" x14ac:dyDescent="0.3">
      <c r="R51" t="str">
        <f>HYPERLINK("https://app.clickup.com/t/869arkz3a", "[om: fatca 2.0 design implementation project (jira tasks)] CDC-2914 Create Test Cases Cura Reg Change (Framework) Dashboard")</f>
        <v>[om: fatca 2.0 design implementation project (jira tasks)] CDC-2914 Create Test Cases Cura Reg Change (Framework) Dashboard</v>
      </c>
    </row>
    <row r="52" spans="18:18" x14ac:dyDescent="0.3">
      <c r="R52" t="str">
        <f>HYPERLINK("https://app.clickup.com/t/869am7mt7", "[om: fatca 2.0 design implementation project (jira tasks)] CDC-2913 Cura Reg Change Dashboard Modifications")</f>
        <v>[om: fatca 2.0 design implementation project (jira tasks)] CDC-2913 Cura Reg Change Dashboard Modifications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R52"/>
  <sheetViews>
    <sheetView workbookViewId="0"/>
  </sheetViews>
  <sheetFormatPr defaultRowHeight="14.4" x14ac:dyDescent="0.3"/>
  <cols>
    <col min="1" max="1" width="20" customWidth="1"/>
    <col min="2" max="18" width="50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</row>
    <row r="3" spans="1:17" x14ac:dyDescent="0.3">
      <c r="A3" t="s">
        <v>18</v>
      </c>
      <c r="B3" t="s">
        <v>44</v>
      </c>
      <c r="C3" t="s">
        <v>44</v>
      </c>
      <c r="D3" t="s">
        <v>44</v>
      </c>
      <c r="E3" t="s">
        <v>44</v>
      </c>
      <c r="F3" t="s">
        <v>44</v>
      </c>
      <c r="G3" t="s">
        <v>44</v>
      </c>
      <c r="H3" t="s">
        <v>44</v>
      </c>
      <c r="I3" t="s">
        <v>67</v>
      </c>
      <c r="J3" t="s">
        <v>44</v>
      </c>
      <c r="K3" t="s">
        <v>44</v>
      </c>
      <c r="L3" t="s">
        <v>44</v>
      </c>
      <c r="M3" t="s">
        <v>44</v>
      </c>
      <c r="N3" t="s">
        <v>44</v>
      </c>
      <c r="O3" t="s">
        <v>44</v>
      </c>
      <c r="P3" t="s">
        <v>44</v>
      </c>
      <c r="Q3" t="s">
        <v>44</v>
      </c>
    </row>
    <row r="4" spans="1:17" x14ac:dyDescent="0.3">
      <c r="A4" t="s">
        <v>19</v>
      </c>
      <c r="B4" t="s">
        <v>82</v>
      </c>
      <c r="E4" t="s">
        <v>46</v>
      </c>
      <c r="G4" t="s">
        <v>68</v>
      </c>
      <c r="L4" t="s">
        <v>47</v>
      </c>
    </row>
    <row r="5" spans="1:17" x14ac:dyDescent="0.3">
      <c r="A5" t="s">
        <v>20</v>
      </c>
      <c r="B5" t="s">
        <v>83</v>
      </c>
      <c r="C5" t="s">
        <v>70</v>
      </c>
      <c r="D5" t="s">
        <v>70</v>
      </c>
      <c r="E5" t="s">
        <v>71</v>
      </c>
      <c r="G5" t="s">
        <v>48</v>
      </c>
      <c r="J5" t="s">
        <v>70</v>
      </c>
      <c r="K5" t="s">
        <v>70</v>
      </c>
      <c r="L5" t="s">
        <v>72</v>
      </c>
      <c r="M5" t="s">
        <v>70</v>
      </c>
      <c r="N5" t="s">
        <v>70</v>
      </c>
      <c r="P5" t="s">
        <v>70</v>
      </c>
      <c r="Q5" t="s">
        <v>70</v>
      </c>
    </row>
    <row r="6" spans="1:17" x14ac:dyDescent="0.3">
      <c r="A6" t="s">
        <v>21</v>
      </c>
      <c r="B6" t="s">
        <v>84</v>
      </c>
      <c r="D6" t="s">
        <v>49</v>
      </c>
      <c r="E6" t="s">
        <v>46</v>
      </c>
      <c r="F6" t="s">
        <v>85</v>
      </c>
      <c r="G6" t="s">
        <v>48</v>
      </c>
      <c r="J6" t="s">
        <v>49</v>
      </c>
      <c r="L6" t="s">
        <v>47</v>
      </c>
    </row>
    <row r="7" spans="1:17" x14ac:dyDescent="0.3">
      <c r="A7" t="s">
        <v>22</v>
      </c>
      <c r="B7" t="s">
        <v>82</v>
      </c>
      <c r="E7" t="s">
        <v>46</v>
      </c>
      <c r="L7" t="s">
        <v>47</v>
      </c>
    </row>
    <row r="8" spans="1:17" x14ac:dyDescent="0.3">
      <c r="A8" t="s">
        <v>23</v>
      </c>
      <c r="B8" t="s">
        <v>82</v>
      </c>
      <c r="E8" t="s">
        <v>46</v>
      </c>
      <c r="Q8" t="s">
        <v>52</v>
      </c>
    </row>
    <row r="9" spans="1:17" x14ac:dyDescent="0.3">
      <c r="A9" t="s">
        <v>24</v>
      </c>
      <c r="B9" t="s">
        <v>82</v>
      </c>
      <c r="E9" t="s">
        <v>46</v>
      </c>
      <c r="Q9" t="s">
        <v>52</v>
      </c>
    </row>
    <row r="10" spans="1:17" x14ac:dyDescent="0.3">
      <c r="A10" t="s">
        <v>25</v>
      </c>
      <c r="B10" t="s">
        <v>82</v>
      </c>
      <c r="H10" t="s">
        <v>54</v>
      </c>
      <c r="Q10" t="s">
        <v>52</v>
      </c>
    </row>
    <row r="11" spans="1:17" x14ac:dyDescent="0.3">
      <c r="A11" t="s">
        <v>26</v>
      </c>
      <c r="B11" t="s">
        <v>82</v>
      </c>
      <c r="H11" t="s">
        <v>54</v>
      </c>
      <c r="Q11" t="s">
        <v>52</v>
      </c>
    </row>
    <row r="12" spans="1:17" x14ac:dyDescent="0.3">
      <c r="A12" t="s">
        <v>27</v>
      </c>
      <c r="B12" t="s">
        <v>123</v>
      </c>
      <c r="C12" t="s">
        <v>124</v>
      </c>
      <c r="D12" t="s">
        <v>124</v>
      </c>
      <c r="E12" t="s">
        <v>124</v>
      </c>
      <c r="F12" t="s">
        <v>124</v>
      </c>
      <c r="G12" t="s">
        <v>75</v>
      </c>
      <c r="H12" t="s">
        <v>54</v>
      </c>
      <c r="K12" t="s">
        <v>124</v>
      </c>
      <c r="L12" t="s">
        <v>124</v>
      </c>
      <c r="M12" t="s">
        <v>124</v>
      </c>
      <c r="N12" t="s">
        <v>124</v>
      </c>
      <c r="Q12" t="s">
        <v>125</v>
      </c>
    </row>
    <row r="13" spans="1:17" x14ac:dyDescent="0.3">
      <c r="A13" t="s">
        <v>28</v>
      </c>
      <c r="B13" t="s">
        <v>123</v>
      </c>
      <c r="C13" t="s">
        <v>124</v>
      </c>
      <c r="D13" t="s">
        <v>124</v>
      </c>
      <c r="E13" t="s">
        <v>124</v>
      </c>
      <c r="F13" t="s">
        <v>124</v>
      </c>
      <c r="G13" t="s">
        <v>75</v>
      </c>
      <c r="H13" t="s">
        <v>54</v>
      </c>
      <c r="K13" t="s">
        <v>124</v>
      </c>
      <c r="L13" t="s">
        <v>124</v>
      </c>
      <c r="M13" t="s">
        <v>124</v>
      </c>
      <c r="N13" t="s">
        <v>124</v>
      </c>
      <c r="Q13" t="s">
        <v>126</v>
      </c>
    </row>
    <row r="14" spans="1:17" x14ac:dyDescent="0.3">
      <c r="A14" t="s">
        <v>29</v>
      </c>
      <c r="B14" t="s">
        <v>123</v>
      </c>
      <c r="C14" t="s">
        <v>124</v>
      </c>
      <c r="D14" t="s">
        <v>124</v>
      </c>
      <c r="E14" t="s">
        <v>124</v>
      </c>
      <c r="F14" t="s">
        <v>124</v>
      </c>
      <c r="G14" t="s">
        <v>75</v>
      </c>
      <c r="K14" t="s">
        <v>124</v>
      </c>
      <c r="L14" t="s">
        <v>124</v>
      </c>
      <c r="M14" t="s">
        <v>124</v>
      </c>
      <c r="N14" t="s">
        <v>124</v>
      </c>
      <c r="Q14" t="s">
        <v>126</v>
      </c>
    </row>
    <row r="15" spans="1:17" x14ac:dyDescent="0.3">
      <c r="A15" t="s">
        <v>30</v>
      </c>
      <c r="B15" t="s">
        <v>123</v>
      </c>
      <c r="C15" t="s">
        <v>124</v>
      </c>
      <c r="D15" t="s">
        <v>124</v>
      </c>
      <c r="E15" t="s">
        <v>124</v>
      </c>
      <c r="F15" t="s">
        <v>124</v>
      </c>
      <c r="G15" t="s">
        <v>75</v>
      </c>
      <c r="K15" t="s">
        <v>124</v>
      </c>
      <c r="L15" t="s">
        <v>124</v>
      </c>
      <c r="M15" t="s">
        <v>124</v>
      </c>
      <c r="N15" t="s">
        <v>124</v>
      </c>
      <c r="Q15" t="s">
        <v>126</v>
      </c>
    </row>
    <row r="16" spans="1:17" x14ac:dyDescent="0.3">
      <c r="A16" t="s">
        <v>31</v>
      </c>
      <c r="B16" t="s">
        <v>82</v>
      </c>
    </row>
    <row r="17" spans="1:18" x14ac:dyDescent="0.3">
      <c r="A17" t="s">
        <v>32</v>
      </c>
      <c r="B17" t="s">
        <v>82</v>
      </c>
    </row>
    <row r="18" spans="1:18" x14ac:dyDescent="0.3">
      <c r="A18" t="s">
        <v>33</v>
      </c>
      <c r="E18" t="s">
        <v>81</v>
      </c>
      <c r="G18" t="s">
        <v>68</v>
      </c>
      <c r="L18" t="s">
        <v>65</v>
      </c>
      <c r="Q18" t="s">
        <v>66</v>
      </c>
    </row>
    <row r="19" spans="1:18" x14ac:dyDescent="0.3">
      <c r="A19" t="s">
        <v>34</v>
      </c>
      <c r="E19" t="s">
        <v>81</v>
      </c>
      <c r="L19" t="s">
        <v>65</v>
      </c>
      <c r="Q19" t="s">
        <v>66</v>
      </c>
    </row>
    <row r="20" spans="1:18" x14ac:dyDescent="0.3">
      <c r="A20" t="s">
        <v>35</v>
      </c>
    </row>
    <row r="21" spans="1:18" x14ac:dyDescent="0.3">
      <c r="A21" t="s">
        <v>36</v>
      </c>
    </row>
    <row r="24" spans="1:18" x14ac:dyDescent="0.3">
      <c r="A24" t="s">
        <v>37</v>
      </c>
      <c r="B24">
        <f t="shared" ref="B24:Q24" si="0">ROUND(COUNTIF(B2:B19,"&lt;&gt;")/18,4)</f>
        <v>0.83330000000000004</v>
      </c>
      <c r="C24">
        <f t="shared" si="0"/>
        <v>0.33329999999999999</v>
      </c>
      <c r="D24">
        <f t="shared" si="0"/>
        <v>0.38890000000000002</v>
      </c>
      <c r="E24">
        <f t="shared" si="0"/>
        <v>0.72219999999999995</v>
      </c>
      <c r="F24">
        <f t="shared" si="0"/>
        <v>0.33329999999999999</v>
      </c>
      <c r="G24">
        <f t="shared" si="0"/>
        <v>0.5</v>
      </c>
      <c r="H24">
        <f t="shared" si="0"/>
        <v>0.27779999999999999</v>
      </c>
      <c r="I24">
        <f t="shared" si="0"/>
        <v>5.5599999999999997E-2</v>
      </c>
      <c r="J24">
        <f t="shared" si="0"/>
        <v>0.16669999999999999</v>
      </c>
      <c r="K24">
        <f t="shared" si="0"/>
        <v>0.33329999999999999</v>
      </c>
      <c r="L24">
        <f t="shared" si="0"/>
        <v>0.61109999999999998</v>
      </c>
      <c r="M24">
        <f t="shared" si="0"/>
        <v>0.33329999999999999</v>
      </c>
      <c r="N24">
        <f t="shared" si="0"/>
        <v>0.33329999999999999</v>
      </c>
      <c r="O24">
        <f t="shared" si="0"/>
        <v>5.5599999999999997E-2</v>
      </c>
      <c r="P24">
        <f t="shared" si="0"/>
        <v>0.1111</v>
      </c>
      <c r="Q24">
        <f t="shared" si="0"/>
        <v>0.66669999999999996</v>
      </c>
    </row>
    <row r="27" spans="1:18" x14ac:dyDescent="0.3">
      <c r="A27" t="s">
        <v>38</v>
      </c>
      <c r="B27" t="s">
        <v>39</v>
      </c>
      <c r="C27" t="s">
        <v>2</v>
      </c>
      <c r="D27" t="s">
        <v>3</v>
      </c>
      <c r="E27" t="s">
        <v>4</v>
      </c>
      <c r="F27" t="s">
        <v>40</v>
      </c>
      <c r="G27" t="s">
        <v>6</v>
      </c>
      <c r="H27" t="s">
        <v>7</v>
      </c>
      <c r="I27" t="s">
        <v>8</v>
      </c>
      <c r="J27" t="s">
        <v>9</v>
      </c>
      <c r="K27" t="s">
        <v>10</v>
      </c>
      <c r="L27" t="s">
        <v>11</v>
      </c>
      <c r="M27" t="s">
        <v>41</v>
      </c>
      <c r="N27" t="s">
        <v>13</v>
      </c>
      <c r="O27" t="s">
        <v>14</v>
      </c>
      <c r="P27" t="s">
        <v>15</v>
      </c>
      <c r="Q27" t="s">
        <v>16</v>
      </c>
      <c r="R27" t="s">
        <v>42</v>
      </c>
    </row>
    <row r="28" spans="1:18" x14ac:dyDescent="0.3">
      <c r="B28" t="str">
        <f>HYPERLINK("https://app.clickup.com/t/8698kwuqq", "[slipstream - data warehouse solution - git (productization)] Design and Build Costing reports in Snowflake")</f>
        <v>[slipstream - data warehouse solution - git (productization)] Design and Build Costing reports in Snowflake</v>
      </c>
      <c r="C28" t="str">
        <f>HYPERLINK("https://app.clickup.com/t/86995td5m", "[slipstream - data warehouse solution - git (productization)] Build the data deployment pipelines for DEV to QA")</f>
        <v>[slipstream - data warehouse solution - git (productization)] Build the data deployment pipelines for DEV to QA</v>
      </c>
      <c r="D28" t="str">
        <f>HYPERLINK("https://app.clickup.com/t/86995td5m", "[slipstream - data warehouse solution - git (productization)] Build the data deployment pipelines for DEV to QA")</f>
        <v>[slipstream - data warehouse solution - git (productization)] Build the data deployment pipelines for DEV to QA</v>
      </c>
      <c r="F28" t="str">
        <f>HYPERLINK("https://app.clickup.com/t/869a2knmy", "[slipstream - data warehouse solution - git (productization)] Create views as exploitation layer out of data lake")</f>
        <v>[slipstream - data warehouse solution - git (productization)] Create views as exploitation layer out of data lake</v>
      </c>
      <c r="G28" t="str">
        <f>HYPERLINK("https://app.clickup.com/t/869474qb4", "[internal projects] Commit code to GitHub")</f>
        <v>[internal projects] Commit code to GitHub</v>
      </c>
      <c r="H28" t="str">
        <f>HYPERLINK("https://app.clickup.com/t/869474qb4", "[internal projects] Commit code to GitHub")</f>
        <v>[internal projects] Commit code to GitHub</v>
      </c>
      <c r="I28" t="str">
        <f>HYPERLINK("https://app.clickup.com/t/869atfeg3", "[freshdesk] 1375 FPM Look through results compared to Reg30 rounding differences")</f>
        <v>[freshdesk] 1375 FPM Look through results compared to Reg30 rounding differences</v>
      </c>
      <c r="J28" t="str">
        <f>HYPERLINK("https://app.clickup.com/t/869bd0zxj", "[freshdesk] 1430 Athena Connection Setup")</f>
        <v>[freshdesk] 1430 Athena Connection Setup</v>
      </c>
      <c r="K28" t="str">
        <f>HYPERLINK("https://app.clickup.com/t/8698jrq49", "[slipstream - data warehouse solution - git (productization)] Testing - data Audit processes")</f>
        <v>[slipstream - data warehouse solution - git (productization)] Testing - data Audit processes</v>
      </c>
      <c r="L28" t="str">
        <f>HYPERLINK("https://app.clickup.com/t/869a5344p", "[freshdesk] Documentation")</f>
        <v>[freshdesk] Documentation</v>
      </c>
      <c r="O28" t="str">
        <f>HYPERLINK("https://app.clickup.com/t/869474qb4", "[internal projects] Commit code to GitHub")</f>
        <v>[internal projects] Commit code to GitHub</v>
      </c>
      <c r="P28" t="str">
        <f>HYPERLINK("https://app.clickup.com/t/869bd6a0f", "[wonga: data warehouse development &amp; migration onto snowflake project] Dim_Funnel_Checks")</f>
        <v>[wonga: data warehouse development &amp; migration onto snowflake project] Dim_Funnel_Checks</v>
      </c>
      <c r="R28" t="str">
        <f>HYPERLINK("https://app.clickup.com/t/869bbt350", "[freshdesk] 1428 SSO Intergations for data connections within Alteryx")</f>
        <v>[freshdesk] 1428 SSO Intergations for data connections within Alteryx</v>
      </c>
    </row>
    <row r="29" spans="1:18" x14ac:dyDescent="0.3">
      <c r="B29" t="str">
        <f>HYPERLINK("https://app.clickup.com/t/8698jrq4e", "[slipstream - data warehouse solution - git (productization)] Support. Includes platform optimisation, query optimisation etc.")</f>
        <v>[slipstream - data warehouse solution - git (productization)] Support. Includes platform optimisation, query optimisation etc.</v>
      </c>
      <c r="C29" t="str">
        <f>HYPERLINK("https://app.clickup.com/t/8695qbamh", "[internal projects] Testing")</f>
        <v>[internal projects] Testing</v>
      </c>
      <c r="D29" t="str">
        <f>HYPERLINK("https://app.clickup.com/t/869474qb4", "[internal projects] Commit code to GitHub")</f>
        <v>[internal projects] Commit code to GitHub</v>
      </c>
      <c r="F29" t="str">
        <f>HYPERLINK("https://app.clickup.com/t/8698kwuqq", "[slipstream - data warehouse solution - git (productization)] Design and Build Costing reports in Snowflake")</f>
        <v>[slipstream - data warehouse solution - git (productization)] Design and Build Costing reports in Snowflake</v>
      </c>
      <c r="G29" t="str">
        <f>HYPERLINK("https://app.clickup.com/t/8696c93m9", "[discovery invest - dw maintenance] Change LAst_seed_Process = 2 for 7 tables")</f>
        <v>[discovery invest - dw maintenance] Change LAst_seed_Process = 2 for 7 tables</v>
      </c>
      <c r="H29" t="str">
        <f>HYPERLINK("https://app.clickup.com/t/862k4g368", "[internal projects] Integrate data to Tableau report")</f>
        <v>[internal projects] Integrate data to Tableau report</v>
      </c>
      <c r="I29" t="str">
        <f>HYPERLINK("https://app.clickup.com/t/869474qb4", "[internal projects] Commit code to GitHub")</f>
        <v>[internal projects] Commit code to GitHub</v>
      </c>
      <c r="J29" t="str">
        <f>HYPERLINK("https://app.clickup.com/t/8696q3a3m", "[internal projects] Team Skills")</f>
        <v>[internal projects] Team Skills</v>
      </c>
      <c r="K29" t="str">
        <f>HYPERLINK("https://app.clickup.com/t/8698jrq40", "[slipstream - data warehouse solution - git (productization)] Optimisation and Enhancemnets post testing")</f>
        <v>[slipstream - data warehouse solution - git (productization)] Optimisation and Enhancemnets post testing</v>
      </c>
      <c r="L29" t="str">
        <f>HYPERLINK("https://app.clickup.com/t/8698juq5h", "[slipstream - data warehouse solution - git (productization)] Build the PowerBI reports for monitoring data Lake progress")</f>
        <v>[slipstream - data warehouse solution - git (productization)] Build the PowerBI reports for monitoring data Lake progress</v>
      </c>
      <c r="O29" t="str">
        <f>HYPERLINK("https://app.clickup.com/t/869a9nmh7", "[om: fatca 2.0 design implementation project (jira tasks)] CDC-2626 Setup Non-prod and Prod space on Alteryx Servers")</f>
        <v>[om: fatca 2.0 design implementation project (jira tasks)] CDC-2626 Setup Non-prod and Prod space on Alteryx Servers</v>
      </c>
      <c r="R29" t="str">
        <f>HYPERLINK("https://app.clickup.com/t/869b88fev", "[freshdesk] 1421 OTIF Schedule date changes")</f>
        <v>[freshdesk] 1421 OTIF Schedule date changes</v>
      </c>
    </row>
    <row r="30" spans="1:18" x14ac:dyDescent="0.3">
      <c r="B30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  <c r="C30" t="str">
        <f>HYPERLINK("https://app.clickup.com/t/869474qb4", "[internal projects] Commit code to GitHub")</f>
        <v>[internal projects] Commit code to GitHub</v>
      </c>
      <c r="F30" t="str">
        <f>HYPERLINK("https://app.clickup.com/t/8698jrxaj", "[slipstream - data warehouse solution - git (productization)] Snowflake Setup and Configuration")</f>
        <v>[slipstream - data warehouse solution - git (productization)] Snowflake Setup and Configuration</v>
      </c>
      <c r="H30" t="str">
        <f>HYPERLINK("https://app.clickup.com/t/86931cq82", "[certification] Alteryx")</f>
        <v>[certification] Alteryx</v>
      </c>
      <c r="J30" t="str">
        <f>HYPERLINK("https://app.clickup.com/t/8696kqh8k", "[internal projects] Tableau server Microsoft Teams app set up")</f>
        <v>[internal projects] Tableau server Microsoft Teams app set up</v>
      </c>
      <c r="K30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  <c r="L30" t="str">
        <f>HYPERLINK("https://app.clickup.com/t/8698jupt0", "[slipstream - data warehouse solution - git (productization)] Build the PowerBI reports for monitoring data Stage progress")</f>
        <v>[slipstream - data warehouse solution - git (productization)] Build the PowerBI reports for monitoring data Stage progress</v>
      </c>
      <c r="O30" t="str">
        <f>HYPERLINK("https://app.clickup.com/t/869a6vnq6", "[om: fatca 2.0 design implementation project (jira tasks)] CDC-2757 Market Conduct: Provide time estimates for deliverables")</f>
        <v>[om: fatca 2.0 design implementation project (jira tasks)] CDC-2757 Market Conduct: Provide time estimates for deliverables</v>
      </c>
      <c r="R30" t="str">
        <f>HYPERLINK("https://app.clickup.com/t/8698jrq49", "[slipstream - data warehouse solution - git (productization)] Testing - data Audit processes")</f>
        <v>[slipstream - data warehouse solution - git (productization)] Testing - data Audit processes</v>
      </c>
    </row>
    <row r="31" spans="1:18" x14ac:dyDescent="0.3">
      <c r="B31" t="str">
        <f>HYPERLINK("https://app.clickup.com/t/869474qb4", "[internal projects] Commit code to GitHub")</f>
        <v>[internal projects] Commit code to GitHub</v>
      </c>
      <c r="C31" t="str">
        <f>HYPERLINK("https://app.clickup.com/t/862k18nwr", "[internal projects] SLA performance for each customer")</f>
        <v>[internal projects] SLA performance for each customer</v>
      </c>
      <c r="F31" t="str">
        <f>HYPERLINK("https://app.clickup.com/t/8698jrq40", "[slipstream - data warehouse solution - git (productization)] Optimisation and Enhancemnets post testing")</f>
        <v>[slipstream - data warehouse solution - git (productization)] Optimisation and Enhancemnets post testing</v>
      </c>
      <c r="J31" t="str">
        <f>HYPERLINK("https://app.clickup.com/t/869474qb4", "[internal projects] Commit code to GitHub")</f>
        <v>[internal projects] Commit code to GitHub</v>
      </c>
      <c r="K31" t="str">
        <f>HYPERLINK("https://app.clickup.com/t/869474qb4", "[internal projects] Commit code to GitHub")</f>
        <v>[internal projects] Commit code to GitHub</v>
      </c>
      <c r="L31" t="str">
        <f>HYPERLINK("https://app.clickup.com/t/8698jrq3g", "[slipstream - data warehouse solution - git (productization)] Orchestration")</f>
        <v>[slipstream - data warehouse solution - git (productization)] Orchestration</v>
      </c>
      <c r="O31" t="str">
        <f>HYPERLINK("https://app.clickup.com/t/869a1x6nk", "[om: fatca 2.0 design implementation project (jira tasks)] CDC-2062 Highlight where field values do not map to static reference tables in the raw schema")</f>
        <v>[om: fatca 2.0 design implementation project (jira tasks)] CDC-2062 Highlight where field values do not map to static reference tables in the raw schema</v>
      </c>
      <c r="R31" t="str">
        <f>HYPERLINK("https://app.clickup.com/t/8698jrq3g", "[slipstream - data warehouse solution - git (productization)] Orchestration")</f>
        <v>[slipstream - data warehouse solution - git (productization)] Orchestration</v>
      </c>
    </row>
    <row r="32" spans="1:18" x14ac:dyDescent="0.3">
      <c r="C32" t="str">
        <f>HYPERLINK("https://app.clickup.com/t/8694x2b1k", "[certification] Alteryx Designer Advanced")</f>
        <v>[certification] Alteryx Designer Advanced</v>
      </c>
      <c r="F32" t="str">
        <f>HYPERLINK("https://app.clickup.com/t/869474qb4", "[internal projects] Commit code to GitHub")</f>
        <v>[internal projects] Commit code to GitHub</v>
      </c>
      <c r="J32" t="str">
        <f>HYPERLINK("https://app.clickup.com/t/8698rmb2r", "[certification] AWS Certified Solutions Architect - Associate")</f>
        <v>[certification] AWS Certified Solutions Architect - Associate</v>
      </c>
      <c r="K32" t="str">
        <f>HYPERLINK("https://app.clickup.com/t/86971xvd4", "[discovery invest - dw maintenance] Run the file extracts")</f>
        <v>[discovery invest - dw maintenance] Run the file extracts</v>
      </c>
      <c r="O32" t="str">
        <f>HYPERLINK("https://app.clickup.com/t/869a1bu7g", "[om: fatca 2.0 design implementation project (jira tasks)] CDC-2563 Business Rule - Tax Free investments")</f>
        <v>[om: fatca 2.0 design implementation project (jira tasks)] CDC-2563 Business Rule - Tax Free investments</v>
      </c>
      <c r="R32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</row>
    <row r="33" spans="6:18" x14ac:dyDescent="0.3">
      <c r="F33" t="str">
        <f>HYPERLINK("https://app.clickup.com/t/86931cq56", "[certification] Snowflake")</f>
        <v>[certification] Snowflake</v>
      </c>
      <c r="K33" t="str">
        <f>HYPERLINK("https://app.clickup.com/t/86971xv4x", "[discovery invest - dw maintenance] Validating the marts")</f>
        <v>[discovery invest - dw maintenance] Validating the marts</v>
      </c>
      <c r="O33" t="str">
        <f>HYPERLINK("https://app.clickup.com/t/869a01gfm", "[om: fatca 2.0 design implementation project (jira tasks)] CDC-2509 Investigate subset where controlling person and entity has different entity_ids")</f>
        <v>[om: fatca 2.0 design implementation project (jira tasks)] CDC-2509 Investigate subset where controlling person and entity has different entity_ids</v>
      </c>
      <c r="R33" t="str">
        <f>HYPERLINK("https://app.clickup.com/t/869ag79ab", "[internal projects] Test Framework UAT doc")</f>
        <v>[internal projects] Test Framework UAT doc</v>
      </c>
    </row>
    <row r="34" spans="6:18" x14ac:dyDescent="0.3">
      <c r="K34" t="str">
        <f>HYPERLINK("https://app.clickup.com/t/86971xv04", "[discovery invest - dw maintenance] Run mart code")</f>
        <v>[discovery invest - dw maintenance] Run mart code</v>
      </c>
      <c r="O34" t="str">
        <f>HYPERLINK("https://app.clickup.com/t/8699yvvh7", "[om: fatca 2.0 design implementation project (jira tasks)] CDC-2560 SARS TPAH Template Update the rule to avoid referencing the database table")</f>
        <v>[om: fatca 2.0 design implementation project (jira tasks)] CDC-2560 SARS TPAH Template Update the rule to avoid referencing the database table</v>
      </c>
      <c r="R34" t="str">
        <f>HYPERLINK("https://app.clickup.com/t/869a70f9p", "[internal projects] Billed VS Invoiced VS SLA")</f>
        <v>[internal projects] Billed VS Invoiced VS SLA</v>
      </c>
    </row>
    <row r="35" spans="6:18" x14ac:dyDescent="0.3">
      <c r="K35" t="str">
        <f>HYPERLINK("https://app.clickup.com/t/86971xur8", "[discovery invest - dw maintenance] Run implied deletes code")</f>
        <v>[discovery invest - dw maintenance] Run implied deletes code</v>
      </c>
      <c r="O35" t="str">
        <f>HYPERLINK("https://app.clickup.com/t/8699yvveh", "[om: fatca 2.0 design implementation project (jira tasks)] CDC-2559 SARS TPAH Template Remove all spaces and special characters")</f>
        <v>[om: fatca 2.0 design implementation project (jira tasks)] CDC-2559 SARS TPAH Template Remove all spaces and special characters</v>
      </c>
      <c r="R35" t="str">
        <f>HYPERLINK("https://app.clickup.com/t/8697xudfa", "[internal projects] Income statement dashboard")</f>
        <v>[internal projects] Income statement dashboard</v>
      </c>
    </row>
    <row r="36" spans="6:18" x14ac:dyDescent="0.3">
      <c r="K36" t="str">
        <f>HYPERLINK("https://app.clickup.com/t/86971xtt3", "[discovery invest - dw maintenance] Validating the DWH")</f>
        <v>[discovery invest - dw maintenance] Validating the DWH</v>
      </c>
      <c r="R36" t="str">
        <f>HYPERLINK("https://app.clickup.com/t/8697t8mu2", "[internal projects] Sales Dashboard Additional requirements")</f>
        <v>[internal projects] Sales Dashboard Additional requirements</v>
      </c>
    </row>
    <row r="37" spans="6:18" x14ac:dyDescent="0.3">
      <c r="O37" t="str">
        <f>HYPERLINK("https://app.clickup.com/t/8699yvuqh", "[om: fatca 2.0 design implementation project (jira tasks)] CDC-2555 Entities former COB")</f>
        <v>[om: fatca 2.0 design implementation project (jira tasks)] CDC-2555 Entities former COB</v>
      </c>
      <c r="R37" t="str">
        <f>HYPERLINK("https://app.clickup.com/t/8697my8gd", "[internal projects] Financial and Sales Dashboard enhancement")</f>
        <v>[internal projects] Financial and Sales Dashboard enhancement</v>
      </c>
    </row>
    <row r="38" spans="6:18" x14ac:dyDescent="0.3">
      <c r="O38" t="str">
        <f>HYPERLINK("https://app.clickup.com/t/8699yvtjg", "[om: fatca 2.0 design implementation project (jira tasks)] CDC-2553 Flexcube SARS Templates - rename the RFI to source system code at scheme level")</f>
        <v>[om: fatca 2.0 design implementation project (jira tasks)] CDC-2553 Flexcube SARS Templates - rename the RFI to source system code at scheme level</v>
      </c>
      <c r="R38" t="str">
        <f>HYPERLINK("https://app.clickup.com/t/8696yar98", "[internal projects] Resource Utilization Dashboard Refinements")</f>
        <v>[internal projects] Resource Utilization Dashboard Refinements</v>
      </c>
    </row>
    <row r="39" spans="6:18" x14ac:dyDescent="0.3">
      <c r="O39" t="str">
        <f>HYPERLINK("https://app.clickup.com/t/8699yvruw", "[om: fatca 2.0 design implementation project (jira tasks)] CDC-2561 Diminmus rules to be applied at scheme level and not at OMUT level")</f>
        <v>[om: fatca 2.0 design implementation project (jira tasks)] CDC-2561 Diminmus rules to be applied at scheme level and not at OMUT level</v>
      </c>
      <c r="R39" t="str">
        <f>HYPERLINK("https://app.clickup.com/t/8696u6wyy", "[internal projects] Alteryx Server SLA Report process")</f>
        <v>[internal projects] Alteryx Server SLA Report process</v>
      </c>
    </row>
    <row r="40" spans="6:18" x14ac:dyDescent="0.3">
      <c r="O40" t="str">
        <f>HYPERLINK("https://app.clickup.com/t/8699yvra6", "[om: fatca 2.0 design implementation project (jira tasks)] CDC-2554 Entities COB")</f>
        <v>[om: fatca 2.0 design implementation project (jira tasks)] CDC-2554 Entities COB</v>
      </c>
      <c r="R40" t="str">
        <f>HYPERLINK("https://app.clickup.com/t/8695mj63r", "[internal projects] Shoprite B2B SLA Document")</f>
        <v>[internal projects] Shoprite B2B SLA Document</v>
      </c>
    </row>
    <row r="41" spans="6:18" x14ac:dyDescent="0.3">
      <c r="R41" t="str">
        <f>HYPERLINK("https://app.clickup.com/t/869474qb4", "[internal projects] Commit code to GitHub")</f>
        <v>[internal projects] Commit code to GitHub</v>
      </c>
    </row>
    <row r="42" spans="6:18" x14ac:dyDescent="0.3">
      <c r="R42" t="str">
        <f>HYPERLINK("https://app.clickup.com/t/869agp147", "[certification] Snowflake Sales Professional")</f>
        <v>[certification] Snowflake Sales Professional</v>
      </c>
    </row>
    <row r="43" spans="6:18" x14ac:dyDescent="0.3">
      <c r="R43" t="str">
        <f>HYPERLINK("https://app.clickup.com/t/869agp0uz", "[certification] Snowflake Technical Sales Professional")</f>
        <v>[certification] Snowflake Technical Sales Professional</v>
      </c>
    </row>
    <row r="44" spans="6:18" x14ac:dyDescent="0.3">
      <c r="R44" t="str">
        <f>HYPERLINK("https://app.clickup.com/t/869af829t", "[certification] Salesforce Certified Agentforce Specialist")</f>
        <v>[certification] Salesforce Certified Agentforce Specialist</v>
      </c>
    </row>
    <row r="45" spans="6:18" x14ac:dyDescent="0.3">
      <c r="R45" t="str">
        <f>HYPERLINK("https://app.clickup.com/t/869ab9g7u", "[certification] AWS Data Engineer - Associate")</f>
        <v>[certification] AWS Data Engineer - Associate</v>
      </c>
    </row>
    <row r="46" spans="6:18" x14ac:dyDescent="0.3">
      <c r="R46" t="str">
        <f>HYPERLINK("https://app.clickup.com/t/869b6v0gh", "[om: fatca 2.0 design implementation project (jira tasks)] CDC-2562 Develop a Foreigners List dashboard")</f>
        <v>[om: fatca 2.0 design implementation project (jira tasks)] CDC-2562 Develop a Foreigners List dashboard</v>
      </c>
    </row>
    <row r="47" spans="6:18" x14ac:dyDescent="0.3">
      <c r="R47" t="str">
        <f>HYPERLINK("https://app.clickup.com/t/869ax6j44", "[om: fatca 2.0 design implementation project (jira tasks)] Titanium Reports")</f>
        <v>[om: fatca 2.0 design implementation project (jira tasks)] Titanium Reports</v>
      </c>
    </row>
    <row r="48" spans="6:18" x14ac:dyDescent="0.3">
      <c r="R48" t="str">
        <f>HYPERLINK("https://app.clickup.com/t/869ax6j0z", "[om: fatca 2.0 design implementation project (jira tasks)] CDC-3034-aws-s3-bucket-investigation")</f>
        <v>[om: fatca 2.0 design implementation project (jira tasks)] CDC-3034-aws-s3-bucket-investigation</v>
      </c>
    </row>
    <row r="49" spans="18:18" x14ac:dyDescent="0.3">
      <c r="R49" t="str">
        <f>HYPERLINK("https://app.clickup.com/t/869avjm5f", "[om: fatca 2.0 design implementation project (jira tasks)] CBR Quarterly Run")</f>
        <v>[om: fatca 2.0 design implementation project (jira tasks)] CBR Quarterly Run</v>
      </c>
    </row>
    <row r="50" spans="18:18" x14ac:dyDescent="0.3">
      <c r="R50" t="str">
        <f>HYPERLINK("https://app.clickup.com/t/869auvvmp", "[om: fatca 2.0 design implementation project (jira tasks)] Advisor Recon Report Manual Run")</f>
        <v>[om: fatca 2.0 design implementation project (jira tasks)] Advisor Recon Report Manual Run</v>
      </c>
    </row>
    <row r="51" spans="18:18" x14ac:dyDescent="0.3">
      <c r="R51" t="str">
        <f>HYPERLINK("https://app.clickup.com/t/869arkz3a", "[om: fatca 2.0 design implementation project (jira tasks)] CDC-2914 Create Test Cases Cura Reg Change (Framework) Dashboard")</f>
        <v>[om: fatca 2.0 design implementation project (jira tasks)] CDC-2914 Create Test Cases Cura Reg Change (Framework) Dashboard</v>
      </c>
    </row>
    <row r="52" spans="18:18" x14ac:dyDescent="0.3">
      <c r="R52" t="str">
        <f>HYPERLINK("https://app.clickup.com/t/869am7mt7", "[om: fatca 2.0 design implementation project (jira tasks)] CDC-2913 Cura Reg Change Dashboard Modifications")</f>
        <v>[om: fatca 2.0 design implementation project (jira tasks)] CDC-2913 Cura Reg Change Dashboard Modifications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R52"/>
  <sheetViews>
    <sheetView workbookViewId="0"/>
  </sheetViews>
  <sheetFormatPr defaultRowHeight="14.4" x14ac:dyDescent="0.3"/>
  <cols>
    <col min="1" max="1" width="20" customWidth="1"/>
    <col min="2" max="4" width="50" customWidth="1"/>
    <col min="5" max="5" width="35" customWidth="1"/>
    <col min="6" max="12" width="50" customWidth="1"/>
    <col min="13" max="14" width="35" customWidth="1"/>
    <col min="15" max="16" width="50" customWidth="1"/>
    <col min="17" max="17" width="35" customWidth="1"/>
    <col min="18" max="18" width="50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</row>
    <row r="3" spans="1:17" x14ac:dyDescent="0.3">
      <c r="A3" t="s">
        <v>18</v>
      </c>
      <c r="B3" t="s">
        <v>44</v>
      </c>
      <c r="C3" t="s">
        <v>44</v>
      </c>
      <c r="D3" t="s">
        <v>44</v>
      </c>
      <c r="E3" t="s">
        <v>44</v>
      </c>
      <c r="F3" t="s">
        <v>44</v>
      </c>
      <c r="G3" t="s">
        <v>44</v>
      </c>
      <c r="H3" t="s">
        <v>44</v>
      </c>
      <c r="I3" t="s">
        <v>44</v>
      </c>
      <c r="J3" t="s">
        <v>44</v>
      </c>
      <c r="K3" t="s">
        <v>44</v>
      </c>
      <c r="L3" t="s">
        <v>44</v>
      </c>
      <c r="M3" t="s">
        <v>44</v>
      </c>
      <c r="N3" t="s">
        <v>44</v>
      </c>
      <c r="O3" t="s">
        <v>44</v>
      </c>
      <c r="P3" t="s">
        <v>44</v>
      </c>
      <c r="Q3" t="s">
        <v>44</v>
      </c>
    </row>
    <row r="4" spans="1:17" x14ac:dyDescent="0.3">
      <c r="A4" t="s">
        <v>19</v>
      </c>
      <c r="B4" t="s">
        <v>127</v>
      </c>
      <c r="E4" t="s">
        <v>46</v>
      </c>
      <c r="G4" t="s">
        <v>68</v>
      </c>
      <c r="L4" t="s">
        <v>47</v>
      </c>
    </row>
    <row r="5" spans="1:17" x14ac:dyDescent="0.3">
      <c r="A5" t="s">
        <v>20</v>
      </c>
      <c r="B5" t="s">
        <v>127</v>
      </c>
      <c r="E5" t="s">
        <v>46</v>
      </c>
      <c r="G5" t="s">
        <v>48</v>
      </c>
      <c r="L5" t="s">
        <v>47</v>
      </c>
    </row>
    <row r="6" spans="1:17" x14ac:dyDescent="0.3">
      <c r="A6" t="s">
        <v>21</v>
      </c>
      <c r="B6" t="s">
        <v>128</v>
      </c>
      <c r="D6" t="s">
        <v>49</v>
      </c>
      <c r="E6" t="s">
        <v>46</v>
      </c>
      <c r="G6" t="s">
        <v>48</v>
      </c>
      <c r="J6" t="s">
        <v>49</v>
      </c>
      <c r="L6" t="s">
        <v>47</v>
      </c>
    </row>
    <row r="7" spans="1:17" x14ac:dyDescent="0.3">
      <c r="A7" t="s">
        <v>22</v>
      </c>
      <c r="B7" t="s">
        <v>127</v>
      </c>
      <c r="E7" t="s">
        <v>46</v>
      </c>
      <c r="L7" t="s">
        <v>47</v>
      </c>
    </row>
    <row r="8" spans="1:17" x14ac:dyDescent="0.3">
      <c r="A8" t="s">
        <v>23</v>
      </c>
      <c r="B8" t="s">
        <v>127</v>
      </c>
      <c r="Q8" t="s">
        <v>52</v>
      </c>
    </row>
    <row r="9" spans="1:17" x14ac:dyDescent="0.3">
      <c r="A9" t="s">
        <v>24</v>
      </c>
      <c r="B9" t="s">
        <v>127</v>
      </c>
      <c r="Q9" t="s">
        <v>52</v>
      </c>
    </row>
    <row r="10" spans="1:17" x14ac:dyDescent="0.3">
      <c r="A10" t="s">
        <v>25</v>
      </c>
      <c r="B10" t="s">
        <v>129</v>
      </c>
      <c r="G10" t="s">
        <v>91</v>
      </c>
      <c r="H10" t="s">
        <v>54</v>
      </c>
      <c r="K10" t="s">
        <v>90</v>
      </c>
      <c r="N10" t="s">
        <v>90</v>
      </c>
      <c r="Q10" t="s">
        <v>52</v>
      </c>
    </row>
    <row r="11" spans="1:17" x14ac:dyDescent="0.3">
      <c r="A11" t="s">
        <v>26</v>
      </c>
      <c r="B11" t="s">
        <v>127</v>
      </c>
      <c r="H11" t="s">
        <v>54</v>
      </c>
      <c r="Q11" t="s">
        <v>52</v>
      </c>
    </row>
    <row r="12" spans="1:17" x14ac:dyDescent="0.3">
      <c r="A12" t="s">
        <v>27</v>
      </c>
      <c r="H12" t="s">
        <v>54</v>
      </c>
      <c r="Q12" t="s">
        <v>52</v>
      </c>
    </row>
    <row r="13" spans="1:17" x14ac:dyDescent="0.3">
      <c r="A13" t="s">
        <v>28</v>
      </c>
      <c r="H13" t="s">
        <v>54</v>
      </c>
      <c r="Q13" t="s">
        <v>58</v>
      </c>
    </row>
    <row r="14" spans="1:17" x14ac:dyDescent="0.3">
      <c r="A14" t="s">
        <v>29</v>
      </c>
      <c r="Q14" t="s">
        <v>58</v>
      </c>
    </row>
    <row r="15" spans="1:17" x14ac:dyDescent="0.3">
      <c r="A15" t="s">
        <v>30</v>
      </c>
      <c r="Q15" t="s">
        <v>58</v>
      </c>
    </row>
    <row r="16" spans="1:17" x14ac:dyDescent="0.3">
      <c r="A16" t="s">
        <v>31</v>
      </c>
    </row>
    <row r="17" spans="1:18" x14ac:dyDescent="0.3">
      <c r="A17" t="s">
        <v>32</v>
      </c>
    </row>
    <row r="18" spans="1:18" x14ac:dyDescent="0.3">
      <c r="A18" t="s">
        <v>33</v>
      </c>
      <c r="E18" t="s">
        <v>81</v>
      </c>
      <c r="G18" t="s">
        <v>68</v>
      </c>
      <c r="L18" t="s">
        <v>65</v>
      </c>
      <c r="Q18" t="s">
        <v>66</v>
      </c>
    </row>
    <row r="19" spans="1:18" x14ac:dyDescent="0.3">
      <c r="A19" t="s">
        <v>34</v>
      </c>
      <c r="E19" t="s">
        <v>81</v>
      </c>
      <c r="L19" t="s">
        <v>65</v>
      </c>
      <c r="Q19" t="s">
        <v>66</v>
      </c>
    </row>
    <row r="20" spans="1:18" x14ac:dyDescent="0.3">
      <c r="A20" t="s">
        <v>35</v>
      </c>
    </row>
    <row r="21" spans="1:18" x14ac:dyDescent="0.3">
      <c r="A21" t="s">
        <v>36</v>
      </c>
    </row>
    <row r="24" spans="1:18" x14ac:dyDescent="0.3">
      <c r="A24" t="s">
        <v>37</v>
      </c>
      <c r="B24">
        <f t="shared" ref="B24:Q24" si="0">ROUND(COUNTIF(B2:B19,"&lt;&gt;")/18,4)</f>
        <v>0.5</v>
      </c>
      <c r="C24">
        <f t="shared" si="0"/>
        <v>5.5599999999999997E-2</v>
      </c>
      <c r="D24">
        <f t="shared" si="0"/>
        <v>0.1111</v>
      </c>
      <c r="E24">
        <f t="shared" si="0"/>
        <v>0.38890000000000002</v>
      </c>
      <c r="F24">
        <f t="shared" si="0"/>
        <v>5.5599999999999997E-2</v>
      </c>
      <c r="G24">
        <f t="shared" si="0"/>
        <v>0.33329999999999999</v>
      </c>
      <c r="H24">
        <f t="shared" si="0"/>
        <v>0.27779999999999999</v>
      </c>
      <c r="I24">
        <f t="shared" si="0"/>
        <v>5.5599999999999997E-2</v>
      </c>
      <c r="J24">
        <f t="shared" si="0"/>
        <v>0.1111</v>
      </c>
      <c r="K24">
        <f t="shared" si="0"/>
        <v>0.1111</v>
      </c>
      <c r="L24">
        <f t="shared" si="0"/>
        <v>0.38890000000000002</v>
      </c>
      <c r="M24">
        <f t="shared" si="0"/>
        <v>5.5599999999999997E-2</v>
      </c>
      <c r="N24">
        <f t="shared" si="0"/>
        <v>0.1111</v>
      </c>
      <c r="O24">
        <f t="shared" si="0"/>
        <v>5.5599999999999997E-2</v>
      </c>
      <c r="P24">
        <f t="shared" si="0"/>
        <v>5.5599999999999997E-2</v>
      </c>
      <c r="Q24">
        <f t="shared" si="0"/>
        <v>0.61109999999999998</v>
      </c>
    </row>
    <row r="27" spans="1:18" x14ac:dyDescent="0.3">
      <c r="A27" t="s">
        <v>38</v>
      </c>
      <c r="B27" t="s">
        <v>39</v>
      </c>
      <c r="C27" t="s">
        <v>2</v>
      </c>
      <c r="D27" t="s">
        <v>3</v>
      </c>
      <c r="E27" t="s">
        <v>4</v>
      </c>
      <c r="F27" t="s">
        <v>40</v>
      </c>
      <c r="G27" t="s">
        <v>6</v>
      </c>
      <c r="H27" t="s">
        <v>7</v>
      </c>
      <c r="I27" t="s">
        <v>8</v>
      </c>
      <c r="J27" t="s">
        <v>9</v>
      </c>
      <c r="K27" t="s">
        <v>10</v>
      </c>
      <c r="L27" t="s">
        <v>11</v>
      </c>
      <c r="M27" t="s">
        <v>41</v>
      </c>
      <c r="N27" t="s">
        <v>13</v>
      </c>
      <c r="O27" t="s">
        <v>14</v>
      </c>
      <c r="P27" t="s">
        <v>15</v>
      </c>
      <c r="Q27" t="s">
        <v>16</v>
      </c>
      <c r="R27" t="s">
        <v>42</v>
      </c>
    </row>
    <row r="28" spans="1:18" x14ac:dyDescent="0.3">
      <c r="B28" t="str">
        <f>HYPERLINK("https://app.clickup.com/t/8698kwuqq", "[slipstream - data warehouse solution - git (productization)] Design and Build Costing reports in Snowflake")</f>
        <v>[slipstream - data warehouse solution - git (productization)] Design and Build Costing reports in Snowflake</v>
      </c>
      <c r="C28" t="str">
        <f>HYPERLINK("https://app.clickup.com/t/86995td5m", "[slipstream - data warehouse solution - git (productization)] Build the data deployment pipelines for DEV to QA")</f>
        <v>[slipstream - data warehouse solution - git (productization)] Build the data deployment pipelines for DEV to QA</v>
      </c>
      <c r="D28" t="str">
        <f>HYPERLINK("https://app.clickup.com/t/86995td5m", "[slipstream - data warehouse solution - git (productization)] Build the data deployment pipelines for DEV to QA")</f>
        <v>[slipstream - data warehouse solution - git (productization)] Build the data deployment pipelines for DEV to QA</v>
      </c>
      <c r="F28" t="str">
        <f>HYPERLINK("https://app.clickup.com/t/869a2knmy", "[slipstream - data warehouse solution - git (productization)] Create views as exploitation layer out of data lake")</f>
        <v>[slipstream - data warehouse solution - git (productization)] Create views as exploitation layer out of data lake</v>
      </c>
      <c r="G28" t="str">
        <f>HYPERLINK("https://app.clickup.com/t/869474qb4", "[internal projects] Commit code to GitHub")</f>
        <v>[internal projects] Commit code to GitHub</v>
      </c>
      <c r="H28" t="str">
        <f>HYPERLINK("https://app.clickup.com/t/869474qb4", "[internal projects] Commit code to GitHub")</f>
        <v>[internal projects] Commit code to GitHub</v>
      </c>
      <c r="I28" t="str">
        <f>HYPERLINK("https://app.clickup.com/t/869atfeg3", "[freshdesk] 1375 FPM Look through results compared to Reg30 rounding differences")</f>
        <v>[freshdesk] 1375 FPM Look through results compared to Reg30 rounding differences</v>
      </c>
      <c r="J28" t="str">
        <f>HYPERLINK("https://app.clickup.com/t/869bd0zxj", "[freshdesk] 1430 Athena Connection Setup")</f>
        <v>[freshdesk] 1430 Athena Connection Setup</v>
      </c>
      <c r="K28" t="str">
        <f>HYPERLINK("https://app.clickup.com/t/8698jrq49", "[slipstream - data warehouse solution - git (productization)] Testing - data Audit processes")</f>
        <v>[slipstream - data warehouse solution - git (productization)] Testing - data Audit processes</v>
      </c>
      <c r="L28" t="str">
        <f>HYPERLINK("https://app.clickup.com/t/869a5344p", "[freshdesk] Documentation")</f>
        <v>[freshdesk] Documentation</v>
      </c>
      <c r="O28" t="str">
        <f>HYPERLINK("https://app.clickup.com/t/869474qb4", "[internal projects] Commit code to GitHub")</f>
        <v>[internal projects] Commit code to GitHub</v>
      </c>
      <c r="P28" t="str">
        <f>HYPERLINK("https://app.clickup.com/t/869bd6a0f", "[wonga: data warehouse development &amp; migration onto snowflake project] Dim_Funnel_Checks")</f>
        <v>[wonga: data warehouse development &amp; migration onto snowflake project] Dim_Funnel_Checks</v>
      </c>
      <c r="R28" t="str">
        <f>HYPERLINK("https://app.clickup.com/t/869bbt350", "[freshdesk] 1428 SSO Intergations for data connections within Alteryx")</f>
        <v>[freshdesk] 1428 SSO Intergations for data connections within Alteryx</v>
      </c>
    </row>
    <row r="29" spans="1:18" x14ac:dyDescent="0.3">
      <c r="B29" t="str">
        <f>HYPERLINK("https://app.clickup.com/t/8698jrq4e", "[slipstream - data warehouse solution - git (productization)] Support. Includes platform optimisation, query optimisation etc.")</f>
        <v>[slipstream - data warehouse solution - git (productization)] Support. Includes platform optimisation, query optimisation etc.</v>
      </c>
      <c r="C29" t="str">
        <f>HYPERLINK("https://app.clickup.com/t/8695qbamh", "[internal projects] Testing")</f>
        <v>[internal projects] Testing</v>
      </c>
      <c r="D29" t="str">
        <f>HYPERLINK("https://app.clickup.com/t/869474qb4", "[internal projects] Commit code to GitHub")</f>
        <v>[internal projects] Commit code to GitHub</v>
      </c>
      <c r="F29" t="str">
        <f>HYPERLINK("https://app.clickup.com/t/8698kwuqq", "[slipstream - data warehouse solution - git (productization)] Design and Build Costing reports in Snowflake")</f>
        <v>[slipstream - data warehouse solution - git (productization)] Design and Build Costing reports in Snowflake</v>
      </c>
      <c r="G29" t="str">
        <f>HYPERLINK("https://app.clickup.com/t/8696c93m9", "[discovery invest - dw maintenance] Change LAst_seed_Process = 2 for 7 tables")</f>
        <v>[discovery invest - dw maintenance] Change LAst_seed_Process = 2 for 7 tables</v>
      </c>
      <c r="H29" t="str">
        <f>HYPERLINK("https://app.clickup.com/t/862k4g368", "[internal projects] Integrate data to Tableau report")</f>
        <v>[internal projects] Integrate data to Tableau report</v>
      </c>
      <c r="I29" t="str">
        <f>HYPERLINK("https://app.clickup.com/t/869474qb4", "[internal projects] Commit code to GitHub")</f>
        <v>[internal projects] Commit code to GitHub</v>
      </c>
      <c r="J29" t="str">
        <f>HYPERLINK("https://app.clickup.com/t/8696q3a3m", "[internal projects] Team Skills")</f>
        <v>[internal projects] Team Skills</v>
      </c>
      <c r="K29" t="str">
        <f>HYPERLINK("https://app.clickup.com/t/8698jrq40", "[slipstream - data warehouse solution - git (productization)] Optimisation and Enhancemnets post testing")</f>
        <v>[slipstream - data warehouse solution - git (productization)] Optimisation and Enhancemnets post testing</v>
      </c>
      <c r="L29" t="str">
        <f>HYPERLINK("https://app.clickup.com/t/8698juq5h", "[slipstream - data warehouse solution - git (productization)] Build the PowerBI reports for monitoring data Lake progress")</f>
        <v>[slipstream - data warehouse solution - git (productization)] Build the PowerBI reports for monitoring data Lake progress</v>
      </c>
      <c r="O29" t="str">
        <f>HYPERLINK("https://app.clickup.com/t/869a9nmh7", "[om: fatca 2.0 design implementation project (jira tasks)] CDC-2626 Setup Non-prod and Prod space on Alteryx Servers")</f>
        <v>[om: fatca 2.0 design implementation project (jira tasks)] CDC-2626 Setup Non-prod and Prod space on Alteryx Servers</v>
      </c>
      <c r="R29" t="str">
        <f>HYPERLINK("https://app.clickup.com/t/869b88fev", "[freshdesk] 1421 OTIF Schedule date changes")</f>
        <v>[freshdesk] 1421 OTIF Schedule date changes</v>
      </c>
    </row>
    <row r="30" spans="1:18" x14ac:dyDescent="0.3">
      <c r="B30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  <c r="C30" t="str">
        <f>HYPERLINK("https://app.clickup.com/t/869474qb4", "[internal projects] Commit code to GitHub")</f>
        <v>[internal projects] Commit code to GitHub</v>
      </c>
      <c r="F30" t="str">
        <f>HYPERLINK("https://app.clickup.com/t/8698jrxaj", "[slipstream - data warehouse solution - git (productization)] Snowflake Setup and Configuration")</f>
        <v>[slipstream - data warehouse solution - git (productization)] Snowflake Setup and Configuration</v>
      </c>
      <c r="H30" t="str">
        <f>HYPERLINK("https://app.clickup.com/t/86931cq82", "[certification] Alteryx")</f>
        <v>[certification] Alteryx</v>
      </c>
      <c r="J30" t="str">
        <f>HYPERLINK("https://app.clickup.com/t/8696kqh8k", "[internal projects] Tableau server Microsoft Teams app set up")</f>
        <v>[internal projects] Tableau server Microsoft Teams app set up</v>
      </c>
      <c r="K30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  <c r="L30" t="str">
        <f>HYPERLINK("https://app.clickup.com/t/8698jupt0", "[slipstream - data warehouse solution - git (productization)] Build the PowerBI reports for monitoring data Stage progress")</f>
        <v>[slipstream - data warehouse solution - git (productization)] Build the PowerBI reports for monitoring data Stage progress</v>
      </c>
      <c r="O30" t="str">
        <f>HYPERLINK("https://app.clickup.com/t/869a6vnq6", "[om: fatca 2.0 design implementation project (jira tasks)] CDC-2757 Market Conduct: Provide time estimates for deliverables")</f>
        <v>[om: fatca 2.0 design implementation project (jira tasks)] CDC-2757 Market Conduct: Provide time estimates for deliverables</v>
      </c>
      <c r="R30" t="str">
        <f>HYPERLINK("https://app.clickup.com/t/8698jrq49", "[slipstream - data warehouse solution - git (productization)] Testing - data Audit processes")</f>
        <v>[slipstream - data warehouse solution - git (productization)] Testing - data Audit processes</v>
      </c>
    </row>
    <row r="31" spans="1:18" x14ac:dyDescent="0.3">
      <c r="B31" t="str">
        <f>HYPERLINK("https://app.clickup.com/t/869474qb4", "[internal projects] Commit code to GitHub")</f>
        <v>[internal projects] Commit code to GitHub</v>
      </c>
      <c r="C31" t="str">
        <f>HYPERLINK("https://app.clickup.com/t/862k18nwr", "[internal projects] SLA performance for each customer")</f>
        <v>[internal projects] SLA performance for each customer</v>
      </c>
      <c r="F31" t="str">
        <f>HYPERLINK("https://app.clickup.com/t/8698jrq40", "[slipstream - data warehouse solution - git (productization)] Optimisation and Enhancemnets post testing")</f>
        <v>[slipstream - data warehouse solution - git (productization)] Optimisation and Enhancemnets post testing</v>
      </c>
      <c r="J31" t="str">
        <f>HYPERLINK("https://app.clickup.com/t/869474qb4", "[internal projects] Commit code to GitHub")</f>
        <v>[internal projects] Commit code to GitHub</v>
      </c>
      <c r="K31" t="str">
        <f>HYPERLINK("https://app.clickup.com/t/869474qb4", "[internal projects] Commit code to GitHub")</f>
        <v>[internal projects] Commit code to GitHub</v>
      </c>
      <c r="L31" t="str">
        <f>HYPERLINK("https://app.clickup.com/t/8698jrq3g", "[slipstream - data warehouse solution - git (productization)] Orchestration")</f>
        <v>[slipstream - data warehouse solution - git (productization)] Orchestration</v>
      </c>
      <c r="O31" t="str">
        <f>HYPERLINK("https://app.clickup.com/t/869a1x6nk", "[om: fatca 2.0 design implementation project (jira tasks)] CDC-2062 Highlight where field values do not map to static reference tables in the raw schema")</f>
        <v>[om: fatca 2.0 design implementation project (jira tasks)] CDC-2062 Highlight where field values do not map to static reference tables in the raw schema</v>
      </c>
      <c r="R31" t="str">
        <f>HYPERLINK("https://app.clickup.com/t/8698jrq3g", "[slipstream - data warehouse solution - git (productization)] Orchestration")</f>
        <v>[slipstream - data warehouse solution - git (productization)] Orchestration</v>
      </c>
    </row>
    <row r="32" spans="1:18" x14ac:dyDescent="0.3">
      <c r="C32" t="str">
        <f>HYPERLINK("https://app.clickup.com/t/8694x2b1k", "[certification] Alteryx Designer Advanced")</f>
        <v>[certification] Alteryx Designer Advanced</v>
      </c>
      <c r="F32" t="str">
        <f>HYPERLINK("https://app.clickup.com/t/869474qb4", "[internal projects] Commit code to GitHub")</f>
        <v>[internal projects] Commit code to GitHub</v>
      </c>
      <c r="J32" t="str">
        <f>HYPERLINK("https://app.clickup.com/t/8698rmb2r", "[certification] AWS Certified Solutions Architect - Associate")</f>
        <v>[certification] AWS Certified Solutions Architect - Associate</v>
      </c>
      <c r="K32" t="str">
        <f>HYPERLINK("https://app.clickup.com/t/86971xvd4", "[discovery invest - dw maintenance] Run the file extracts")</f>
        <v>[discovery invest - dw maintenance] Run the file extracts</v>
      </c>
      <c r="O32" t="str">
        <f>HYPERLINK("https://app.clickup.com/t/869a1bu7g", "[om: fatca 2.0 design implementation project (jira tasks)] CDC-2563 Business Rule - Tax Free investments")</f>
        <v>[om: fatca 2.0 design implementation project (jira tasks)] CDC-2563 Business Rule - Tax Free investments</v>
      </c>
      <c r="R32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</row>
    <row r="33" spans="6:18" x14ac:dyDescent="0.3">
      <c r="F33" t="str">
        <f>HYPERLINK("https://app.clickup.com/t/86931cq56", "[certification] Snowflake")</f>
        <v>[certification] Snowflake</v>
      </c>
      <c r="K33" t="str">
        <f>HYPERLINK("https://app.clickup.com/t/86971xv4x", "[discovery invest - dw maintenance] Validating the marts")</f>
        <v>[discovery invest - dw maintenance] Validating the marts</v>
      </c>
      <c r="O33" t="str">
        <f>HYPERLINK("https://app.clickup.com/t/869a01gfm", "[om: fatca 2.0 design implementation project (jira tasks)] CDC-2509 Investigate subset where controlling person and entity has different entity_ids")</f>
        <v>[om: fatca 2.0 design implementation project (jira tasks)] CDC-2509 Investigate subset where controlling person and entity has different entity_ids</v>
      </c>
      <c r="R33" t="str">
        <f>HYPERLINK("https://app.clickup.com/t/869ag79ab", "[internal projects] Test Framework UAT doc")</f>
        <v>[internal projects] Test Framework UAT doc</v>
      </c>
    </row>
    <row r="34" spans="6:18" x14ac:dyDescent="0.3">
      <c r="K34" t="str">
        <f>HYPERLINK("https://app.clickup.com/t/86971xv04", "[discovery invest - dw maintenance] Run mart code")</f>
        <v>[discovery invest - dw maintenance] Run mart code</v>
      </c>
      <c r="O34" t="str">
        <f>HYPERLINK("https://app.clickup.com/t/8699yvvh7", "[om: fatca 2.0 design implementation project (jira tasks)] CDC-2560 SARS TPAH Template Update the rule to avoid referencing the database table")</f>
        <v>[om: fatca 2.0 design implementation project (jira tasks)] CDC-2560 SARS TPAH Template Update the rule to avoid referencing the database table</v>
      </c>
      <c r="R34" t="str">
        <f>HYPERLINK("https://app.clickup.com/t/869a70f9p", "[internal projects] Billed VS Invoiced VS SLA")</f>
        <v>[internal projects] Billed VS Invoiced VS SLA</v>
      </c>
    </row>
    <row r="35" spans="6:18" x14ac:dyDescent="0.3">
      <c r="K35" t="str">
        <f>HYPERLINK("https://app.clickup.com/t/86971xur8", "[discovery invest - dw maintenance] Run implied deletes code")</f>
        <v>[discovery invest - dw maintenance] Run implied deletes code</v>
      </c>
      <c r="O35" t="str">
        <f>HYPERLINK("https://app.clickup.com/t/8699yvveh", "[om: fatca 2.0 design implementation project (jira tasks)] CDC-2559 SARS TPAH Template Remove all spaces and special characters")</f>
        <v>[om: fatca 2.0 design implementation project (jira tasks)] CDC-2559 SARS TPAH Template Remove all spaces and special characters</v>
      </c>
      <c r="R35" t="str">
        <f>HYPERLINK("https://app.clickup.com/t/8697xudfa", "[internal projects] Income statement dashboard")</f>
        <v>[internal projects] Income statement dashboard</v>
      </c>
    </row>
    <row r="36" spans="6:18" x14ac:dyDescent="0.3">
      <c r="K36" t="str">
        <f>HYPERLINK("https://app.clickup.com/t/86971xtt3", "[discovery invest - dw maintenance] Validating the DWH")</f>
        <v>[discovery invest - dw maintenance] Validating the DWH</v>
      </c>
      <c r="R36" t="str">
        <f>HYPERLINK("https://app.clickup.com/t/8697t8mu2", "[internal projects] Sales Dashboard Additional requirements")</f>
        <v>[internal projects] Sales Dashboard Additional requirements</v>
      </c>
    </row>
    <row r="37" spans="6:18" x14ac:dyDescent="0.3">
      <c r="O37" t="str">
        <f>HYPERLINK("https://app.clickup.com/t/8699yvuqh", "[om: fatca 2.0 design implementation project (jira tasks)] CDC-2555 Entities former COB")</f>
        <v>[om: fatca 2.0 design implementation project (jira tasks)] CDC-2555 Entities former COB</v>
      </c>
      <c r="R37" t="str">
        <f>HYPERLINK("https://app.clickup.com/t/8697my8gd", "[internal projects] Financial and Sales Dashboard enhancement")</f>
        <v>[internal projects] Financial and Sales Dashboard enhancement</v>
      </c>
    </row>
    <row r="38" spans="6:18" x14ac:dyDescent="0.3">
      <c r="O38" t="str">
        <f>HYPERLINK("https://app.clickup.com/t/8699yvtjg", "[om: fatca 2.0 design implementation project (jira tasks)] CDC-2553 Flexcube SARS Templates - rename the RFI to source system code at scheme level")</f>
        <v>[om: fatca 2.0 design implementation project (jira tasks)] CDC-2553 Flexcube SARS Templates - rename the RFI to source system code at scheme level</v>
      </c>
      <c r="R38" t="str">
        <f>HYPERLINK("https://app.clickup.com/t/8696yar98", "[internal projects] Resource Utilization Dashboard Refinements")</f>
        <v>[internal projects] Resource Utilization Dashboard Refinements</v>
      </c>
    </row>
    <row r="39" spans="6:18" x14ac:dyDescent="0.3">
      <c r="O39" t="str">
        <f>HYPERLINK("https://app.clickup.com/t/8699yvruw", "[om: fatca 2.0 design implementation project (jira tasks)] CDC-2561 Diminmus rules to be applied at scheme level and not at OMUT level")</f>
        <v>[om: fatca 2.0 design implementation project (jira tasks)] CDC-2561 Diminmus rules to be applied at scheme level and not at OMUT level</v>
      </c>
      <c r="R39" t="str">
        <f>HYPERLINK("https://app.clickup.com/t/8696u6wyy", "[internal projects] Alteryx Server SLA Report process")</f>
        <v>[internal projects] Alteryx Server SLA Report process</v>
      </c>
    </row>
    <row r="40" spans="6:18" x14ac:dyDescent="0.3">
      <c r="O40" t="str">
        <f>HYPERLINK("https://app.clickup.com/t/8699yvra6", "[om: fatca 2.0 design implementation project (jira tasks)] CDC-2554 Entities COB")</f>
        <v>[om: fatca 2.0 design implementation project (jira tasks)] CDC-2554 Entities COB</v>
      </c>
      <c r="R40" t="str">
        <f>HYPERLINK("https://app.clickup.com/t/8695mj63r", "[internal projects] Shoprite B2B SLA Document")</f>
        <v>[internal projects] Shoprite B2B SLA Document</v>
      </c>
    </row>
    <row r="41" spans="6:18" x14ac:dyDescent="0.3">
      <c r="R41" t="str">
        <f>HYPERLINK("https://app.clickup.com/t/869474qb4", "[internal projects] Commit code to GitHub")</f>
        <v>[internal projects] Commit code to GitHub</v>
      </c>
    </row>
    <row r="42" spans="6:18" x14ac:dyDescent="0.3">
      <c r="R42" t="str">
        <f>HYPERLINK("https://app.clickup.com/t/869agp147", "[certification] Snowflake Sales Professional")</f>
        <v>[certification] Snowflake Sales Professional</v>
      </c>
    </row>
    <row r="43" spans="6:18" x14ac:dyDescent="0.3">
      <c r="R43" t="str">
        <f>HYPERLINK("https://app.clickup.com/t/869agp0uz", "[certification] Snowflake Technical Sales Professional")</f>
        <v>[certification] Snowflake Technical Sales Professional</v>
      </c>
    </row>
    <row r="44" spans="6:18" x14ac:dyDescent="0.3">
      <c r="R44" t="str">
        <f>HYPERLINK("https://app.clickup.com/t/869af829t", "[certification] Salesforce Certified Agentforce Specialist")</f>
        <v>[certification] Salesforce Certified Agentforce Specialist</v>
      </c>
    </row>
    <row r="45" spans="6:18" x14ac:dyDescent="0.3">
      <c r="R45" t="str">
        <f>HYPERLINK("https://app.clickup.com/t/869ab9g7u", "[certification] AWS Data Engineer - Associate")</f>
        <v>[certification] AWS Data Engineer - Associate</v>
      </c>
    </row>
    <row r="46" spans="6:18" x14ac:dyDescent="0.3">
      <c r="R46" t="str">
        <f>HYPERLINK("https://app.clickup.com/t/869b6v0gh", "[om: fatca 2.0 design implementation project (jira tasks)] CDC-2562 Develop a Foreigners List dashboard")</f>
        <v>[om: fatca 2.0 design implementation project (jira tasks)] CDC-2562 Develop a Foreigners List dashboard</v>
      </c>
    </row>
    <row r="47" spans="6:18" x14ac:dyDescent="0.3">
      <c r="R47" t="str">
        <f>HYPERLINK("https://app.clickup.com/t/869ax6j44", "[om: fatca 2.0 design implementation project (jira tasks)] Titanium Reports")</f>
        <v>[om: fatca 2.0 design implementation project (jira tasks)] Titanium Reports</v>
      </c>
    </row>
    <row r="48" spans="6:18" x14ac:dyDescent="0.3">
      <c r="R48" t="str">
        <f>HYPERLINK("https://app.clickup.com/t/869ax6j0z", "[om: fatca 2.0 design implementation project (jira tasks)] CDC-3034-aws-s3-bucket-investigation")</f>
        <v>[om: fatca 2.0 design implementation project (jira tasks)] CDC-3034-aws-s3-bucket-investigation</v>
      </c>
    </row>
    <row r="49" spans="18:18" x14ac:dyDescent="0.3">
      <c r="R49" t="str">
        <f>HYPERLINK("https://app.clickup.com/t/869avjm5f", "[om: fatca 2.0 design implementation project (jira tasks)] CBR Quarterly Run")</f>
        <v>[om: fatca 2.0 design implementation project (jira tasks)] CBR Quarterly Run</v>
      </c>
    </row>
    <row r="50" spans="18:18" x14ac:dyDescent="0.3">
      <c r="R50" t="str">
        <f>HYPERLINK("https://app.clickup.com/t/869auvvmp", "[om: fatca 2.0 design implementation project (jira tasks)] Advisor Recon Report Manual Run")</f>
        <v>[om: fatca 2.0 design implementation project (jira tasks)] Advisor Recon Report Manual Run</v>
      </c>
    </row>
    <row r="51" spans="18:18" x14ac:dyDescent="0.3">
      <c r="R51" t="str">
        <f>HYPERLINK("https://app.clickup.com/t/869arkz3a", "[om: fatca 2.0 design implementation project (jira tasks)] CDC-2914 Create Test Cases Cura Reg Change (Framework) Dashboard")</f>
        <v>[om: fatca 2.0 design implementation project (jira tasks)] CDC-2914 Create Test Cases Cura Reg Change (Framework) Dashboard</v>
      </c>
    </row>
    <row r="52" spans="18:18" x14ac:dyDescent="0.3">
      <c r="R52" t="str">
        <f>HYPERLINK("https://app.clickup.com/t/869am7mt7", "[om: fatca 2.0 design implementation project (jira tasks)] CDC-2913 Cura Reg Change Dashboard Modifications")</f>
        <v>[om: fatca 2.0 design implementation project (jira tasks)] CDC-2913 Cura Reg Change Dashboard Modifications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R52"/>
  <sheetViews>
    <sheetView workbookViewId="0"/>
  </sheetViews>
  <sheetFormatPr defaultRowHeight="14.4" x14ac:dyDescent="0.3"/>
  <cols>
    <col min="1" max="1" width="20" customWidth="1"/>
    <col min="2" max="4" width="50" customWidth="1"/>
    <col min="5" max="5" width="35" customWidth="1"/>
    <col min="6" max="12" width="50" customWidth="1"/>
    <col min="13" max="14" width="35" customWidth="1"/>
    <col min="15" max="16" width="50" customWidth="1"/>
    <col min="17" max="17" width="35" customWidth="1"/>
    <col min="18" max="18" width="50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</row>
    <row r="3" spans="1:17" x14ac:dyDescent="0.3">
      <c r="A3" t="s">
        <v>18</v>
      </c>
    </row>
    <row r="4" spans="1:17" x14ac:dyDescent="0.3">
      <c r="A4" t="s">
        <v>19</v>
      </c>
    </row>
    <row r="5" spans="1:17" x14ac:dyDescent="0.3">
      <c r="A5" t="s">
        <v>20</v>
      </c>
    </row>
    <row r="6" spans="1:17" x14ac:dyDescent="0.3">
      <c r="A6" t="s">
        <v>21</v>
      </c>
    </row>
    <row r="7" spans="1:17" x14ac:dyDescent="0.3">
      <c r="A7" t="s">
        <v>22</v>
      </c>
    </row>
    <row r="8" spans="1:17" x14ac:dyDescent="0.3">
      <c r="A8" t="s">
        <v>23</v>
      </c>
    </row>
    <row r="9" spans="1:17" x14ac:dyDescent="0.3">
      <c r="A9" t="s">
        <v>24</v>
      </c>
    </row>
    <row r="10" spans="1:17" x14ac:dyDescent="0.3">
      <c r="A10" t="s">
        <v>25</v>
      </c>
    </row>
    <row r="11" spans="1:17" x14ac:dyDescent="0.3">
      <c r="A11" t="s">
        <v>26</v>
      </c>
    </row>
    <row r="12" spans="1:17" x14ac:dyDescent="0.3">
      <c r="A12" t="s">
        <v>27</v>
      </c>
    </row>
    <row r="13" spans="1:17" x14ac:dyDescent="0.3">
      <c r="A13" t="s">
        <v>28</v>
      </c>
    </row>
    <row r="14" spans="1:17" x14ac:dyDescent="0.3">
      <c r="A14" t="s">
        <v>29</v>
      </c>
    </row>
    <row r="15" spans="1:17" x14ac:dyDescent="0.3">
      <c r="A15" t="s">
        <v>30</v>
      </c>
    </row>
    <row r="16" spans="1:17" x14ac:dyDescent="0.3">
      <c r="A16" t="s">
        <v>31</v>
      </c>
    </row>
    <row r="17" spans="1:18" x14ac:dyDescent="0.3">
      <c r="A17" t="s">
        <v>32</v>
      </c>
    </row>
    <row r="18" spans="1:18" x14ac:dyDescent="0.3">
      <c r="A18" t="s">
        <v>33</v>
      </c>
    </row>
    <row r="19" spans="1:18" x14ac:dyDescent="0.3">
      <c r="A19" t="s">
        <v>34</v>
      </c>
    </row>
    <row r="20" spans="1:18" x14ac:dyDescent="0.3">
      <c r="A20" t="s">
        <v>35</v>
      </c>
    </row>
    <row r="21" spans="1:18" x14ac:dyDescent="0.3">
      <c r="A21" t="s">
        <v>36</v>
      </c>
    </row>
    <row r="24" spans="1:18" x14ac:dyDescent="0.3">
      <c r="A24" t="s">
        <v>37</v>
      </c>
      <c r="B24">
        <f t="shared" ref="B24:Q24" si="0">ROUND(COUNTIF(B2:B19,"&lt;&gt;")/18,4)</f>
        <v>0</v>
      </c>
      <c r="C24">
        <f t="shared" si="0"/>
        <v>0</v>
      </c>
      <c r="D24">
        <f t="shared" si="0"/>
        <v>0</v>
      </c>
      <c r="E24">
        <f t="shared" si="0"/>
        <v>0</v>
      </c>
      <c r="F24">
        <f t="shared" si="0"/>
        <v>0</v>
      </c>
      <c r="G24">
        <f t="shared" si="0"/>
        <v>0</v>
      </c>
      <c r="H24">
        <f t="shared" si="0"/>
        <v>0</v>
      </c>
      <c r="I24">
        <f t="shared" si="0"/>
        <v>0</v>
      </c>
      <c r="J24">
        <f t="shared" si="0"/>
        <v>0</v>
      </c>
      <c r="K24">
        <f t="shared" si="0"/>
        <v>0</v>
      </c>
      <c r="L24">
        <f t="shared" si="0"/>
        <v>0</v>
      </c>
      <c r="M24">
        <f t="shared" si="0"/>
        <v>0</v>
      </c>
      <c r="N24">
        <f t="shared" si="0"/>
        <v>0</v>
      </c>
      <c r="O24">
        <f t="shared" si="0"/>
        <v>0</v>
      </c>
      <c r="P24">
        <f t="shared" si="0"/>
        <v>0</v>
      </c>
      <c r="Q24">
        <f t="shared" si="0"/>
        <v>0</v>
      </c>
    </row>
    <row r="27" spans="1:18" x14ac:dyDescent="0.3">
      <c r="A27" t="s">
        <v>38</v>
      </c>
      <c r="B27" t="s">
        <v>39</v>
      </c>
      <c r="C27" t="s">
        <v>2</v>
      </c>
      <c r="D27" t="s">
        <v>3</v>
      </c>
      <c r="E27" t="s">
        <v>4</v>
      </c>
      <c r="F27" t="s">
        <v>40</v>
      </c>
      <c r="G27" t="s">
        <v>6</v>
      </c>
      <c r="H27" t="s">
        <v>7</v>
      </c>
      <c r="I27" t="s">
        <v>8</v>
      </c>
      <c r="J27" t="s">
        <v>9</v>
      </c>
      <c r="K27" t="s">
        <v>10</v>
      </c>
      <c r="L27" t="s">
        <v>11</v>
      </c>
      <c r="M27" t="s">
        <v>41</v>
      </c>
      <c r="N27" t="s">
        <v>13</v>
      </c>
      <c r="O27" t="s">
        <v>14</v>
      </c>
      <c r="P27" t="s">
        <v>15</v>
      </c>
      <c r="Q27" t="s">
        <v>16</v>
      </c>
      <c r="R27" t="s">
        <v>42</v>
      </c>
    </row>
    <row r="28" spans="1:18" x14ac:dyDescent="0.3">
      <c r="B28" t="str">
        <f>HYPERLINK("https://app.clickup.com/t/8698kwuqq", "[slipstream - data warehouse solution - git (productization)] Design and Build Costing reports in Snowflake")</f>
        <v>[slipstream - data warehouse solution - git (productization)] Design and Build Costing reports in Snowflake</v>
      </c>
      <c r="C28" t="str">
        <f>HYPERLINK("https://app.clickup.com/t/86995td5m", "[slipstream - data warehouse solution - git (productization)] Build the data deployment pipelines for DEV to QA")</f>
        <v>[slipstream - data warehouse solution - git (productization)] Build the data deployment pipelines for DEV to QA</v>
      </c>
      <c r="D28" t="str">
        <f>HYPERLINK("https://app.clickup.com/t/86995td5m", "[slipstream - data warehouse solution - git (productization)] Build the data deployment pipelines for DEV to QA")</f>
        <v>[slipstream - data warehouse solution - git (productization)] Build the data deployment pipelines for DEV to QA</v>
      </c>
      <c r="F28" t="str">
        <f>HYPERLINK("https://app.clickup.com/t/869a2knmy", "[slipstream - data warehouse solution - git (productization)] Create views as exploitation layer out of data lake")</f>
        <v>[slipstream - data warehouse solution - git (productization)] Create views as exploitation layer out of data lake</v>
      </c>
      <c r="G28" t="str">
        <f>HYPERLINK("https://app.clickup.com/t/869474qb4", "[internal projects] Commit code to GitHub")</f>
        <v>[internal projects] Commit code to GitHub</v>
      </c>
      <c r="H28" t="str">
        <f>HYPERLINK("https://app.clickup.com/t/869474qb4", "[internal projects] Commit code to GitHub")</f>
        <v>[internal projects] Commit code to GitHub</v>
      </c>
      <c r="I28" t="str">
        <f>HYPERLINK("https://app.clickup.com/t/869atfeg3", "[freshdesk] 1375 FPM Look through results compared to Reg30 rounding differences")</f>
        <v>[freshdesk] 1375 FPM Look through results compared to Reg30 rounding differences</v>
      </c>
      <c r="J28" t="str">
        <f>HYPERLINK("https://app.clickup.com/t/869bd0zxj", "[freshdesk] 1430 Athena Connection Setup")</f>
        <v>[freshdesk] 1430 Athena Connection Setup</v>
      </c>
      <c r="K28" t="str">
        <f>HYPERLINK("https://app.clickup.com/t/8698jrq49", "[slipstream - data warehouse solution - git (productization)] Testing - data Audit processes")</f>
        <v>[slipstream - data warehouse solution - git (productization)] Testing - data Audit processes</v>
      </c>
      <c r="L28" t="str">
        <f>HYPERLINK("https://app.clickup.com/t/869a5344p", "[freshdesk] Documentation")</f>
        <v>[freshdesk] Documentation</v>
      </c>
      <c r="O28" t="str">
        <f>HYPERLINK("https://app.clickup.com/t/869474qb4", "[internal projects] Commit code to GitHub")</f>
        <v>[internal projects] Commit code to GitHub</v>
      </c>
      <c r="P28" t="str">
        <f>HYPERLINK("https://app.clickup.com/t/869bd6a0f", "[wonga: data warehouse development &amp; migration onto snowflake project] Dim_Funnel_Checks")</f>
        <v>[wonga: data warehouse development &amp; migration onto snowflake project] Dim_Funnel_Checks</v>
      </c>
      <c r="R28" t="str">
        <f>HYPERLINK("https://app.clickup.com/t/869bbt350", "[freshdesk] 1428 SSO Intergations for data connections within Alteryx")</f>
        <v>[freshdesk] 1428 SSO Intergations for data connections within Alteryx</v>
      </c>
    </row>
    <row r="29" spans="1:18" x14ac:dyDescent="0.3">
      <c r="B29" t="str">
        <f>HYPERLINK("https://app.clickup.com/t/8698jrq4e", "[slipstream - data warehouse solution - git (productization)] Support. Includes platform optimisation, query optimisation etc.")</f>
        <v>[slipstream - data warehouse solution - git (productization)] Support. Includes platform optimisation, query optimisation etc.</v>
      </c>
      <c r="C29" t="str">
        <f>HYPERLINK("https://app.clickup.com/t/8695qbamh", "[internal projects] Testing")</f>
        <v>[internal projects] Testing</v>
      </c>
      <c r="D29" t="str">
        <f>HYPERLINK("https://app.clickup.com/t/869474qb4", "[internal projects] Commit code to GitHub")</f>
        <v>[internal projects] Commit code to GitHub</v>
      </c>
      <c r="F29" t="str">
        <f>HYPERLINK("https://app.clickup.com/t/8698kwuqq", "[slipstream - data warehouse solution - git (productization)] Design and Build Costing reports in Snowflake")</f>
        <v>[slipstream - data warehouse solution - git (productization)] Design and Build Costing reports in Snowflake</v>
      </c>
      <c r="G29" t="str">
        <f>HYPERLINK("https://app.clickup.com/t/8696c93m9", "[discovery invest - dw maintenance] Change LAst_seed_Process = 2 for 7 tables")</f>
        <v>[discovery invest - dw maintenance] Change LAst_seed_Process = 2 for 7 tables</v>
      </c>
      <c r="H29" t="str">
        <f>HYPERLINK("https://app.clickup.com/t/862k4g368", "[internal projects] Integrate data to Tableau report")</f>
        <v>[internal projects] Integrate data to Tableau report</v>
      </c>
      <c r="I29" t="str">
        <f>HYPERLINK("https://app.clickup.com/t/869474qb4", "[internal projects] Commit code to GitHub")</f>
        <v>[internal projects] Commit code to GitHub</v>
      </c>
      <c r="J29" t="str">
        <f>HYPERLINK("https://app.clickup.com/t/8696q3a3m", "[internal projects] Team Skills")</f>
        <v>[internal projects] Team Skills</v>
      </c>
      <c r="K29" t="str">
        <f>HYPERLINK("https://app.clickup.com/t/8698jrq40", "[slipstream - data warehouse solution - git (productization)] Optimisation and Enhancemnets post testing")</f>
        <v>[slipstream - data warehouse solution - git (productization)] Optimisation and Enhancemnets post testing</v>
      </c>
      <c r="L29" t="str">
        <f>HYPERLINK("https://app.clickup.com/t/8698juq5h", "[slipstream - data warehouse solution - git (productization)] Build the PowerBI reports for monitoring data Lake progress")</f>
        <v>[slipstream - data warehouse solution - git (productization)] Build the PowerBI reports for monitoring data Lake progress</v>
      </c>
      <c r="O29" t="str">
        <f>HYPERLINK("https://app.clickup.com/t/869a9nmh7", "[om: fatca 2.0 design implementation project (jira tasks)] CDC-2626 Setup Non-prod and Prod space on Alteryx Servers")</f>
        <v>[om: fatca 2.0 design implementation project (jira tasks)] CDC-2626 Setup Non-prod and Prod space on Alteryx Servers</v>
      </c>
      <c r="R29" t="str">
        <f>HYPERLINK("https://app.clickup.com/t/869b88fev", "[freshdesk] 1421 OTIF Schedule date changes")</f>
        <v>[freshdesk] 1421 OTIF Schedule date changes</v>
      </c>
    </row>
    <row r="30" spans="1:18" x14ac:dyDescent="0.3">
      <c r="B30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  <c r="C30" t="str">
        <f>HYPERLINK("https://app.clickup.com/t/869474qb4", "[internal projects] Commit code to GitHub")</f>
        <v>[internal projects] Commit code to GitHub</v>
      </c>
      <c r="F30" t="str">
        <f>HYPERLINK("https://app.clickup.com/t/8698jrxaj", "[slipstream - data warehouse solution - git (productization)] Snowflake Setup and Configuration")</f>
        <v>[slipstream - data warehouse solution - git (productization)] Snowflake Setup and Configuration</v>
      </c>
      <c r="H30" t="str">
        <f>HYPERLINK("https://app.clickup.com/t/86931cq82", "[certification] Alteryx")</f>
        <v>[certification] Alteryx</v>
      </c>
      <c r="J30" t="str">
        <f>HYPERLINK("https://app.clickup.com/t/8696kqh8k", "[internal projects] Tableau server Microsoft Teams app set up")</f>
        <v>[internal projects] Tableau server Microsoft Teams app set up</v>
      </c>
      <c r="K30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  <c r="L30" t="str">
        <f>HYPERLINK("https://app.clickup.com/t/8698jupt0", "[slipstream - data warehouse solution - git (productization)] Build the PowerBI reports for monitoring data Stage progress")</f>
        <v>[slipstream - data warehouse solution - git (productization)] Build the PowerBI reports for monitoring data Stage progress</v>
      </c>
      <c r="O30" t="str">
        <f>HYPERLINK("https://app.clickup.com/t/869a6vnq6", "[om: fatca 2.0 design implementation project (jira tasks)] CDC-2757 Market Conduct: Provide time estimates for deliverables")</f>
        <v>[om: fatca 2.0 design implementation project (jira tasks)] CDC-2757 Market Conduct: Provide time estimates for deliverables</v>
      </c>
      <c r="R30" t="str">
        <f>HYPERLINK("https://app.clickup.com/t/8698jrq49", "[slipstream - data warehouse solution - git (productization)] Testing - data Audit processes")</f>
        <v>[slipstream - data warehouse solution - git (productization)] Testing - data Audit processes</v>
      </c>
    </row>
    <row r="31" spans="1:18" x14ac:dyDescent="0.3">
      <c r="B31" t="str">
        <f>HYPERLINK("https://app.clickup.com/t/869474qb4", "[internal projects] Commit code to GitHub")</f>
        <v>[internal projects] Commit code to GitHub</v>
      </c>
      <c r="C31" t="str">
        <f>HYPERLINK("https://app.clickup.com/t/862k18nwr", "[internal projects] SLA performance for each customer")</f>
        <v>[internal projects] SLA performance for each customer</v>
      </c>
      <c r="F31" t="str">
        <f>HYPERLINK("https://app.clickup.com/t/8698jrq40", "[slipstream - data warehouse solution - git (productization)] Optimisation and Enhancemnets post testing")</f>
        <v>[slipstream - data warehouse solution - git (productization)] Optimisation and Enhancemnets post testing</v>
      </c>
      <c r="J31" t="str">
        <f>HYPERLINK("https://app.clickup.com/t/869474qb4", "[internal projects] Commit code to GitHub")</f>
        <v>[internal projects] Commit code to GitHub</v>
      </c>
      <c r="K31" t="str">
        <f>HYPERLINK("https://app.clickup.com/t/869474qb4", "[internal projects] Commit code to GitHub")</f>
        <v>[internal projects] Commit code to GitHub</v>
      </c>
      <c r="L31" t="str">
        <f>HYPERLINK("https://app.clickup.com/t/8698jrq3g", "[slipstream - data warehouse solution - git (productization)] Orchestration")</f>
        <v>[slipstream - data warehouse solution - git (productization)] Orchestration</v>
      </c>
      <c r="O31" t="str">
        <f>HYPERLINK("https://app.clickup.com/t/869a1x6nk", "[om: fatca 2.0 design implementation project (jira tasks)] CDC-2062 Highlight where field values do not map to static reference tables in the raw schema")</f>
        <v>[om: fatca 2.0 design implementation project (jira tasks)] CDC-2062 Highlight where field values do not map to static reference tables in the raw schema</v>
      </c>
      <c r="R31" t="str">
        <f>HYPERLINK("https://app.clickup.com/t/8698jrq3g", "[slipstream - data warehouse solution - git (productization)] Orchestration")</f>
        <v>[slipstream - data warehouse solution - git (productization)] Orchestration</v>
      </c>
    </row>
    <row r="32" spans="1:18" x14ac:dyDescent="0.3">
      <c r="C32" t="str">
        <f>HYPERLINK("https://app.clickup.com/t/8694x2b1k", "[certification] Alteryx Designer Advanced")</f>
        <v>[certification] Alteryx Designer Advanced</v>
      </c>
      <c r="F32" t="str">
        <f>HYPERLINK("https://app.clickup.com/t/869474qb4", "[internal projects] Commit code to GitHub")</f>
        <v>[internal projects] Commit code to GitHub</v>
      </c>
      <c r="J32" t="str">
        <f>HYPERLINK("https://app.clickup.com/t/8698rmb2r", "[certification] AWS Certified Solutions Architect - Associate")</f>
        <v>[certification] AWS Certified Solutions Architect - Associate</v>
      </c>
      <c r="K32" t="str">
        <f>HYPERLINK("https://app.clickup.com/t/86971xvd4", "[discovery invest - dw maintenance] Run the file extracts")</f>
        <v>[discovery invest - dw maintenance] Run the file extracts</v>
      </c>
      <c r="O32" t="str">
        <f>HYPERLINK("https://app.clickup.com/t/869a1bu7g", "[om: fatca 2.0 design implementation project (jira tasks)] CDC-2563 Business Rule - Tax Free investments")</f>
        <v>[om: fatca 2.0 design implementation project (jira tasks)] CDC-2563 Business Rule - Tax Free investments</v>
      </c>
      <c r="R32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</row>
    <row r="33" spans="6:18" x14ac:dyDescent="0.3">
      <c r="F33" t="str">
        <f>HYPERLINK("https://app.clickup.com/t/86931cq56", "[certification] Snowflake")</f>
        <v>[certification] Snowflake</v>
      </c>
      <c r="K33" t="str">
        <f>HYPERLINK("https://app.clickup.com/t/86971xv4x", "[discovery invest - dw maintenance] Validating the marts")</f>
        <v>[discovery invest - dw maintenance] Validating the marts</v>
      </c>
      <c r="O33" t="str">
        <f>HYPERLINK("https://app.clickup.com/t/869a01gfm", "[om: fatca 2.0 design implementation project (jira tasks)] CDC-2509 Investigate subset where controlling person and entity has different entity_ids")</f>
        <v>[om: fatca 2.0 design implementation project (jira tasks)] CDC-2509 Investigate subset where controlling person and entity has different entity_ids</v>
      </c>
      <c r="R33" t="str">
        <f>HYPERLINK("https://app.clickup.com/t/869ag79ab", "[internal projects] Test Framework UAT doc")</f>
        <v>[internal projects] Test Framework UAT doc</v>
      </c>
    </row>
    <row r="34" spans="6:18" x14ac:dyDescent="0.3">
      <c r="K34" t="str">
        <f>HYPERLINK("https://app.clickup.com/t/86971xv04", "[discovery invest - dw maintenance] Run mart code")</f>
        <v>[discovery invest - dw maintenance] Run mart code</v>
      </c>
      <c r="O34" t="str">
        <f>HYPERLINK("https://app.clickup.com/t/8699yvvh7", "[om: fatca 2.0 design implementation project (jira tasks)] CDC-2560 SARS TPAH Template Update the rule to avoid referencing the database table")</f>
        <v>[om: fatca 2.0 design implementation project (jira tasks)] CDC-2560 SARS TPAH Template Update the rule to avoid referencing the database table</v>
      </c>
      <c r="R34" t="str">
        <f>HYPERLINK("https://app.clickup.com/t/869a70f9p", "[internal projects] Billed VS Invoiced VS SLA")</f>
        <v>[internal projects] Billed VS Invoiced VS SLA</v>
      </c>
    </row>
    <row r="35" spans="6:18" x14ac:dyDescent="0.3">
      <c r="K35" t="str">
        <f>HYPERLINK("https://app.clickup.com/t/86971xur8", "[discovery invest - dw maintenance] Run implied deletes code")</f>
        <v>[discovery invest - dw maintenance] Run implied deletes code</v>
      </c>
      <c r="O35" t="str">
        <f>HYPERLINK("https://app.clickup.com/t/8699yvveh", "[om: fatca 2.0 design implementation project (jira tasks)] CDC-2559 SARS TPAH Template Remove all spaces and special characters")</f>
        <v>[om: fatca 2.0 design implementation project (jira tasks)] CDC-2559 SARS TPAH Template Remove all spaces and special characters</v>
      </c>
      <c r="R35" t="str">
        <f>HYPERLINK("https://app.clickup.com/t/8697xudfa", "[internal projects] Income statement dashboard")</f>
        <v>[internal projects] Income statement dashboard</v>
      </c>
    </row>
    <row r="36" spans="6:18" x14ac:dyDescent="0.3">
      <c r="K36" t="str">
        <f>HYPERLINK("https://app.clickup.com/t/86971xtt3", "[discovery invest - dw maintenance] Validating the DWH")</f>
        <v>[discovery invest - dw maintenance] Validating the DWH</v>
      </c>
      <c r="R36" t="str">
        <f>HYPERLINK("https://app.clickup.com/t/8697t8mu2", "[internal projects] Sales Dashboard Additional requirements")</f>
        <v>[internal projects] Sales Dashboard Additional requirements</v>
      </c>
    </row>
    <row r="37" spans="6:18" x14ac:dyDescent="0.3">
      <c r="O37" t="str">
        <f>HYPERLINK("https://app.clickup.com/t/8699yvuqh", "[om: fatca 2.0 design implementation project (jira tasks)] CDC-2555 Entities former COB")</f>
        <v>[om: fatca 2.0 design implementation project (jira tasks)] CDC-2555 Entities former COB</v>
      </c>
      <c r="R37" t="str">
        <f>HYPERLINK("https://app.clickup.com/t/8697my8gd", "[internal projects] Financial and Sales Dashboard enhancement")</f>
        <v>[internal projects] Financial and Sales Dashboard enhancement</v>
      </c>
    </row>
    <row r="38" spans="6:18" x14ac:dyDescent="0.3">
      <c r="O38" t="str">
        <f>HYPERLINK("https://app.clickup.com/t/8699yvtjg", "[om: fatca 2.0 design implementation project (jira tasks)] CDC-2553 Flexcube SARS Templates - rename the RFI to source system code at scheme level")</f>
        <v>[om: fatca 2.0 design implementation project (jira tasks)] CDC-2553 Flexcube SARS Templates - rename the RFI to source system code at scheme level</v>
      </c>
      <c r="R38" t="str">
        <f>HYPERLINK("https://app.clickup.com/t/8696yar98", "[internal projects] Resource Utilization Dashboard Refinements")</f>
        <v>[internal projects] Resource Utilization Dashboard Refinements</v>
      </c>
    </row>
    <row r="39" spans="6:18" x14ac:dyDescent="0.3">
      <c r="O39" t="str">
        <f>HYPERLINK("https://app.clickup.com/t/8699yvruw", "[om: fatca 2.0 design implementation project (jira tasks)] CDC-2561 Diminmus rules to be applied at scheme level and not at OMUT level")</f>
        <v>[om: fatca 2.0 design implementation project (jira tasks)] CDC-2561 Diminmus rules to be applied at scheme level and not at OMUT level</v>
      </c>
      <c r="R39" t="str">
        <f>HYPERLINK("https://app.clickup.com/t/8696u6wyy", "[internal projects] Alteryx Server SLA Report process")</f>
        <v>[internal projects] Alteryx Server SLA Report process</v>
      </c>
    </row>
    <row r="40" spans="6:18" x14ac:dyDescent="0.3">
      <c r="O40" t="str">
        <f>HYPERLINK("https://app.clickup.com/t/8699yvra6", "[om: fatca 2.0 design implementation project (jira tasks)] CDC-2554 Entities COB")</f>
        <v>[om: fatca 2.0 design implementation project (jira tasks)] CDC-2554 Entities COB</v>
      </c>
      <c r="R40" t="str">
        <f>HYPERLINK("https://app.clickup.com/t/8695mj63r", "[internal projects] Shoprite B2B SLA Document")</f>
        <v>[internal projects] Shoprite B2B SLA Document</v>
      </c>
    </row>
    <row r="41" spans="6:18" x14ac:dyDescent="0.3">
      <c r="R41" t="str">
        <f>HYPERLINK("https://app.clickup.com/t/869474qb4", "[internal projects] Commit code to GitHub")</f>
        <v>[internal projects] Commit code to GitHub</v>
      </c>
    </row>
    <row r="42" spans="6:18" x14ac:dyDescent="0.3">
      <c r="R42" t="str">
        <f>HYPERLINK("https://app.clickup.com/t/869agp147", "[certification] Snowflake Sales Professional")</f>
        <v>[certification] Snowflake Sales Professional</v>
      </c>
    </row>
    <row r="43" spans="6:18" x14ac:dyDescent="0.3">
      <c r="R43" t="str">
        <f>HYPERLINK("https://app.clickup.com/t/869agp0uz", "[certification] Snowflake Technical Sales Professional")</f>
        <v>[certification] Snowflake Technical Sales Professional</v>
      </c>
    </row>
    <row r="44" spans="6:18" x14ac:dyDescent="0.3">
      <c r="R44" t="str">
        <f>HYPERLINK("https://app.clickup.com/t/869af829t", "[certification] Salesforce Certified Agentforce Specialist")</f>
        <v>[certification] Salesforce Certified Agentforce Specialist</v>
      </c>
    </row>
    <row r="45" spans="6:18" x14ac:dyDescent="0.3">
      <c r="R45" t="str">
        <f>HYPERLINK("https://app.clickup.com/t/869ab9g7u", "[certification] AWS Data Engineer - Associate")</f>
        <v>[certification] AWS Data Engineer - Associate</v>
      </c>
    </row>
    <row r="46" spans="6:18" x14ac:dyDescent="0.3">
      <c r="R46" t="str">
        <f>HYPERLINK("https://app.clickup.com/t/869b6v0gh", "[om: fatca 2.0 design implementation project (jira tasks)] CDC-2562 Develop a Foreigners List dashboard")</f>
        <v>[om: fatca 2.0 design implementation project (jira tasks)] CDC-2562 Develop a Foreigners List dashboard</v>
      </c>
    </row>
    <row r="47" spans="6:18" x14ac:dyDescent="0.3">
      <c r="R47" t="str">
        <f>HYPERLINK("https://app.clickup.com/t/869ax6j44", "[om: fatca 2.0 design implementation project (jira tasks)] Titanium Reports")</f>
        <v>[om: fatca 2.0 design implementation project (jira tasks)] Titanium Reports</v>
      </c>
    </row>
    <row r="48" spans="6:18" x14ac:dyDescent="0.3">
      <c r="R48" t="str">
        <f>HYPERLINK("https://app.clickup.com/t/869ax6j0z", "[om: fatca 2.0 design implementation project (jira tasks)] CDC-3034-aws-s3-bucket-investigation")</f>
        <v>[om: fatca 2.0 design implementation project (jira tasks)] CDC-3034-aws-s3-bucket-investigation</v>
      </c>
    </row>
    <row r="49" spans="18:18" x14ac:dyDescent="0.3">
      <c r="R49" t="str">
        <f>HYPERLINK("https://app.clickup.com/t/869avjm5f", "[om: fatca 2.0 design implementation project (jira tasks)] CBR Quarterly Run")</f>
        <v>[om: fatca 2.0 design implementation project (jira tasks)] CBR Quarterly Run</v>
      </c>
    </row>
    <row r="50" spans="18:18" x14ac:dyDescent="0.3">
      <c r="R50" t="str">
        <f>HYPERLINK("https://app.clickup.com/t/869auvvmp", "[om: fatca 2.0 design implementation project (jira tasks)] Advisor Recon Report Manual Run")</f>
        <v>[om: fatca 2.0 design implementation project (jira tasks)] Advisor Recon Report Manual Run</v>
      </c>
    </row>
    <row r="51" spans="18:18" x14ac:dyDescent="0.3">
      <c r="R51" t="str">
        <f>HYPERLINK("https://app.clickup.com/t/869arkz3a", "[om: fatca 2.0 design implementation project (jira tasks)] CDC-2914 Create Test Cases Cura Reg Change (Framework) Dashboard")</f>
        <v>[om: fatca 2.0 design implementation project (jira tasks)] CDC-2914 Create Test Cases Cura Reg Change (Framework) Dashboard</v>
      </c>
    </row>
    <row r="52" spans="18:18" x14ac:dyDescent="0.3">
      <c r="R52" t="str">
        <f>HYPERLINK("https://app.clickup.com/t/869am7mt7", "[om: fatca 2.0 design implementation project (jira tasks)] CDC-2913 Cura Reg Change Dashboard Modifications")</f>
        <v>[om: fatca 2.0 design implementation project (jira tasks)] CDC-2913 Cura Reg Change Dashboard Modifications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R52"/>
  <sheetViews>
    <sheetView workbookViewId="0"/>
  </sheetViews>
  <sheetFormatPr defaultRowHeight="14.4" x14ac:dyDescent="0.3"/>
  <cols>
    <col min="1" max="1" width="20" customWidth="1"/>
    <col min="2" max="4" width="50" customWidth="1"/>
    <col min="5" max="5" width="35" customWidth="1"/>
    <col min="6" max="12" width="50" customWidth="1"/>
    <col min="13" max="14" width="35" customWidth="1"/>
    <col min="15" max="16" width="50" customWidth="1"/>
    <col min="17" max="17" width="35" customWidth="1"/>
    <col min="18" max="18" width="50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</row>
    <row r="3" spans="1:17" x14ac:dyDescent="0.3">
      <c r="A3" t="s">
        <v>18</v>
      </c>
    </row>
    <row r="4" spans="1:17" x14ac:dyDescent="0.3">
      <c r="A4" t="s">
        <v>19</v>
      </c>
    </row>
    <row r="5" spans="1:17" x14ac:dyDescent="0.3">
      <c r="A5" t="s">
        <v>20</v>
      </c>
    </row>
    <row r="6" spans="1:17" x14ac:dyDescent="0.3">
      <c r="A6" t="s">
        <v>21</v>
      </c>
    </row>
    <row r="7" spans="1:17" x14ac:dyDescent="0.3">
      <c r="A7" t="s">
        <v>22</v>
      </c>
    </row>
    <row r="8" spans="1:17" x14ac:dyDescent="0.3">
      <c r="A8" t="s">
        <v>23</v>
      </c>
    </row>
    <row r="9" spans="1:17" x14ac:dyDescent="0.3">
      <c r="A9" t="s">
        <v>24</v>
      </c>
    </row>
    <row r="10" spans="1:17" x14ac:dyDescent="0.3">
      <c r="A10" t="s">
        <v>25</v>
      </c>
    </row>
    <row r="11" spans="1:17" x14ac:dyDescent="0.3">
      <c r="A11" t="s">
        <v>26</v>
      </c>
    </row>
    <row r="12" spans="1:17" x14ac:dyDescent="0.3">
      <c r="A12" t="s">
        <v>27</v>
      </c>
    </row>
    <row r="13" spans="1:17" x14ac:dyDescent="0.3">
      <c r="A13" t="s">
        <v>28</v>
      </c>
    </row>
    <row r="14" spans="1:17" x14ac:dyDescent="0.3">
      <c r="A14" t="s">
        <v>29</v>
      </c>
    </row>
    <row r="15" spans="1:17" x14ac:dyDescent="0.3">
      <c r="A15" t="s">
        <v>30</v>
      </c>
    </row>
    <row r="16" spans="1:17" x14ac:dyDescent="0.3">
      <c r="A16" t="s">
        <v>31</v>
      </c>
    </row>
    <row r="17" spans="1:18" x14ac:dyDescent="0.3">
      <c r="A17" t="s">
        <v>32</v>
      </c>
    </row>
    <row r="18" spans="1:18" x14ac:dyDescent="0.3">
      <c r="A18" t="s">
        <v>33</v>
      </c>
    </row>
    <row r="19" spans="1:18" x14ac:dyDescent="0.3">
      <c r="A19" t="s">
        <v>34</v>
      </c>
    </row>
    <row r="20" spans="1:18" x14ac:dyDescent="0.3">
      <c r="A20" t="s">
        <v>35</v>
      </c>
    </row>
    <row r="21" spans="1:18" x14ac:dyDescent="0.3">
      <c r="A21" t="s">
        <v>36</v>
      </c>
    </row>
    <row r="24" spans="1:18" x14ac:dyDescent="0.3">
      <c r="A24" t="s">
        <v>37</v>
      </c>
      <c r="B24">
        <f t="shared" ref="B24:Q24" si="0">ROUND(COUNTIF(B2:B19,"&lt;&gt;")/18,4)</f>
        <v>0</v>
      </c>
      <c r="C24">
        <f t="shared" si="0"/>
        <v>0</v>
      </c>
      <c r="D24">
        <f t="shared" si="0"/>
        <v>0</v>
      </c>
      <c r="E24">
        <f t="shared" si="0"/>
        <v>0</v>
      </c>
      <c r="F24">
        <f t="shared" si="0"/>
        <v>0</v>
      </c>
      <c r="G24">
        <f t="shared" si="0"/>
        <v>0</v>
      </c>
      <c r="H24">
        <f t="shared" si="0"/>
        <v>0</v>
      </c>
      <c r="I24">
        <f t="shared" si="0"/>
        <v>0</v>
      </c>
      <c r="J24">
        <f t="shared" si="0"/>
        <v>0</v>
      </c>
      <c r="K24">
        <f t="shared" si="0"/>
        <v>0</v>
      </c>
      <c r="L24">
        <f t="shared" si="0"/>
        <v>0</v>
      </c>
      <c r="M24">
        <f t="shared" si="0"/>
        <v>0</v>
      </c>
      <c r="N24">
        <f t="shared" si="0"/>
        <v>0</v>
      </c>
      <c r="O24">
        <f t="shared" si="0"/>
        <v>0</v>
      </c>
      <c r="P24">
        <f t="shared" si="0"/>
        <v>0</v>
      </c>
      <c r="Q24">
        <f t="shared" si="0"/>
        <v>0</v>
      </c>
    </row>
    <row r="27" spans="1:18" x14ac:dyDescent="0.3">
      <c r="A27" t="s">
        <v>38</v>
      </c>
      <c r="B27" t="s">
        <v>39</v>
      </c>
      <c r="C27" t="s">
        <v>2</v>
      </c>
      <c r="D27" t="s">
        <v>3</v>
      </c>
      <c r="E27" t="s">
        <v>4</v>
      </c>
      <c r="F27" t="s">
        <v>40</v>
      </c>
      <c r="G27" t="s">
        <v>6</v>
      </c>
      <c r="H27" t="s">
        <v>7</v>
      </c>
      <c r="I27" t="s">
        <v>8</v>
      </c>
      <c r="J27" t="s">
        <v>9</v>
      </c>
      <c r="K27" t="s">
        <v>10</v>
      </c>
      <c r="L27" t="s">
        <v>11</v>
      </c>
      <c r="M27" t="s">
        <v>41</v>
      </c>
      <c r="N27" t="s">
        <v>13</v>
      </c>
      <c r="O27" t="s">
        <v>14</v>
      </c>
      <c r="P27" t="s">
        <v>15</v>
      </c>
      <c r="Q27" t="s">
        <v>16</v>
      </c>
      <c r="R27" t="s">
        <v>42</v>
      </c>
    </row>
    <row r="28" spans="1:18" x14ac:dyDescent="0.3">
      <c r="B28" t="str">
        <f>HYPERLINK("https://app.clickup.com/t/8698kwuqq", "[slipstream - data warehouse solution - git (productization)] Design and Build Costing reports in Snowflake")</f>
        <v>[slipstream - data warehouse solution - git (productization)] Design and Build Costing reports in Snowflake</v>
      </c>
      <c r="C28" t="str">
        <f>HYPERLINK("https://app.clickup.com/t/86995td5m", "[slipstream - data warehouse solution - git (productization)] Build the data deployment pipelines for DEV to QA")</f>
        <v>[slipstream - data warehouse solution - git (productization)] Build the data deployment pipelines for DEV to QA</v>
      </c>
      <c r="D28" t="str">
        <f>HYPERLINK("https://app.clickup.com/t/86995td5m", "[slipstream - data warehouse solution - git (productization)] Build the data deployment pipelines for DEV to QA")</f>
        <v>[slipstream - data warehouse solution - git (productization)] Build the data deployment pipelines for DEV to QA</v>
      </c>
      <c r="F28" t="str">
        <f>HYPERLINK("https://app.clickup.com/t/869a2knmy", "[slipstream - data warehouse solution - git (productization)] Create views as exploitation layer out of data lake")</f>
        <v>[slipstream - data warehouse solution - git (productization)] Create views as exploitation layer out of data lake</v>
      </c>
      <c r="G28" t="str">
        <f>HYPERLINK("https://app.clickup.com/t/869474qb4", "[internal projects] Commit code to GitHub")</f>
        <v>[internal projects] Commit code to GitHub</v>
      </c>
      <c r="H28" t="str">
        <f>HYPERLINK("https://app.clickup.com/t/869474qb4", "[internal projects] Commit code to GitHub")</f>
        <v>[internal projects] Commit code to GitHub</v>
      </c>
      <c r="I28" t="str">
        <f>HYPERLINK("https://app.clickup.com/t/869atfeg3", "[freshdesk] 1375 FPM Look through results compared to Reg30 rounding differences")</f>
        <v>[freshdesk] 1375 FPM Look through results compared to Reg30 rounding differences</v>
      </c>
      <c r="J28" t="str">
        <f>HYPERLINK("https://app.clickup.com/t/869bd0zxj", "[freshdesk] 1430 Athena Connection Setup")</f>
        <v>[freshdesk] 1430 Athena Connection Setup</v>
      </c>
      <c r="K28" t="str">
        <f>HYPERLINK("https://app.clickup.com/t/8698jrq49", "[slipstream - data warehouse solution - git (productization)] Testing - data Audit processes")</f>
        <v>[slipstream - data warehouse solution - git (productization)] Testing - data Audit processes</v>
      </c>
      <c r="L28" t="str">
        <f>HYPERLINK("https://app.clickup.com/t/869a5344p", "[freshdesk] Documentation")</f>
        <v>[freshdesk] Documentation</v>
      </c>
      <c r="O28" t="str">
        <f>HYPERLINK("https://app.clickup.com/t/869474qb4", "[internal projects] Commit code to GitHub")</f>
        <v>[internal projects] Commit code to GitHub</v>
      </c>
      <c r="P28" t="str">
        <f>HYPERLINK("https://app.clickup.com/t/869bd6a0f", "[wonga: data warehouse development &amp; migration onto snowflake project] Dim_Funnel_Checks")</f>
        <v>[wonga: data warehouse development &amp; migration onto snowflake project] Dim_Funnel_Checks</v>
      </c>
      <c r="R28" t="str">
        <f>HYPERLINK("https://app.clickup.com/t/869bbt350", "[freshdesk] 1428 SSO Intergations for data connections within Alteryx")</f>
        <v>[freshdesk] 1428 SSO Intergations for data connections within Alteryx</v>
      </c>
    </row>
    <row r="29" spans="1:18" x14ac:dyDescent="0.3">
      <c r="B29" t="str">
        <f>HYPERLINK("https://app.clickup.com/t/8698jrq4e", "[slipstream - data warehouse solution - git (productization)] Support. Includes platform optimisation, query optimisation etc.")</f>
        <v>[slipstream - data warehouse solution - git (productization)] Support. Includes platform optimisation, query optimisation etc.</v>
      </c>
      <c r="C29" t="str">
        <f>HYPERLINK("https://app.clickup.com/t/8695qbamh", "[internal projects] Testing")</f>
        <v>[internal projects] Testing</v>
      </c>
      <c r="D29" t="str">
        <f>HYPERLINK("https://app.clickup.com/t/869474qb4", "[internal projects] Commit code to GitHub")</f>
        <v>[internal projects] Commit code to GitHub</v>
      </c>
      <c r="F29" t="str">
        <f>HYPERLINK("https://app.clickup.com/t/8698kwuqq", "[slipstream - data warehouse solution - git (productization)] Design and Build Costing reports in Snowflake")</f>
        <v>[slipstream - data warehouse solution - git (productization)] Design and Build Costing reports in Snowflake</v>
      </c>
      <c r="G29" t="str">
        <f>HYPERLINK("https://app.clickup.com/t/8696c93m9", "[discovery invest - dw maintenance] Change LAst_seed_Process = 2 for 7 tables")</f>
        <v>[discovery invest - dw maintenance] Change LAst_seed_Process = 2 for 7 tables</v>
      </c>
      <c r="H29" t="str">
        <f>HYPERLINK("https://app.clickup.com/t/862k4g368", "[internal projects] Integrate data to Tableau report")</f>
        <v>[internal projects] Integrate data to Tableau report</v>
      </c>
      <c r="I29" t="str">
        <f>HYPERLINK("https://app.clickup.com/t/869474qb4", "[internal projects] Commit code to GitHub")</f>
        <v>[internal projects] Commit code to GitHub</v>
      </c>
      <c r="J29" t="str">
        <f>HYPERLINK("https://app.clickup.com/t/8696q3a3m", "[internal projects] Team Skills")</f>
        <v>[internal projects] Team Skills</v>
      </c>
      <c r="K29" t="str">
        <f>HYPERLINK("https://app.clickup.com/t/8698jrq40", "[slipstream - data warehouse solution - git (productization)] Optimisation and Enhancemnets post testing")</f>
        <v>[slipstream - data warehouse solution - git (productization)] Optimisation and Enhancemnets post testing</v>
      </c>
      <c r="L29" t="str">
        <f>HYPERLINK("https://app.clickup.com/t/8698juq5h", "[slipstream - data warehouse solution - git (productization)] Build the PowerBI reports for monitoring data Lake progress")</f>
        <v>[slipstream - data warehouse solution - git (productization)] Build the PowerBI reports for monitoring data Lake progress</v>
      </c>
      <c r="O29" t="str">
        <f>HYPERLINK("https://app.clickup.com/t/869a9nmh7", "[om: fatca 2.0 design implementation project (jira tasks)] CDC-2626 Setup Non-prod and Prod space on Alteryx Servers")</f>
        <v>[om: fatca 2.0 design implementation project (jira tasks)] CDC-2626 Setup Non-prod and Prod space on Alteryx Servers</v>
      </c>
      <c r="R29" t="str">
        <f>HYPERLINK("https://app.clickup.com/t/869b88fev", "[freshdesk] 1421 OTIF Schedule date changes")</f>
        <v>[freshdesk] 1421 OTIF Schedule date changes</v>
      </c>
    </row>
    <row r="30" spans="1:18" x14ac:dyDescent="0.3">
      <c r="B30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  <c r="C30" t="str">
        <f>HYPERLINK("https://app.clickup.com/t/869474qb4", "[internal projects] Commit code to GitHub")</f>
        <v>[internal projects] Commit code to GitHub</v>
      </c>
      <c r="F30" t="str">
        <f>HYPERLINK("https://app.clickup.com/t/8698jrxaj", "[slipstream - data warehouse solution - git (productization)] Snowflake Setup and Configuration")</f>
        <v>[slipstream - data warehouse solution - git (productization)] Snowflake Setup and Configuration</v>
      </c>
      <c r="H30" t="str">
        <f>HYPERLINK("https://app.clickup.com/t/86931cq82", "[certification] Alteryx")</f>
        <v>[certification] Alteryx</v>
      </c>
      <c r="J30" t="str">
        <f>HYPERLINK("https://app.clickup.com/t/8696kqh8k", "[internal projects] Tableau server Microsoft Teams app set up")</f>
        <v>[internal projects] Tableau server Microsoft Teams app set up</v>
      </c>
      <c r="K30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  <c r="L30" t="str">
        <f>HYPERLINK("https://app.clickup.com/t/8698jupt0", "[slipstream - data warehouse solution - git (productization)] Build the PowerBI reports for monitoring data Stage progress")</f>
        <v>[slipstream - data warehouse solution - git (productization)] Build the PowerBI reports for monitoring data Stage progress</v>
      </c>
      <c r="O30" t="str">
        <f>HYPERLINK("https://app.clickup.com/t/869a6vnq6", "[om: fatca 2.0 design implementation project (jira tasks)] CDC-2757 Market Conduct: Provide time estimates for deliverables")</f>
        <v>[om: fatca 2.0 design implementation project (jira tasks)] CDC-2757 Market Conduct: Provide time estimates for deliverables</v>
      </c>
      <c r="R30" t="str">
        <f>HYPERLINK("https://app.clickup.com/t/8698jrq49", "[slipstream - data warehouse solution - git (productization)] Testing - data Audit processes")</f>
        <v>[slipstream - data warehouse solution - git (productization)] Testing - data Audit processes</v>
      </c>
    </row>
    <row r="31" spans="1:18" x14ac:dyDescent="0.3">
      <c r="B31" t="str">
        <f>HYPERLINK("https://app.clickup.com/t/869474qb4", "[internal projects] Commit code to GitHub")</f>
        <v>[internal projects] Commit code to GitHub</v>
      </c>
      <c r="C31" t="str">
        <f>HYPERLINK("https://app.clickup.com/t/862k18nwr", "[internal projects] SLA performance for each customer")</f>
        <v>[internal projects] SLA performance for each customer</v>
      </c>
      <c r="F31" t="str">
        <f>HYPERLINK("https://app.clickup.com/t/8698jrq40", "[slipstream - data warehouse solution - git (productization)] Optimisation and Enhancemnets post testing")</f>
        <v>[slipstream - data warehouse solution - git (productization)] Optimisation and Enhancemnets post testing</v>
      </c>
      <c r="J31" t="str">
        <f>HYPERLINK("https://app.clickup.com/t/869474qb4", "[internal projects] Commit code to GitHub")</f>
        <v>[internal projects] Commit code to GitHub</v>
      </c>
      <c r="K31" t="str">
        <f>HYPERLINK("https://app.clickup.com/t/869474qb4", "[internal projects] Commit code to GitHub")</f>
        <v>[internal projects] Commit code to GitHub</v>
      </c>
      <c r="L31" t="str">
        <f>HYPERLINK("https://app.clickup.com/t/8698jrq3g", "[slipstream - data warehouse solution - git (productization)] Orchestration")</f>
        <v>[slipstream - data warehouse solution - git (productization)] Orchestration</v>
      </c>
      <c r="O31" t="str">
        <f>HYPERLINK("https://app.clickup.com/t/869a1x6nk", "[om: fatca 2.0 design implementation project (jira tasks)] CDC-2062 Highlight where field values do not map to static reference tables in the raw schema")</f>
        <v>[om: fatca 2.0 design implementation project (jira tasks)] CDC-2062 Highlight where field values do not map to static reference tables in the raw schema</v>
      </c>
      <c r="R31" t="str">
        <f>HYPERLINK("https://app.clickup.com/t/8698jrq3g", "[slipstream - data warehouse solution - git (productization)] Orchestration")</f>
        <v>[slipstream - data warehouse solution - git (productization)] Orchestration</v>
      </c>
    </row>
    <row r="32" spans="1:18" x14ac:dyDescent="0.3">
      <c r="C32" t="str">
        <f>HYPERLINK("https://app.clickup.com/t/8694x2b1k", "[certification] Alteryx Designer Advanced")</f>
        <v>[certification] Alteryx Designer Advanced</v>
      </c>
      <c r="F32" t="str">
        <f>HYPERLINK("https://app.clickup.com/t/869474qb4", "[internal projects] Commit code to GitHub")</f>
        <v>[internal projects] Commit code to GitHub</v>
      </c>
      <c r="J32" t="str">
        <f>HYPERLINK("https://app.clickup.com/t/8698rmb2r", "[certification] AWS Certified Solutions Architect - Associate")</f>
        <v>[certification] AWS Certified Solutions Architect - Associate</v>
      </c>
      <c r="K32" t="str">
        <f>HYPERLINK("https://app.clickup.com/t/86971xvd4", "[discovery invest - dw maintenance] Run the file extracts")</f>
        <v>[discovery invest - dw maintenance] Run the file extracts</v>
      </c>
      <c r="O32" t="str">
        <f>HYPERLINK("https://app.clickup.com/t/869a1bu7g", "[om: fatca 2.0 design implementation project (jira tasks)] CDC-2563 Business Rule - Tax Free investments")</f>
        <v>[om: fatca 2.0 design implementation project (jira tasks)] CDC-2563 Business Rule - Tax Free investments</v>
      </c>
      <c r="R32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</row>
    <row r="33" spans="6:18" x14ac:dyDescent="0.3">
      <c r="F33" t="str">
        <f>HYPERLINK("https://app.clickup.com/t/86931cq56", "[certification] Snowflake")</f>
        <v>[certification] Snowflake</v>
      </c>
      <c r="K33" t="str">
        <f>HYPERLINK("https://app.clickup.com/t/86971xv4x", "[discovery invest - dw maintenance] Validating the marts")</f>
        <v>[discovery invest - dw maintenance] Validating the marts</v>
      </c>
      <c r="O33" t="str">
        <f>HYPERLINK("https://app.clickup.com/t/869a01gfm", "[om: fatca 2.0 design implementation project (jira tasks)] CDC-2509 Investigate subset where controlling person and entity has different entity_ids")</f>
        <v>[om: fatca 2.0 design implementation project (jira tasks)] CDC-2509 Investigate subset where controlling person and entity has different entity_ids</v>
      </c>
      <c r="R33" t="str">
        <f>HYPERLINK("https://app.clickup.com/t/869ag79ab", "[internal projects] Test Framework UAT doc")</f>
        <v>[internal projects] Test Framework UAT doc</v>
      </c>
    </row>
    <row r="34" spans="6:18" x14ac:dyDescent="0.3">
      <c r="K34" t="str">
        <f>HYPERLINK("https://app.clickup.com/t/86971xv04", "[discovery invest - dw maintenance] Run mart code")</f>
        <v>[discovery invest - dw maintenance] Run mart code</v>
      </c>
      <c r="O34" t="str">
        <f>HYPERLINK("https://app.clickup.com/t/8699yvvh7", "[om: fatca 2.0 design implementation project (jira tasks)] CDC-2560 SARS TPAH Template Update the rule to avoid referencing the database table")</f>
        <v>[om: fatca 2.0 design implementation project (jira tasks)] CDC-2560 SARS TPAH Template Update the rule to avoid referencing the database table</v>
      </c>
      <c r="R34" t="str">
        <f>HYPERLINK("https://app.clickup.com/t/869a70f9p", "[internal projects] Billed VS Invoiced VS SLA")</f>
        <v>[internal projects] Billed VS Invoiced VS SLA</v>
      </c>
    </row>
    <row r="35" spans="6:18" x14ac:dyDescent="0.3">
      <c r="K35" t="str">
        <f>HYPERLINK("https://app.clickup.com/t/86971xur8", "[discovery invest - dw maintenance] Run implied deletes code")</f>
        <v>[discovery invest - dw maintenance] Run implied deletes code</v>
      </c>
      <c r="O35" t="str">
        <f>HYPERLINK("https://app.clickup.com/t/8699yvveh", "[om: fatca 2.0 design implementation project (jira tasks)] CDC-2559 SARS TPAH Template Remove all spaces and special characters")</f>
        <v>[om: fatca 2.0 design implementation project (jira tasks)] CDC-2559 SARS TPAH Template Remove all spaces and special characters</v>
      </c>
      <c r="R35" t="str">
        <f>HYPERLINK("https://app.clickup.com/t/8697xudfa", "[internal projects] Income statement dashboard")</f>
        <v>[internal projects] Income statement dashboard</v>
      </c>
    </row>
    <row r="36" spans="6:18" x14ac:dyDescent="0.3">
      <c r="K36" t="str">
        <f>HYPERLINK("https://app.clickup.com/t/86971xtt3", "[discovery invest - dw maintenance] Validating the DWH")</f>
        <v>[discovery invest - dw maintenance] Validating the DWH</v>
      </c>
      <c r="R36" t="str">
        <f>HYPERLINK("https://app.clickup.com/t/8697t8mu2", "[internal projects] Sales Dashboard Additional requirements")</f>
        <v>[internal projects] Sales Dashboard Additional requirements</v>
      </c>
    </row>
    <row r="37" spans="6:18" x14ac:dyDescent="0.3">
      <c r="O37" t="str">
        <f>HYPERLINK("https://app.clickup.com/t/8699yvuqh", "[om: fatca 2.0 design implementation project (jira tasks)] CDC-2555 Entities former COB")</f>
        <v>[om: fatca 2.0 design implementation project (jira tasks)] CDC-2555 Entities former COB</v>
      </c>
      <c r="R37" t="str">
        <f>HYPERLINK("https://app.clickup.com/t/8697my8gd", "[internal projects] Financial and Sales Dashboard enhancement")</f>
        <v>[internal projects] Financial and Sales Dashboard enhancement</v>
      </c>
    </row>
    <row r="38" spans="6:18" x14ac:dyDescent="0.3">
      <c r="O38" t="str">
        <f>HYPERLINK("https://app.clickup.com/t/8699yvtjg", "[om: fatca 2.0 design implementation project (jira tasks)] CDC-2553 Flexcube SARS Templates - rename the RFI to source system code at scheme level")</f>
        <v>[om: fatca 2.0 design implementation project (jira tasks)] CDC-2553 Flexcube SARS Templates - rename the RFI to source system code at scheme level</v>
      </c>
      <c r="R38" t="str">
        <f>HYPERLINK("https://app.clickup.com/t/8696yar98", "[internal projects] Resource Utilization Dashboard Refinements")</f>
        <v>[internal projects] Resource Utilization Dashboard Refinements</v>
      </c>
    </row>
    <row r="39" spans="6:18" x14ac:dyDescent="0.3">
      <c r="O39" t="str">
        <f>HYPERLINK("https://app.clickup.com/t/8699yvruw", "[om: fatca 2.0 design implementation project (jira tasks)] CDC-2561 Diminmus rules to be applied at scheme level and not at OMUT level")</f>
        <v>[om: fatca 2.0 design implementation project (jira tasks)] CDC-2561 Diminmus rules to be applied at scheme level and not at OMUT level</v>
      </c>
      <c r="R39" t="str">
        <f>HYPERLINK("https://app.clickup.com/t/8696u6wyy", "[internal projects] Alteryx Server SLA Report process")</f>
        <v>[internal projects] Alteryx Server SLA Report process</v>
      </c>
    </row>
    <row r="40" spans="6:18" x14ac:dyDescent="0.3">
      <c r="O40" t="str">
        <f>HYPERLINK("https://app.clickup.com/t/8699yvra6", "[om: fatca 2.0 design implementation project (jira tasks)] CDC-2554 Entities COB")</f>
        <v>[om: fatca 2.0 design implementation project (jira tasks)] CDC-2554 Entities COB</v>
      </c>
      <c r="R40" t="str">
        <f>HYPERLINK("https://app.clickup.com/t/8695mj63r", "[internal projects] Shoprite B2B SLA Document")</f>
        <v>[internal projects] Shoprite B2B SLA Document</v>
      </c>
    </row>
    <row r="41" spans="6:18" x14ac:dyDescent="0.3">
      <c r="R41" t="str">
        <f>HYPERLINK("https://app.clickup.com/t/869474qb4", "[internal projects] Commit code to GitHub")</f>
        <v>[internal projects] Commit code to GitHub</v>
      </c>
    </row>
    <row r="42" spans="6:18" x14ac:dyDescent="0.3">
      <c r="R42" t="str">
        <f>HYPERLINK("https://app.clickup.com/t/869agp147", "[certification] Snowflake Sales Professional")</f>
        <v>[certification] Snowflake Sales Professional</v>
      </c>
    </row>
    <row r="43" spans="6:18" x14ac:dyDescent="0.3">
      <c r="R43" t="str">
        <f>HYPERLINK("https://app.clickup.com/t/869agp0uz", "[certification] Snowflake Technical Sales Professional")</f>
        <v>[certification] Snowflake Technical Sales Professional</v>
      </c>
    </row>
    <row r="44" spans="6:18" x14ac:dyDescent="0.3">
      <c r="R44" t="str">
        <f>HYPERLINK("https://app.clickup.com/t/869af829t", "[certification] Salesforce Certified Agentforce Specialist")</f>
        <v>[certification] Salesforce Certified Agentforce Specialist</v>
      </c>
    </row>
    <row r="45" spans="6:18" x14ac:dyDescent="0.3">
      <c r="R45" t="str">
        <f>HYPERLINK("https://app.clickup.com/t/869ab9g7u", "[certification] AWS Data Engineer - Associate")</f>
        <v>[certification] AWS Data Engineer - Associate</v>
      </c>
    </row>
    <row r="46" spans="6:18" x14ac:dyDescent="0.3">
      <c r="R46" t="str">
        <f>HYPERLINK("https://app.clickup.com/t/869b6v0gh", "[om: fatca 2.0 design implementation project (jira tasks)] CDC-2562 Develop a Foreigners List dashboard")</f>
        <v>[om: fatca 2.0 design implementation project (jira tasks)] CDC-2562 Develop a Foreigners List dashboard</v>
      </c>
    </row>
    <row r="47" spans="6:18" x14ac:dyDescent="0.3">
      <c r="R47" t="str">
        <f>HYPERLINK("https://app.clickup.com/t/869ax6j44", "[om: fatca 2.0 design implementation project (jira tasks)] Titanium Reports")</f>
        <v>[om: fatca 2.0 design implementation project (jira tasks)] Titanium Reports</v>
      </c>
    </row>
    <row r="48" spans="6:18" x14ac:dyDescent="0.3">
      <c r="R48" t="str">
        <f>HYPERLINK("https://app.clickup.com/t/869ax6j0z", "[om: fatca 2.0 design implementation project (jira tasks)] CDC-3034-aws-s3-bucket-investigation")</f>
        <v>[om: fatca 2.0 design implementation project (jira tasks)] CDC-3034-aws-s3-bucket-investigation</v>
      </c>
    </row>
    <row r="49" spans="18:18" x14ac:dyDescent="0.3">
      <c r="R49" t="str">
        <f>HYPERLINK("https://app.clickup.com/t/869avjm5f", "[om: fatca 2.0 design implementation project (jira tasks)] CBR Quarterly Run")</f>
        <v>[om: fatca 2.0 design implementation project (jira tasks)] CBR Quarterly Run</v>
      </c>
    </row>
    <row r="50" spans="18:18" x14ac:dyDescent="0.3">
      <c r="R50" t="str">
        <f>HYPERLINK("https://app.clickup.com/t/869auvvmp", "[om: fatca 2.0 design implementation project (jira tasks)] Advisor Recon Report Manual Run")</f>
        <v>[om: fatca 2.0 design implementation project (jira tasks)] Advisor Recon Report Manual Run</v>
      </c>
    </row>
    <row r="51" spans="18:18" x14ac:dyDescent="0.3">
      <c r="R51" t="str">
        <f>HYPERLINK("https://app.clickup.com/t/869arkz3a", "[om: fatca 2.0 design implementation project (jira tasks)] CDC-2914 Create Test Cases Cura Reg Change (Framework) Dashboard")</f>
        <v>[om: fatca 2.0 design implementation project (jira tasks)] CDC-2914 Create Test Cases Cura Reg Change (Framework) Dashboard</v>
      </c>
    </row>
    <row r="52" spans="18:18" x14ac:dyDescent="0.3">
      <c r="R52" t="str">
        <f>HYPERLINK("https://app.clickup.com/t/869am7mt7", "[om: fatca 2.0 design implementation project (jira tasks)] CDC-2913 Cura Reg Change Dashboard Modifications")</f>
        <v>[om: fatca 2.0 design implementation project (jira tasks)] CDC-2913 Cura Reg Change Dashboard Modifications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R52"/>
  <sheetViews>
    <sheetView workbookViewId="0"/>
  </sheetViews>
  <sheetFormatPr defaultRowHeight="14.4" x14ac:dyDescent="0.3"/>
  <cols>
    <col min="1" max="1" width="20" customWidth="1"/>
    <col min="2" max="12" width="50" customWidth="1"/>
    <col min="13" max="13" width="42" customWidth="1"/>
    <col min="14" max="14" width="37" customWidth="1"/>
    <col min="15" max="16" width="50" customWidth="1"/>
    <col min="17" max="17" width="42" customWidth="1"/>
    <col min="18" max="18" width="50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</row>
    <row r="3" spans="1:17" x14ac:dyDescent="0.3">
      <c r="A3" t="s">
        <v>18</v>
      </c>
      <c r="B3" t="s">
        <v>43</v>
      </c>
      <c r="C3" t="s">
        <v>44</v>
      </c>
      <c r="D3" t="s">
        <v>44</v>
      </c>
      <c r="E3" t="s">
        <v>44</v>
      </c>
      <c r="F3" t="s">
        <v>44</v>
      </c>
      <c r="G3" t="s">
        <v>43</v>
      </c>
      <c r="H3" t="s">
        <v>44</v>
      </c>
      <c r="I3" t="s">
        <v>43</v>
      </c>
      <c r="J3" t="s">
        <v>44</v>
      </c>
      <c r="K3" t="s">
        <v>44</v>
      </c>
      <c r="L3" t="s">
        <v>44</v>
      </c>
      <c r="M3" t="s">
        <v>44</v>
      </c>
      <c r="N3" t="s">
        <v>44</v>
      </c>
      <c r="O3" t="s">
        <v>44</v>
      </c>
      <c r="P3" t="s">
        <v>44</v>
      </c>
      <c r="Q3" t="s">
        <v>44</v>
      </c>
    </row>
    <row r="4" spans="1:17" x14ac:dyDescent="0.3">
      <c r="A4" t="s">
        <v>19</v>
      </c>
      <c r="B4" t="s">
        <v>45</v>
      </c>
      <c r="E4" t="s">
        <v>46</v>
      </c>
      <c r="F4" t="s">
        <v>45</v>
      </c>
      <c r="N4" t="s">
        <v>45</v>
      </c>
    </row>
    <row r="5" spans="1:17" x14ac:dyDescent="0.3">
      <c r="A5" t="s">
        <v>20</v>
      </c>
      <c r="B5" t="s">
        <v>45</v>
      </c>
      <c r="E5" t="s">
        <v>46</v>
      </c>
      <c r="F5" t="s">
        <v>45</v>
      </c>
      <c r="G5" t="s">
        <v>48</v>
      </c>
      <c r="N5" t="s">
        <v>45</v>
      </c>
    </row>
    <row r="6" spans="1:17" x14ac:dyDescent="0.3">
      <c r="A6" t="s">
        <v>21</v>
      </c>
      <c r="B6" t="s">
        <v>45</v>
      </c>
      <c r="D6" t="s">
        <v>49</v>
      </c>
      <c r="E6" t="s">
        <v>46</v>
      </c>
      <c r="F6" t="s">
        <v>45</v>
      </c>
      <c r="G6" t="s">
        <v>48</v>
      </c>
      <c r="J6" t="s">
        <v>49</v>
      </c>
      <c r="N6" t="s">
        <v>45</v>
      </c>
    </row>
    <row r="7" spans="1:17" x14ac:dyDescent="0.3">
      <c r="A7" t="s">
        <v>22</v>
      </c>
      <c r="E7" t="s">
        <v>46</v>
      </c>
    </row>
    <row r="8" spans="1:17" x14ac:dyDescent="0.3">
      <c r="A8" t="s">
        <v>23</v>
      </c>
      <c r="B8" t="s">
        <v>50</v>
      </c>
      <c r="D8" t="s">
        <v>50</v>
      </c>
      <c r="E8" t="s">
        <v>46</v>
      </c>
      <c r="F8" t="s">
        <v>50</v>
      </c>
      <c r="G8" t="s">
        <v>51</v>
      </c>
      <c r="J8" t="s">
        <v>50</v>
      </c>
      <c r="L8" t="s">
        <v>50</v>
      </c>
      <c r="Q8" t="s">
        <v>52</v>
      </c>
    </row>
    <row r="9" spans="1:17" x14ac:dyDescent="0.3">
      <c r="A9" t="s">
        <v>24</v>
      </c>
      <c r="B9" t="s">
        <v>50</v>
      </c>
      <c r="D9" t="s">
        <v>50</v>
      </c>
      <c r="E9" t="s">
        <v>46</v>
      </c>
      <c r="F9" t="s">
        <v>50</v>
      </c>
      <c r="G9" t="s">
        <v>51</v>
      </c>
      <c r="J9" t="s">
        <v>50</v>
      </c>
      <c r="L9" t="s">
        <v>50</v>
      </c>
      <c r="Q9" t="s">
        <v>52</v>
      </c>
    </row>
    <row r="10" spans="1:17" x14ac:dyDescent="0.3">
      <c r="A10" t="s">
        <v>25</v>
      </c>
      <c r="E10" t="s">
        <v>46</v>
      </c>
      <c r="G10" t="s">
        <v>53</v>
      </c>
      <c r="H10" t="s">
        <v>54</v>
      </c>
      <c r="Q10" t="s">
        <v>52</v>
      </c>
    </row>
    <row r="11" spans="1:17" x14ac:dyDescent="0.3">
      <c r="A11" t="s">
        <v>26</v>
      </c>
      <c r="E11" t="s">
        <v>46</v>
      </c>
      <c r="G11" t="s">
        <v>55</v>
      </c>
      <c r="H11" t="s">
        <v>54</v>
      </c>
      <c r="Q11" t="s">
        <v>52</v>
      </c>
    </row>
    <row r="12" spans="1:17" x14ac:dyDescent="0.3">
      <c r="A12" t="s">
        <v>27</v>
      </c>
      <c r="G12" t="s">
        <v>55</v>
      </c>
      <c r="H12" t="s">
        <v>54</v>
      </c>
      <c r="Q12" t="s">
        <v>52</v>
      </c>
    </row>
    <row r="13" spans="1:17" x14ac:dyDescent="0.3">
      <c r="A13" t="s">
        <v>28</v>
      </c>
      <c r="D13" t="s">
        <v>56</v>
      </c>
      <c r="E13" t="s">
        <v>56</v>
      </c>
      <c r="F13" t="s">
        <v>56</v>
      </c>
      <c r="G13" t="s">
        <v>55</v>
      </c>
      <c r="H13" t="s">
        <v>54</v>
      </c>
      <c r="I13" t="s">
        <v>56</v>
      </c>
      <c r="J13" t="s">
        <v>56</v>
      </c>
      <c r="N13" t="s">
        <v>57</v>
      </c>
      <c r="O13" t="s">
        <v>56</v>
      </c>
      <c r="Q13" t="s">
        <v>58</v>
      </c>
    </row>
    <row r="14" spans="1:17" x14ac:dyDescent="0.3">
      <c r="A14" t="s">
        <v>29</v>
      </c>
      <c r="D14" t="s">
        <v>56</v>
      </c>
      <c r="E14" t="s">
        <v>59</v>
      </c>
      <c r="F14" t="s">
        <v>56</v>
      </c>
      <c r="I14" t="s">
        <v>56</v>
      </c>
      <c r="J14" t="s">
        <v>56</v>
      </c>
      <c r="O14" t="s">
        <v>56</v>
      </c>
      <c r="Q14" t="s">
        <v>58</v>
      </c>
    </row>
    <row r="15" spans="1:17" x14ac:dyDescent="0.3">
      <c r="A15" t="s">
        <v>30</v>
      </c>
      <c r="E15" t="s">
        <v>46</v>
      </c>
      <c r="I15" t="s">
        <v>60</v>
      </c>
      <c r="Q15" t="s">
        <v>58</v>
      </c>
    </row>
    <row r="16" spans="1:17" x14ac:dyDescent="0.3">
      <c r="A16" t="s">
        <v>31</v>
      </c>
      <c r="B16" t="s">
        <v>61</v>
      </c>
      <c r="E16" t="s">
        <v>62</v>
      </c>
      <c r="F16" t="s">
        <v>61</v>
      </c>
      <c r="H16" t="s">
        <v>61</v>
      </c>
      <c r="I16" t="s">
        <v>60</v>
      </c>
      <c r="L16" t="s">
        <v>61</v>
      </c>
      <c r="M16" t="s">
        <v>61</v>
      </c>
      <c r="O16" t="s">
        <v>61</v>
      </c>
      <c r="P16" t="s">
        <v>61</v>
      </c>
      <c r="Q16" t="s">
        <v>61</v>
      </c>
    </row>
    <row r="17" spans="1:18" x14ac:dyDescent="0.3">
      <c r="A17" t="s">
        <v>32</v>
      </c>
      <c r="B17" t="s">
        <v>61</v>
      </c>
      <c r="E17" t="s">
        <v>62</v>
      </c>
      <c r="F17" t="s">
        <v>61</v>
      </c>
      <c r="H17" t="s">
        <v>61</v>
      </c>
      <c r="I17" t="s">
        <v>63</v>
      </c>
      <c r="L17" t="s">
        <v>61</v>
      </c>
      <c r="M17" t="s">
        <v>61</v>
      </c>
      <c r="O17" t="s">
        <v>61</v>
      </c>
      <c r="P17" t="s">
        <v>61</v>
      </c>
      <c r="Q17" t="s">
        <v>61</v>
      </c>
    </row>
    <row r="18" spans="1:18" x14ac:dyDescent="0.3">
      <c r="A18" t="s">
        <v>33</v>
      </c>
      <c r="E18" t="s">
        <v>64</v>
      </c>
      <c r="Q18" t="s">
        <v>66</v>
      </c>
    </row>
    <row r="19" spans="1:18" x14ac:dyDescent="0.3">
      <c r="A19" t="s">
        <v>34</v>
      </c>
      <c r="E19" t="s">
        <v>64</v>
      </c>
      <c r="Q19" t="s">
        <v>66</v>
      </c>
    </row>
    <row r="20" spans="1:18" x14ac:dyDescent="0.3">
      <c r="A20" t="s">
        <v>35</v>
      </c>
    </row>
    <row r="21" spans="1:18" x14ac:dyDescent="0.3">
      <c r="A21" t="s">
        <v>36</v>
      </c>
    </row>
    <row r="24" spans="1:18" x14ac:dyDescent="0.3">
      <c r="A24" t="s">
        <v>37</v>
      </c>
      <c r="B24">
        <f t="shared" ref="B24:Q24" si="0">ROUND(COUNTIF(B2:B19,"&lt;&gt;")/18,4)</f>
        <v>0.44440000000000002</v>
      </c>
      <c r="C24">
        <f t="shared" si="0"/>
        <v>5.5599999999999997E-2</v>
      </c>
      <c r="D24">
        <f t="shared" si="0"/>
        <v>0.33329999999999999</v>
      </c>
      <c r="E24">
        <f t="shared" si="0"/>
        <v>0.88890000000000002</v>
      </c>
      <c r="F24">
        <f t="shared" si="0"/>
        <v>0.55559999999999998</v>
      </c>
      <c r="G24">
        <f t="shared" si="0"/>
        <v>0.5</v>
      </c>
      <c r="H24">
        <f t="shared" si="0"/>
        <v>0.38890000000000002</v>
      </c>
      <c r="I24">
        <f t="shared" si="0"/>
        <v>0.33329999999999999</v>
      </c>
      <c r="J24">
        <f t="shared" si="0"/>
        <v>0.33329999999999999</v>
      </c>
      <c r="K24">
        <f t="shared" si="0"/>
        <v>5.5599999999999997E-2</v>
      </c>
      <c r="L24">
        <f t="shared" si="0"/>
        <v>0.27779999999999999</v>
      </c>
      <c r="M24">
        <f t="shared" si="0"/>
        <v>0.16669999999999999</v>
      </c>
      <c r="N24">
        <f t="shared" si="0"/>
        <v>0.27779999999999999</v>
      </c>
      <c r="O24">
        <f t="shared" si="0"/>
        <v>0.27779999999999999</v>
      </c>
      <c r="P24">
        <f t="shared" si="0"/>
        <v>0.16669999999999999</v>
      </c>
      <c r="Q24">
        <f t="shared" si="0"/>
        <v>0.72219999999999995</v>
      </c>
    </row>
    <row r="27" spans="1:18" x14ac:dyDescent="0.3">
      <c r="A27" t="s">
        <v>38</v>
      </c>
      <c r="B27" t="s">
        <v>39</v>
      </c>
      <c r="C27" t="s">
        <v>2</v>
      </c>
      <c r="D27" t="s">
        <v>3</v>
      </c>
      <c r="E27" t="s">
        <v>4</v>
      </c>
      <c r="F27" t="s">
        <v>40</v>
      </c>
      <c r="G27" t="s">
        <v>6</v>
      </c>
      <c r="H27" t="s">
        <v>7</v>
      </c>
      <c r="I27" t="s">
        <v>8</v>
      </c>
      <c r="J27" t="s">
        <v>9</v>
      </c>
      <c r="K27" t="s">
        <v>10</v>
      </c>
      <c r="L27" t="s">
        <v>11</v>
      </c>
      <c r="M27" t="s">
        <v>41</v>
      </c>
      <c r="N27" t="s">
        <v>13</v>
      </c>
      <c r="O27" t="s">
        <v>14</v>
      </c>
      <c r="P27" t="s">
        <v>15</v>
      </c>
      <c r="Q27" t="s">
        <v>16</v>
      </c>
      <c r="R27" t="s">
        <v>42</v>
      </c>
    </row>
    <row r="28" spans="1:18" x14ac:dyDescent="0.3">
      <c r="B28" t="str">
        <f>HYPERLINK("https://app.clickup.com/t/8698kwuqq", "[slipstream - data warehouse solution - git (productization)] Design and Build Costing reports in Snowflake")</f>
        <v>[slipstream - data warehouse solution - git (productization)] Design and Build Costing reports in Snowflake</v>
      </c>
      <c r="C28" t="str">
        <f>HYPERLINK("https://app.clickup.com/t/86995td5m", "[slipstream - data warehouse solution - git (productization)] Build the data deployment pipelines for DEV to QA")</f>
        <v>[slipstream - data warehouse solution - git (productization)] Build the data deployment pipelines for DEV to QA</v>
      </c>
      <c r="D28" t="str">
        <f>HYPERLINK("https://app.clickup.com/t/86995td5m", "[slipstream - data warehouse solution - git (productization)] Build the data deployment pipelines for DEV to QA")</f>
        <v>[slipstream - data warehouse solution - git (productization)] Build the data deployment pipelines for DEV to QA</v>
      </c>
      <c r="F28" t="str">
        <f>HYPERLINK("https://app.clickup.com/t/869a2knmy", "[slipstream - data warehouse solution - git (productization)] Create views as exploitation layer out of data lake")</f>
        <v>[slipstream - data warehouse solution - git (productization)] Create views as exploitation layer out of data lake</v>
      </c>
      <c r="G28" t="str">
        <f>HYPERLINK("https://app.clickup.com/t/869474qb4", "[internal projects] Commit code to GitHub")</f>
        <v>[internal projects] Commit code to GitHub</v>
      </c>
      <c r="H28" t="str">
        <f>HYPERLINK("https://app.clickup.com/t/869474qb4", "[internal projects] Commit code to GitHub")</f>
        <v>[internal projects] Commit code to GitHub</v>
      </c>
      <c r="I28" t="str">
        <f>HYPERLINK("https://app.clickup.com/t/869atfeg3", "[freshdesk] 1375 FPM Look through results compared to Reg30 rounding differences")</f>
        <v>[freshdesk] 1375 FPM Look through results compared to Reg30 rounding differences</v>
      </c>
      <c r="J28" t="str">
        <f>HYPERLINK("https://app.clickup.com/t/869bd0zxj", "[freshdesk] 1430 Athena Connection Setup")</f>
        <v>[freshdesk] 1430 Athena Connection Setup</v>
      </c>
      <c r="K28" t="str">
        <f>HYPERLINK("https://app.clickup.com/t/8698jrq49", "[slipstream - data warehouse solution - git (productization)] Testing - data Audit processes")</f>
        <v>[slipstream - data warehouse solution - git (productization)] Testing - data Audit processes</v>
      </c>
      <c r="L28" t="str">
        <f>HYPERLINK("https://app.clickup.com/t/869a5344p", "[freshdesk] Documentation")</f>
        <v>[freshdesk] Documentation</v>
      </c>
      <c r="O28" t="str">
        <f>HYPERLINK("https://app.clickup.com/t/869474qb4", "[internal projects] Commit code to GitHub")</f>
        <v>[internal projects] Commit code to GitHub</v>
      </c>
      <c r="P28" t="str">
        <f>HYPERLINK("https://app.clickup.com/t/869bd6a0f", "[wonga: data warehouse development &amp; migration onto snowflake project] Dim_Funnel_Checks")</f>
        <v>[wonga: data warehouse development &amp; migration onto snowflake project] Dim_Funnel_Checks</v>
      </c>
      <c r="R28" t="str">
        <f>HYPERLINK("https://app.clickup.com/t/869bbt350", "[freshdesk] 1428 SSO Intergations for data connections within Alteryx")</f>
        <v>[freshdesk] 1428 SSO Intergations for data connections within Alteryx</v>
      </c>
    </row>
    <row r="29" spans="1:18" x14ac:dyDescent="0.3">
      <c r="B29" t="str">
        <f>HYPERLINK("https://app.clickup.com/t/8698jrq4e", "[slipstream - data warehouse solution - git (productization)] Support. Includes platform optimisation, query optimisation etc.")</f>
        <v>[slipstream - data warehouse solution - git (productization)] Support. Includes platform optimisation, query optimisation etc.</v>
      </c>
      <c r="C29" t="str">
        <f>HYPERLINK("https://app.clickup.com/t/8695qbamh", "[internal projects] Testing")</f>
        <v>[internal projects] Testing</v>
      </c>
      <c r="D29" t="str">
        <f>HYPERLINK("https://app.clickup.com/t/869474qb4", "[internal projects] Commit code to GitHub")</f>
        <v>[internal projects] Commit code to GitHub</v>
      </c>
      <c r="F29" t="str">
        <f>HYPERLINK("https://app.clickup.com/t/8698kwuqq", "[slipstream - data warehouse solution - git (productization)] Design and Build Costing reports in Snowflake")</f>
        <v>[slipstream - data warehouse solution - git (productization)] Design and Build Costing reports in Snowflake</v>
      </c>
      <c r="G29" t="str">
        <f>HYPERLINK("https://app.clickup.com/t/8696c93m9", "[discovery invest - dw maintenance] Change LAst_seed_Process = 2 for 7 tables")</f>
        <v>[discovery invest - dw maintenance] Change LAst_seed_Process = 2 for 7 tables</v>
      </c>
      <c r="H29" t="str">
        <f>HYPERLINK("https://app.clickup.com/t/862k4g368", "[internal projects] Integrate data to Tableau report")</f>
        <v>[internal projects] Integrate data to Tableau report</v>
      </c>
      <c r="I29" t="str">
        <f>HYPERLINK("https://app.clickup.com/t/869474qb4", "[internal projects] Commit code to GitHub")</f>
        <v>[internal projects] Commit code to GitHub</v>
      </c>
      <c r="J29" t="str">
        <f>HYPERLINK("https://app.clickup.com/t/8696q3a3m", "[internal projects] Team Skills")</f>
        <v>[internal projects] Team Skills</v>
      </c>
      <c r="K29" t="str">
        <f>HYPERLINK("https://app.clickup.com/t/8698jrq40", "[slipstream - data warehouse solution - git (productization)] Optimisation and Enhancemnets post testing")</f>
        <v>[slipstream - data warehouse solution - git (productization)] Optimisation and Enhancemnets post testing</v>
      </c>
      <c r="L29" t="str">
        <f>HYPERLINK("https://app.clickup.com/t/8698juq5h", "[slipstream - data warehouse solution - git (productization)] Build the PowerBI reports for monitoring data Lake progress")</f>
        <v>[slipstream - data warehouse solution - git (productization)] Build the PowerBI reports for monitoring data Lake progress</v>
      </c>
      <c r="O29" t="str">
        <f>HYPERLINK("https://app.clickup.com/t/869a9nmh7", "[om: fatca 2.0 design implementation project (jira tasks)] CDC-2626 Setup Non-prod and Prod space on Alteryx Servers")</f>
        <v>[om: fatca 2.0 design implementation project (jira tasks)] CDC-2626 Setup Non-prod and Prod space on Alteryx Servers</v>
      </c>
      <c r="R29" t="str">
        <f>HYPERLINK("https://app.clickup.com/t/869b88fev", "[freshdesk] 1421 OTIF Schedule date changes")</f>
        <v>[freshdesk] 1421 OTIF Schedule date changes</v>
      </c>
    </row>
    <row r="30" spans="1:18" x14ac:dyDescent="0.3">
      <c r="B30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  <c r="C30" t="str">
        <f>HYPERLINK("https://app.clickup.com/t/869474qb4", "[internal projects] Commit code to GitHub")</f>
        <v>[internal projects] Commit code to GitHub</v>
      </c>
      <c r="F30" t="str">
        <f>HYPERLINK("https://app.clickup.com/t/8698jrxaj", "[slipstream - data warehouse solution - git (productization)] Snowflake Setup and Configuration")</f>
        <v>[slipstream - data warehouse solution - git (productization)] Snowflake Setup and Configuration</v>
      </c>
      <c r="H30" t="str">
        <f>HYPERLINK("https://app.clickup.com/t/86931cq82", "[certification] Alteryx")</f>
        <v>[certification] Alteryx</v>
      </c>
      <c r="J30" t="str">
        <f>HYPERLINK("https://app.clickup.com/t/8696kqh8k", "[internal projects] Tableau server Microsoft Teams app set up")</f>
        <v>[internal projects] Tableau server Microsoft Teams app set up</v>
      </c>
      <c r="K30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  <c r="L30" t="str">
        <f>HYPERLINK("https://app.clickup.com/t/8698jupt0", "[slipstream - data warehouse solution - git (productization)] Build the PowerBI reports for monitoring data Stage progress")</f>
        <v>[slipstream - data warehouse solution - git (productization)] Build the PowerBI reports for monitoring data Stage progress</v>
      </c>
      <c r="O30" t="str">
        <f>HYPERLINK("https://app.clickup.com/t/869a6vnq6", "[om: fatca 2.0 design implementation project (jira tasks)] CDC-2757 Market Conduct: Provide time estimates for deliverables")</f>
        <v>[om: fatca 2.0 design implementation project (jira tasks)] CDC-2757 Market Conduct: Provide time estimates for deliverables</v>
      </c>
      <c r="R30" t="str">
        <f>HYPERLINK("https://app.clickup.com/t/8698jrq49", "[slipstream - data warehouse solution - git (productization)] Testing - data Audit processes")</f>
        <v>[slipstream - data warehouse solution - git (productization)] Testing - data Audit processes</v>
      </c>
    </row>
    <row r="31" spans="1:18" x14ac:dyDescent="0.3">
      <c r="B31" t="str">
        <f>HYPERLINK("https://app.clickup.com/t/869474qb4", "[internal projects] Commit code to GitHub")</f>
        <v>[internal projects] Commit code to GitHub</v>
      </c>
      <c r="C31" t="str">
        <f>HYPERLINK("https://app.clickup.com/t/862k18nwr", "[internal projects] SLA performance for each customer")</f>
        <v>[internal projects] SLA performance for each customer</v>
      </c>
      <c r="F31" t="str">
        <f>HYPERLINK("https://app.clickup.com/t/8698jrq40", "[slipstream - data warehouse solution - git (productization)] Optimisation and Enhancemnets post testing")</f>
        <v>[slipstream - data warehouse solution - git (productization)] Optimisation and Enhancemnets post testing</v>
      </c>
      <c r="J31" t="str">
        <f>HYPERLINK("https://app.clickup.com/t/869474qb4", "[internal projects] Commit code to GitHub")</f>
        <v>[internal projects] Commit code to GitHub</v>
      </c>
      <c r="K31" t="str">
        <f>HYPERLINK("https://app.clickup.com/t/869474qb4", "[internal projects] Commit code to GitHub")</f>
        <v>[internal projects] Commit code to GitHub</v>
      </c>
      <c r="L31" t="str">
        <f>HYPERLINK("https://app.clickup.com/t/8698jrq3g", "[slipstream - data warehouse solution - git (productization)] Orchestration")</f>
        <v>[slipstream - data warehouse solution - git (productization)] Orchestration</v>
      </c>
      <c r="O31" t="str">
        <f>HYPERLINK("https://app.clickup.com/t/869a1x6nk", "[om: fatca 2.0 design implementation project (jira tasks)] CDC-2062 Highlight where field values do not map to static reference tables in the raw schema")</f>
        <v>[om: fatca 2.0 design implementation project (jira tasks)] CDC-2062 Highlight where field values do not map to static reference tables in the raw schema</v>
      </c>
      <c r="R31" t="str">
        <f>HYPERLINK("https://app.clickup.com/t/8698jrq3g", "[slipstream - data warehouse solution - git (productization)] Orchestration")</f>
        <v>[slipstream - data warehouse solution - git (productization)] Orchestration</v>
      </c>
    </row>
    <row r="32" spans="1:18" x14ac:dyDescent="0.3">
      <c r="C32" t="str">
        <f>HYPERLINK("https://app.clickup.com/t/8694x2b1k", "[certification] Alteryx Designer Advanced")</f>
        <v>[certification] Alteryx Designer Advanced</v>
      </c>
      <c r="F32" t="str">
        <f>HYPERLINK("https://app.clickup.com/t/869474qb4", "[internal projects] Commit code to GitHub")</f>
        <v>[internal projects] Commit code to GitHub</v>
      </c>
      <c r="J32" t="str">
        <f>HYPERLINK("https://app.clickup.com/t/8698rmb2r", "[certification] AWS Certified Solutions Architect - Associate")</f>
        <v>[certification] AWS Certified Solutions Architect - Associate</v>
      </c>
      <c r="K32" t="str">
        <f>HYPERLINK("https://app.clickup.com/t/86971xvd4", "[discovery invest - dw maintenance] Run the file extracts")</f>
        <v>[discovery invest - dw maintenance] Run the file extracts</v>
      </c>
      <c r="O32" t="str">
        <f>HYPERLINK("https://app.clickup.com/t/869a1bu7g", "[om: fatca 2.0 design implementation project (jira tasks)] CDC-2563 Business Rule - Tax Free investments")</f>
        <v>[om: fatca 2.0 design implementation project (jira tasks)] CDC-2563 Business Rule - Tax Free investments</v>
      </c>
      <c r="R32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</row>
    <row r="33" spans="6:18" x14ac:dyDescent="0.3">
      <c r="F33" t="str">
        <f>HYPERLINK("https://app.clickup.com/t/86931cq56", "[certification] Snowflake")</f>
        <v>[certification] Snowflake</v>
      </c>
      <c r="K33" t="str">
        <f>HYPERLINK("https://app.clickup.com/t/86971xv4x", "[discovery invest - dw maintenance] Validating the marts")</f>
        <v>[discovery invest - dw maintenance] Validating the marts</v>
      </c>
      <c r="O33" t="str">
        <f>HYPERLINK("https://app.clickup.com/t/869a01gfm", "[om: fatca 2.0 design implementation project (jira tasks)] CDC-2509 Investigate subset where controlling person and entity has different entity_ids")</f>
        <v>[om: fatca 2.0 design implementation project (jira tasks)] CDC-2509 Investigate subset where controlling person and entity has different entity_ids</v>
      </c>
      <c r="R33" t="str">
        <f>HYPERLINK("https://app.clickup.com/t/869ag79ab", "[internal projects] Test Framework UAT doc")</f>
        <v>[internal projects] Test Framework UAT doc</v>
      </c>
    </row>
    <row r="34" spans="6:18" x14ac:dyDescent="0.3">
      <c r="K34" t="str">
        <f>HYPERLINK("https://app.clickup.com/t/86971xv04", "[discovery invest - dw maintenance] Run mart code")</f>
        <v>[discovery invest - dw maintenance] Run mart code</v>
      </c>
      <c r="O34" t="str">
        <f>HYPERLINK("https://app.clickup.com/t/8699yvvh7", "[om: fatca 2.0 design implementation project (jira tasks)] CDC-2560 SARS TPAH Template Update the rule to avoid referencing the database table")</f>
        <v>[om: fatca 2.0 design implementation project (jira tasks)] CDC-2560 SARS TPAH Template Update the rule to avoid referencing the database table</v>
      </c>
      <c r="R34" t="str">
        <f>HYPERLINK("https://app.clickup.com/t/869a70f9p", "[internal projects] Billed VS Invoiced VS SLA")</f>
        <v>[internal projects] Billed VS Invoiced VS SLA</v>
      </c>
    </row>
    <row r="35" spans="6:18" x14ac:dyDescent="0.3">
      <c r="K35" t="str">
        <f>HYPERLINK("https://app.clickup.com/t/86971xur8", "[discovery invest - dw maintenance] Run implied deletes code")</f>
        <v>[discovery invest - dw maintenance] Run implied deletes code</v>
      </c>
      <c r="O35" t="str">
        <f>HYPERLINK("https://app.clickup.com/t/8699yvveh", "[om: fatca 2.0 design implementation project (jira tasks)] CDC-2559 SARS TPAH Template Remove all spaces and special characters")</f>
        <v>[om: fatca 2.0 design implementation project (jira tasks)] CDC-2559 SARS TPAH Template Remove all spaces and special characters</v>
      </c>
      <c r="R35" t="str">
        <f>HYPERLINK("https://app.clickup.com/t/8697xudfa", "[internal projects] Income statement dashboard")</f>
        <v>[internal projects] Income statement dashboard</v>
      </c>
    </row>
    <row r="36" spans="6:18" x14ac:dyDescent="0.3">
      <c r="K36" t="str">
        <f>HYPERLINK("https://app.clickup.com/t/86971xtt3", "[discovery invest - dw maintenance] Validating the DWH")</f>
        <v>[discovery invest - dw maintenance] Validating the DWH</v>
      </c>
      <c r="R36" t="str">
        <f>HYPERLINK("https://app.clickup.com/t/8697t8mu2", "[internal projects] Sales Dashboard Additional requirements")</f>
        <v>[internal projects] Sales Dashboard Additional requirements</v>
      </c>
    </row>
    <row r="37" spans="6:18" x14ac:dyDescent="0.3">
      <c r="O37" t="str">
        <f>HYPERLINK("https://app.clickup.com/t/8699yvuqh", "[om: fatca 2.0 design implementation project (jira tasks)] CDC-2555 Entities former COB")</f>
        <v>[om: fatca 2.0 design implementation project (jira tasks)] CDC-2555 Entities former COB</v>
      </c>
      <c r="R37" t="str">
        <f>HYPERLINK("https://app.clickup.com/t/8697my8gd", "[internal projects] Financial and Sales Dashboard enhancement")</f>
        <v>[internal projects] Financial and Sales Dashboard enhancement</v>
      </c>
    </row>
    <row r="38" spans="6:18" x14ac:dyDescent="0.3">
      <c r="O38" t="str">
        <f>HYPERLINK("https://app.clickup.com/t/8699yvtjg", "[om: fatca 2.0 design implementation project (jira tasks)] CDC-2553 Flexcube SARS Templates - rename the RFI to source system code at scheme level")</f>
        <v>[om: fatca 2.0 design implementation project (jira tasks)] CDC-2553 Flexcube SARS Templates - rename the RFI to source system code at scheme level</v>
      </c>
      <c r="R38" t="str">
        <f>HYPERLINK("https://app.clickup.com/t/8696yar98", "[internal projects] Resource Utilization Dashboard Refinements")</f>
        <v>[internal projects] Resource Utilization Dashboard Refinements</v>
      </c>
    </row>
    <row r="39" spans="6:18" x14ac:dyDescent="0.3">
      <c r="O39" t="str">
        <f>HYPERLINK("https://app.clickup.com/t/8699yvruw", "[om: fatca 2.0 design implementation project (jira tasks)] CDC-2561 Diminmus rules to be applied at scheme level and not at OMUT level")</f>
        <v>[om: fatca 2.0 design implementation project (jira tasks)] CDC-2561 Diminmus rules to be applied at scheme level and not at OMUT level</v>
      </c>
      <c r="R39" t="str">
        <f>HYPERLINK("https://app.clickup.com/t/8696u6wyy", "[internal projects] Alteryx Server SLA Report process")</f>
        <v>[internal projects] Alteryx Server SLA Report process</v>
      </c>
    </row>
    <row r="40" spans="6:18" x14ac:dyDescent="0.3">
      <c r="O40" t="str">
        <f>HYPERLINK("https://app.clickup.com/t/8699yvra6", "[om: fatca 2.0 design implementation project (jira tasks)] CDC-2554 Entities COB")</f>
        <v>[om: fatca 2.0 design implementation project (jira tasks)] CDC-2554 Entities COB</v>
      </c>
      <c r="R40" t="str">
        <f>HYPERLINK("https://app.clickup.com/t/8695mj63r", "[internal projects] Shoprite B2B SLA Document")</f>
        <v>[internal projects] Shoprite B2B SLA Document</v>
      </c>
    </row>
    <row r="41" spans="6:18" x14ac:dyDescent="0.3">
      <c r="R41" t="str">
        <f>HYPERLINK("https://app.clickup.com/t/869474qb4", "[internal projects] Commit code to GitHub")</f>
        <v>[internal projects] Commit code to GitHub</v>
      </c>
    </row>
    <row r="42" spans="6:18" x14ac:dyDescent="0.3">
      <c r="R42" t="str">
        <f>HYPERLINK("https://app.clickup.com/t/869agp147", "[certification] Snowflake Sales Professional")</f>
        <v>[certification] Snowflake Sales Professional</v>
      </c>
    </row>
    <row r="43" spans="6:18" x14ac:dyDescent="0.3">
      <c r="R43" t="str">
        <f>HYPERLINK("https://app.clickup.com/t/869agp0uz", "[certification] Snowflake Technical Sales Professional")</f>
        <v>[certification] Snowflake Technical Sales Professional</v>
      </c>
    </row>
    <row r="44" spans="6:18" x14ac:dyDescent="0.3">
      <c r="R44" t="str">
        <f>HYPERLINK("https://app.clickup.com/t/869af829t", "[certification] Salesforce Certified Agentforce Specialist")</f>
        <v>[certification] Salesforce Certified Agentforce Specialist</v>
      </c>
    </row>
    <row r="45" spans="6:18" x14ac:dyDescent="0.3">
      <c r="R45" t="str">
        <f>HYPERLINK("https://app.clickup.com/t/869ab9g7u", "[certification] AWS Data Engineer - Associate")</f>
        <v>[certification] AWS Data Engineer - Associate</v>
      </c>
    </row>
    <row r="46" spans="6:18" x14ac:dyDescent="0.3">
      <c r="R46" t="str">
        <f>HYPERLINK("https://app.clickup.com/t/869b6v0gh", "[om: fatca 2.0 design implementation project (jira tasks)] CDC-2562 Develop a Foreigners List dashboard")</f>
        <v>[om: fatca 2.0 design implementation project (jira tasks)] CDC-2562 Develop a Foreigners List dashboard</v>
      </c>
    </row>
    <row r="47" spans="6:18" x14ac:dyDescent="0.3">
      <c r="R47" t="str">
        <f>HYPERLINK("https://app.clickup.com/t/869ax6j44", "[om: fatca 2.0 design implementation project (jira tasks)] Titanium Reports")</f>
        <v>[om: fatca 2.0 design implementation project (jira tasks)] Titanium Reports</v>
      </c>
    </row>
    <row r="48" spans="6:18" x14ac:dyDescent="0.3">
      <c r="R48" t="str">
        <f>HYPERLINK("https://app.clickup.com/t/869ax6j0z", "[om: fatca 2.0 design implementation project (jira tasks)] CDC-3034-aws-s3-bucket-investigation")</f>
        <v>[om: fatca 2.0 design implementation project (jira tasks)] CDC-3034-aws-s3-bucket-investigation</v>
      </c>
    </row>
    <row r="49" spans="18:18" x14ac:dyDescent="0.3">
      <c r="R49" t="str">
        <f>HYPERLINK("https://app.clickup.com/t/869avjm5f", "[om: fatca 2.0 design implementation project (jira tasks)] CBR Quarterly Run")</f>
        <v>[om: fatca 2.0 design implementation project (jira tasks)] CBR Quarterly Run</v>
      </c>
    </row>
    <row r="50" spans="18:18" x14ac:dyDescent="0.3">
      <c r="R50" t="str">
        <f>HYPERLINK("https://app.clickup.com/t/869auvvmp", "[om: fatca 2.0 design implementation project (jira tasks)] Advisor Recon Report Manual Run")</f>
        <v>[om: fatca 2.0 design implementation project (jira tasks)] Advisor Recon Report Manual Run</v>
      </c>
    </row>
    <row r="51" spans="18:18" x14ac:dyDescent="0.3">
      <c r="R51" t="str">
        <f>HYPERLINK("https://app.clickup.com/t/869arkz3a", "[om: fatca 2.0 design implementation project (jira tasks)] CDC-2914 Create Test Cases Cura Reg Change (Framework) Dashboard")</f>
        <v>[om: fatca 2.0 design implementation project (jira tasks)] CDC-2914 Create Test Cases Cura Reg Change (Framework) Dashboard</v>
      </c>
    </row>
    <row r="52" spans="18:18" x14ac:dyDescent="0.3">
      <c r="R52" t="str">
        <f>HYPERLINK("https://app.clickup.com/t/869am7mt7", "[om: fatca 2.0 design implementation project (jira tasks)] CDC-2913 Cura Reg Change Dashboard Modifications")</f>
        <v>[om: fatca 2.0 design implementation project (jira tasks)] CDC-2913 Cura Reg Change Dashboard Modifications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Sunday 2026-02-01</vt:lpstr>
      <vt:lpstr>Monday 2026-02-02</vt:lpstr>
      <vt:lpstr>Tuesday 2026-02-03</vt:lpstr>
      <vt:lpstr>Wednesday 2026-02-04</vt:lpstr>
      <vt:lpstr>Thursday 2026-02-05</vt:lpstr>
      <vt:lpstr>Friday 2026-02-06</vt:lpstr>
      <vt:lpstr>Saturday 2026-02-07</vt:lpstr>
      <vt:lpstr>Sunday 2026-02-08</vt:lpstr>
      <vt:lpstr>Monday 2026-02-09</vt:lpstr>
      <vt:lpstr>Tuesday 2026-02-10</vt:lpstr>
      <vt:lpstr>Wednesday 2026-02-11</vt:lpstr>
      <vt:lpstr>Thursday 2026-02-12</vt:lpstr>
      <vt:lpstr>Friday 2026-02-13</vt:lpstr>
      <vt:lpstr>Saturday 2026-02-14</vt:lpstr>
      <vt:lpstr>Sunday 2026-02-15</vt:lpstr>
      <vt:lpstr>Monday 2026-02-16</vt:lpstr>
      <vt:lpstr>Tuesday 2026-02-17</vt:lpstr>
      <vt:lpstr>Wednesday 2026-02-18</vt:lpstr>
      <vt:lpstr>Thursday 2026-02-19</vt:lpstr>
      <vt:lpstr>Friday 2026-02-20</vt:lpstr>
      <vt:lpstr>Saturday 2026-02-21</vt:lpstr>
      <vt:lpstr>Sunday 2026-02-22</vt:lpstr>
      <vt:lpstr>Monday 2026-02-23</vt:lpstr>
      <vt:lpstr>Tuesday 2026-02-24</vt:lpstr>
      <vt:lpstr>Wednesday 2026-02-25</vt:lpstr>
      <vt:lpstr>Thursday 2026-02-26</vt:lpstr>
      <vt:lpstr>Friday 2026-02-27</vt:lpstr>
      <vt:lpstr>Saturday 2026-02-28</vt:lpstr>
      <vt:lpstr>Sunday 2026-03-01</vt:lpstr>
      <vt:lpstr>Monday 2026-03-02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Thando Calana - Slipstream Data – JNR Data Engineer</cp:lastModifiedBy>
  <dcterms:created xsi:type="dcterms:W3CDTF">2025-12-05T13:05:55Z</dcterms:created>
  <dcterms:modified xsi:type="dcterms:W3CDTF">2025-12-05T14:10:42Z</dcterms:modified>
</cp:coreProperties>
</file>