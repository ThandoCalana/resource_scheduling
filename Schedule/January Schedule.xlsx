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lipstreamconsulting-my.sharepoint.com/personal/thando_calana_slipstreamdata_co_za/Documents/Documents/Slipstream/resource_scheduling/Schedule/"/>
    </mc:Choice>
  </mc:AlternateContent>
  <xr:revisionPtr revIDLastSave="1" documentId="11_1C596E0886BD6196179BE664DC25072DA5CBA7F4" xr6:coauthVersionLast="47" xr6:coauthVersionMax="47" xr10:uidLastSave="{E782DAA3-5E1C-45B9-BC48-9AB4AA909DF0}"/>
  <bookViews>
    <workbookView xWindow="28680" yWindow="-120" windowWidth="29040" windowHeight="15720" xr2:uid="{00000000-000D-0000-FFFF-FFFF00000000}"/>
  </bookViews>
  <sheets>
    <sheet name="Thursday 2026-01-01" sheetId="1" r:id="rId1"/>
    <sheet name="Friday 2026-01-02" sheetId="2" r:id="rId2"/>
    <sheet name="Saturday 2026-01-03" sheetId="3" r:id="rId3"/>
    <sheet name="Sunday 2026-01-04" sheetId="4" r:id="rId4"/>
    <sheet name="Monday 2026-01-05" sheetId="5" r:id="rId5"/>
    <sheet name="Tuesday 2026-01-06" sheetId="6" r:id="rId6"/>
    <sheet name="Wednesday 2026-01-07" sheetId="7" r:id="rId7"/>
    <sheet name="Thursday 2026-01-08" sheetId="8" r:id="rId8"/>
    <sheet name="Friday 2026-01-09" sheetId="9" r:id="rId9"/>
    <sheet name="Saturday 2026-01-10" sheetId="10" r:id="rId10"/>
    <sheet name="Sunday 2026-01-11" sheetId="11" r:id="rId11"/>
    <sheet name="Monday 2026-01-12" sheetId="12" r:id="rId12"/>
    <sheet name="Tuesday 2026-01-13" sheetId="13" r:id="rId13"/>
    <sheet name="Wednesday 2026-01-14" sheetId="14" r:id="rId14"/>
    <sheet name="Thursday 2026-01-15" sheetId="15" r:id="rId15"/>
    <sheet name="Friday 2026-01-16" sheetId="16" r:id="rId16"/>
    <sheet name="Saturday 2026-01-17" sheetId="17" r:id="rId17"/>
    <sheet name="Sunday 2026-01-18" sheetId="18" r:id="rId18"/>
    <sheet name="Monday 2026-01-19" sheetId="19" r:id="rId19"/>
    <sheet name="Tuesday 2026-01-20" sheetId="20" r:id="rId20"/>
    <sheet name="Wednesday 2026-01-21" sheetId="21" r:id="rId21"/>
    <sheet name="Thursday 2026-01-22" sheetId="22" r:id="rId22"/>
    <sheet name="Friday 2026-01-23" sheetId="23" r:id="rId23"/>
    <sheet name="Saturday 2026-01-24" sheetId="24" r:id="rId24"/>
    <sheet name="Sunday 2026-01-25" sheetId="25" r:id="rId25"/>
    <sheet name="Monday 2026-01-26" sheetId="26" r:id="rId26"/>
    <sheet name="Tuesday 2026-01-27" sheetId="27" r:id="rId27"/>
    <sheet name="Wednesday 2026-01-28" sheetId="28" r:id="rId28"/>
    <sheet name="Thursday 2026-01-29" sheetId="29" r:id="rId29"/>
    <sheet name="Friday 2026-01-30" sheetId="30" r:id="rId30"/>
    <sheet name="Saturday 2026-01-31" sheetId="31" r:id="rId3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31" l="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40" i="31"/>
  <c r="O40" i="31"/>
  <c r="R39" i="31"/>
  <c r="O39" i="31"/>
  <c r="R38" i="31"/>
  <c r="O38" i="31"/>
  <c r="R37" i="31"/>
  <c r="O37" i="31"/>
  <c r="K37" i="31"/>
  <c r="R36" i="31"/>
  <c r="K36" i="31"/>
  <c r="R35" i="31"/>
  <c r="O35" i="31"/>
  <c r="K35" i="31"/>
  <c r="C35" i="31"/>
  <c r="R34" i="31"/>
  <c r="O34" i="31"/>
  <c r="L34" i="31"/>
  <c r="K34" i="31"/>
  <c r="J34" i="31"/>
  <c r="F34" i="31"/>
  <c r="C34" i="31"/>
  <c r="R33" i="31"/>
  <c r="O33" i="31"/>
  <c r="L33" i="31"/>
  <c r="K33" i="31"/>
  <c r="J33" i="31"/>
  <c r="F33" i="31"/>
  <c r="C33" i="31"/>
  <c r="R32" i="31"/>
  <c r="O32" i="31"/>
  <c r="L32" i="31"/>
  <c r="K32" i="31"/>
  <c r="J32" i="31"/>
  <c r="F32" i="31"/>
  <c r="C32" i="31"/>
  <c r="B32" i="31"/>
  <c r="R31" i="31"/>
  <c r="O31" i="31"/>
  <c r="L31" i="31"/>
  <c r="K31" i="31"/>
  <c r="J31" i="31"/>
  <c r="F31" i="31"/>
  <c r="C31" i="31"/>
  <c r="B31" i="31"/>
  <c r="R30" i="31"/>
  <c r="O30" i="31"/>
  <c r="L30" i="31"/>
  <c r="K30" i="31"/>
  <c r="J30" i="31"/>
  <c r="H30" i="31"/>
  <c r="F30" i="31"/>
  <c r="D30" i="31"/>
  <c r="C30" i="31"/>
  <c r="B30" i="31"/>
  <c r="R29" i="31"/>
  <c r="P29" i="31"/>
  <c r="O29" i="31"/>
  <c r="L29" i="31"/>
  <c r="K29" i="31"/>
  <c r="J29" i="31"/>
  <c r="I29" i="31"/>
  <c r="H29" i="31"/>
  <c r="G29" i="31"/>
  <c r="F29" i="31"/>
  <c r="D29" i="31"/>
  <c r="C29" i="31"/>
  <c r="B29" i="31"/>
  <c r="R28" i="31"/>
  <c r="P28" i="31"/>
  <c r="O28" i="31"/>
  <c r="L28" i="31"/>
  <c r="K28" i="31"/>
  <c r="J28" i="31"/>
  <c r="I28" i="31"/>
  <c r="H28" i="31"/>
  <c r="G28" i="31"/>
  <c r="F28" i="31"/>
  <c r="D28" i="31"/>
  <c r="C28" i="31"/>
  <c r="B28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R54" i="30"/>
  <c r="R53" i="30"/>
  <c r="R52" i="30"/>
  <c r="R51" i="30"/>
  <c r="R50" i="30"/>
  <c r="R49" i="30"/>
  <c r="R48" i="30"/>
  <c r="R47" i="30"/>
  <c r="R46" i="30"/>
  <c r="R45" i="30"/>
  <c r="R44" i="30"/>
  <c r="R43" i="30"/>
  <c r="R42" i="30"/>
  <c r="R41" i="30"/>
  <c r="R40" i="30"/>
  <c r="O40" i="30"/>
  <c r="R39" i="30"/>
  <c r="O39" i="30"/>
  <c r="R38" i="30"/>
  <c r="O38" i="30"/>
  <c r="R37" i="30"/>
  <c r="O37" i="30"/>
  <c r="K37" i="30"/>
  <c r="R36" i="30"/>
  <c r="K36" i="30"/>
  <c r="R35" i="30"/>
  <c r="O35" i="30"/>
  <c r="K35" i="30"/>
  <c r="C35" i="30"/>
  <c r="R34" i="30"/>
  <c r="O34" i="30"/>
  <c r="L34" i="30"/>
  <c r="K34" i="30"/>
  <c r="J34" i="30"/>
  <c r="F34" i="30"/>
  <c r="C34" i="30"/>
  <c r="R33" i="30"/>
  <c r="O33" i="30"/>
  <c r="L33" i="30"/>
  <c r="K33" i="30"/>
  <c r="J33" i="30"/>
  <c r="F33" i="30"/>
  <c r="C33" i="30"/>
  <c r="R32" i="30"/>
  <c r="O32" i="30"/>
  <c r="L32" i="30"/>
  <c r="K32" i="30"/>
  <c r="J32" i="30"/>
  <c r="F32" i="30"/>
  <c r="C32" i="30"/>
  <c r="B32" i="30"/>
  <c r="R31" i="30"/>
  <c r="O31" i="30"/>
  <c r="L31" i="30"/>
  <c r="K31" i="30"/>
  <c r="J31" i="30"/>
  <c r="F31" i="30"/>
  <c r="C31" i="30"/>
  <c r="B31" i="30"/>
  <c r="R30" i="30"/>
  <c r="O30" i="30"/>
  <c r="L30" i="30"/>
  <c r="K30" i="30"/>
  <c r="J30" i="30"/>
  <c r="H30" i="30"/>
  <c r="F30" i="30"/>
  <c r="D30" i="30"/>
  <c r="C30" i="30"/>
  <c r="B30" i="30"/>
  <c r="R29" i="30"/>
  <c r="P29" i="30"/>
  <c r="O29" i="30"/>
  <c r="L29" i="30"/>
  <c r="K29" i="30"/>
  <c r="J29" i="30"/>
  <c r="I29" i="30"/>
  <c r="H29" i="30"/>
  <c r="G29" i="30"/>
  <c r="F29" i="30"/>
  <c r="D29" i="30"/>
  <c r="C29" i="30"/>
  <c r="B29" i="30"/>
  <c r="R28" i="30"/>
  <c r="P28" i="30"/>
  <c r="O28" i="30"/>
  <c r="L28" i="30"/>
  <c r="K28" i="30"/>
  <c r="J28" i="30"/>
  <c r="I28" i="30"/>
  <c r="H28" i="30"/>
  <c r="G28" i="30"/>
  <c r="F28" i="30"/>
  <c r="D28" i="30"/>
  <c r="C28" i="30"/>
  <c r="B28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R54" i="29"/>
  <c r="R53" i="29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O40" i="29"/>
  <c r="R39" i="29"/>
  <c r="O39" i="29"/>
  <c r="R38" i="29"/>
  <c r="O38" i="29"/>
  <c r="R37" i="29"/>
  <c r="O37" i="29"/>
  <c r="K37" i="29"/>
  <c r="R36" i="29"/>
  <c r="K36" i="29"/>
  <c r="R35" i="29"/>
  <c r="O35" i="29"/>
  <c r="K35" i="29"/>
  <c r="C35" i="29"/>
  <c r="R34" i="29"/>
  <c r="O34" i="29"/>
  <c r="L34" i="29"/>
  <c r="K34" i="29"/>
  <c r="J34" i="29"/>
  <c r="F34" i="29"/>
  <c r="C34" i="29"/>
  <c r="R33" i="29"/>
  <c r="O33" i="29"/>
  <c r="L33" i="29"/>
  <c r="K33" i="29"/>
  <c r="J33" i="29"/>
  <c r="F33" i="29"/>
  <c r="C33" i="29"/>
  <c r="R32" i="29"/>
  <c r="O32" i="29"/>
  <c r="L32" i="29"/>
  <c r="K32" i="29"/>
  <c r="J32" i="29"/>
  <c r="F32" i="29"/>
  <c r="C32" i="29"/>
  <c r="B32" i="29"/>
  <c r="R31" i="29"/>
  <c r="O31" i="29"/>
  <c r="L31" i="29"/>
  <c r="K31" i="29"/>
  <c r="J31" i="29"/>
  <c r="F31" i="29"/>
  <c r="C31" i="29"/>
  <c r="B31" i="29"/>
  <c r="R30" i="29"/>
  <c r="O30" i="29"/>
  <c r="L30" i="29"/>
  <c r="K30" i="29"/>
  <c r="J30" i="29"/>
  <c r="H30" i="29"/>
  <c r="F30" i="29"/>
  <c r="D30" i="29"/>
  <c r="C30" i="29"/>
  <c r="B30" i="29"/>
  <c r="R29" i="29"/>
  <c r="P29" i="29"/>
  <c r="O29" i="29"/>
  <c r="L29" i="29"/>
  <c r="K29" i="29"/>
  <c r="J29" i="29"/>
  <c r="I29" i="29"/>
  <c r="H29" i="29"/>
  <c r="G29" i="29"/>
  <c r="F29" i="29"/>
  <c r="D29" i="29"/>
  <c r="C29" i="29"/>
  <c r="B29" i="29"/>
  <c r="R28" i="29"/>
  <c r="P28" i="29"/>
  <c r="O28" i="29"/>
  <c r="L28" i="29"/>
  <c r="K28" i="29"/>
  <c r="J28" i="29"/>
  <c r="I28" i="29"/>
  <c r="H28" i="29"/>
  <c r="G28" i="29"/>
  <c r="F28" i="29"/>
  <c r="D28" i="29"/>
  <c r="C28" i="29"/>
  <c r="B28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O40" i="28"/>
  <c r="R39" i="28"/>
  <c r="O39" i="28"/>
  <c r="R38" i="28"/>
  <c r="O38" i="28"/>
  <c r="R37" i="28"/>
  <c r="O37" i="28"/>
  <c r="K37" i="28"/>
  <c r="R36" i="28"/>
  <c r="K36" i="28"/>
  <c r="R35" i="28"/>
  <c r="O35" i="28"/>
  <c r="K35" i="28"/>
  <c r="C35" i="28"/>
  <c r="R34" i="28"/>
  <c r="O34" i="28"/>
  <c r="L34" i="28"/>
  <c r="K34" i="28"/>
  <c r="J34" i="28"/>
  <c r="F34" i="28"/>
  <c r="C34" i="28"/>
  <c r="R33" i="28"/>
  <c r="O33" i="28"/>
  <c r="L33" i="28"/>
  <c r="K33" i="28"/>
  <c r="J33" i="28"/>
  <c r="F33" i="28"/>
  <c r="C33" i="28"/>
  <c r="R32" i="28"/>
  <c r="O32" i="28"/>
  <c r="L32" i="28"/>
  <c r="K32" i="28"/>
  <c r="J32" i="28"/>
  <c r="F32" i="28"/>
  <c r="C32" i="28"/>
  <c r="B32" i="28"/>
  <c r="R31" i="28"/>
  <c r="O31" i="28"/>
  <c r="L31" i="28"/>
  <c r="K31" i="28"/>
  <c r="J31" i="28"/>
  <c r="F31" i="28"/>
  <c r="C31" i="28"/>
  <c r="B31" i="28"/>
  <c r="R30" i="28"/>
  <c r="O30" i="28"/>
  <c r="L30" i="28"/>
  <c r="K30" i="28"/>
  <c r="J30" i="28"/>
  <c r="H30" i="28"/>
  <c r="F30" i="28"/>
  <c r="D30" i="28"/>
  <c r="C30" i="28"/>
  <c r="B30" i="28"/>
  <c r="R29" i="28"/>
  <c r="P29" i="28"/>
  <c r="O29" i="28"/>
  <c r="L29" i="28"/>
  <c r="K29" i="28"/>
  <c r="J29" i="28"/>
  <c r="I29" i="28"/>
  <c r="H29" i="28"/>
  <c r="G29" i="28"/>
  <c r="F29" i="28"/>
  <c r="D29" i="28"/>
  <c r="C29" i="28"/>
  <c r="B29" i="28"/>
  <c r="R28" i="28"/>
  <c r="P28" i="28"/>
  <c r="O28" i="28"/>
  <c r="L28" i="28"/>
  <c r="K28" i="28"/>
  <c r="J28" i="28"/>
  <c r="I28" i="28"/>
  <c r="H28" i="28"/>
  <c r="G28" i="28"/>
  <c r="F28" i="28"/>
  <c r="D28" i="28"/>
  <c r="C28" i="28"/>
  <c r="B28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R54" i="27"/>
  <c r="R53" i="27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O40" i="27"/>
  <c r="R39" i="27"/>
  <c r="O39" i="27"/>
  <c r="R38" i="27"/>
  <c r="O38" i="27"/>
  <c r="R37" i="27"/>
  <c r="O37" i="27"/>
  <c r="K37" i="27"/>
  <c r="R36" i="27"/>
  <c r="K36" i="27"/>
  <c r="R35" i="27"/>
  <c r="O35" i="27"/>
  <c r="K35" i="27"/>
  <c r="C35" i="27"/>
  <c r="R34" i="27"/>
  <c r="O34" i="27"/>
  <c r="L34" i="27"/>
  <c r="K34" i="27"/>
  <c r="J34" i="27"/>
  <c r="F34" i="27"/>
  <c r="C34" i="27"/>
  <c r="R33" i="27"/>
  <c r="O33" i="27"/>
  <c r="L33" i="27"/>
  <c r="K33" i="27"/>
  <c r="J33" i="27"/>
  <c r="F33" i="27"/>
  <c r="C33" i="27"/>
  <c r="R32" i="27"/>
  <c r="O32" i="27"/>
  <c r="L32" i="27"/>
  <c r="K32" i="27"/>
  <c r="J32" i="27"/>
  <c r="F32" i="27"/>
  <c r="C32" i="27"/>
  <c r="B32" i="27"/>
  <c r="R31" i="27"/>
  <c r="O31" i="27"/>
  <c r="L31" i="27"/>
  <c r="K31" i="27"/>
  <c r="J31" i="27"/>
  <c r="F31" i="27"/>
  <c r="C31" i="27"/>
  <c r="B31" i="27"/>
  <c r="R30" i="27"/>
  <c r="O30" i="27"/>
  <c r="L30" i="27"/>
  <c r="K30" i="27"/>
  <c r="J30" i="27"/>
  <c r="H30" i="27"/>
  <c r="F30" i="27"/>
  <c r="D30" i="27"/>
  <c r="C30" i="27"/>
  <c r="B30" i="27"/>
  <c r="R29" i="27"/>
  <c r="P29" i="27"/>
  <c r="O29" i="27"/>
  <c r="L29" i="27"/>
  <c r="K29" i="27"/>
  <c r="J29" i="27"/>
  <c r="I29" i="27"/>
  <c r="H29" i="27"/>
  <c r="G29" i="27"/>
  <c r="F29" i="27"/>
  <c r="D29" i="27"/>
  <c r="C29" i="27"/>
  <c r="B29" i="27"/>
  <c r="R28" i="27"/>
  <c r="P28" i="27"/>
  <c r="O28" i="27"/>
  <c r="L28" i="27"/>
  <c r="K28" i="27"/>
  <c r="J28" i="27"/>
  <c r="I28" i="27"/>
  <c r="H28" i="27"/>
  <c r="G28" i="27"/>
  <c r="F28" i="27"/>
  <c r="D28" i="27"/>
  <c r="C28" i="27"/>
  <c r="B28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O40" i="26"/>
  <c r="R39" i="26"/>
  <c r="O39" i="26"/>
  <c r="R38" i="26"/>
  <c r="O38" i="26"/>
  <c r="R37" i="26"/>
  <c r="O37" i="26"/>
  <c r="K37" i="26"/>
  <c r="R36" i="26"/>
  <c r="K36" i="26"/>
  <c r="R35" i="26"/>
  <c r="O35" i="26"/>
  <c r="K35" i="26"/>
  <c r="C35" i="26"/>
  <c r="R34" i="26"/>
  <c r="O34" i="26"/>
  <c r="L34" i="26"/>
  <c r="K34" i="26"/>
  <c r="J34" i="26"/>
  <c r="F34" i="26"/>
  <c r="C34" i="26"/>
  <c r="R33" i="26"/>
  <c r="O33" i="26"/>
  <c r="L33" i="26"/>
  <c r="K33" i="26"/>
  <c r="J33" i="26"/>
  <c r="F33" i="26"/>
  <c r="C33" i="26"/>
  <c r="R32" i="26"/>
  <c r="O32" i="26"/>
  <c r="L32" i="26"/>
  <c r="K32" i="26"/>
  <c r="J32" i="26"/>
  <c r="F32" i="26"/>
  <c r="C32" i="26"/>
  <c r="B32" i="26"/>
  <c r="R31" i="26"/>
  <c r="O31" i="26"/>
  <c r="L31" i="26"/>
  <c r="K31" i="26"/>
  <c r="J31" i="26"/>
  <c r="F31" i="26"/>
  <c r="C31" i="26"/>
  <c r="B31" i="26"/>
  <c r="R30" i="26"/>
  <c r="O30" i="26"/>
  <c r="L30" i="26"/>
  <c r="K30" i="26"/>
  <c r="J30" i="26"/>
  <c r="H30" i="26"/>
  <c r="F30" i="26"/>
  <c r="D30" i="26"/>
  <c r="C30" i="26"/>
  <c r="B30" i="26"/>
  <c r="R29" i="26"/>
  <c r="P29" i="26"/>
  <c r="O29" i="26"/>
  <c r="L29" i="26"/>
  <c r="K29" i="26"/>
  <c r="J29" i="26"/>
  <c r="I29" i="26"/>
  <c r="H29" i="26"/>
  <c r="G29" i="26"/>
  <c r="F29" i="26"/>
  <c r="D29" i="26"/>
  <c r="C29" i="26"/>
  <c r="B29" i="26"/>
  <c r="R28" i="26"/>
  <c r="P28" i="26"/>
  <c r="O28" i="26"/>
  <c r="L28" i="26"/>
  <c r="K28" i="26"/>
  <c r="J28" i="26"/>
  <c r="I28" i="26"/>
  <c r="H28" i="26"/>
  <c r="G28" i="26"/>
  <c r="F28" i="26"/>
  <c r="D28" i="26"/>
  <c r="C28" i="26"/>
  <c r="B28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O40" i="25"/>
  <c r="R39" i="25"/>
  <c r="O39" i="25"/>
  <c r="R38" i="25"/>
  <c r="O38" i="25"/>
  <c r="R37" i="25"/>
  <c r="O37" i="25"/>
  <c r="K37" i="25"/>
  <c r="R36" i="25"/>
  <c r="K36" i="25"/>
  <c r="R35" i="25"/>
  <c r="O35" i="25"/>
  <c r="K35" i="25"/>
  <c r="C35" i="25"/>
  <c r="R34" i="25"/>
  <c r="O34" i="25"/>
  <c r="L34" i="25"/>
  <c r="K34" i="25"/>
  <c r="J34" i="25"/>
  <c r="F34" i="25"/>
  <c r="C34" i="25"/>
  <c r="R33" i="25"/>
  <c r="O33" i="25"/>
  <c r="L33" i="25"/>
  <c r="K33" i="25"/>
  <c r="J33" i="25"/>
  <c r="F33" i="25"/>
  <c r="C33" i="25"/>
  <c r="R32" i="25"/>
  <c r="O32" i="25"/>
  <c r="L32" i="25"/>
  <c r="K32" i="25"/>
  <c r="J32" i="25"/>
  <c r="F32" i="25"/>
  <c r="C32" i="25"/>
  <c r="B32" i="25"/>
  <c r="R31" i="25"/>
  <c r="O31" i="25"/>
  <c r="L31" i="25"/>
  <c r="K31" i="25"/>
  <c r="J31" i="25"/>
  <c r="F31" i="25"/>
  <c r="C31" i="25"/>
  <c r="B31" i="25"/>
  <c r="R30" i="25"/>
  <c r="O30" i="25"/>
  <c r="L30" i="25"/>
  <c r="K30" i="25"/>
  <c r="J30" i="25"/>
  <c r="H30" i="25"/>
  <c r="F30" i="25"/>
  <c r="D30" i="25"/>
  <c r="C30" i="25"/>
  <c r="B30" i="25"/>
  <c r="R29" i="25"/>
  <c r="P29" i="25"/>
  <c r="O29" i="25"/>
  <c r="L29" i="25"/>
  <c r="K29" i="25"/>
  <c r="J29" i="25"/>
  <c r="I29" i="25"/>
  <c r="H29" i="25"/>
  <c r="G29" i="25"/>
  <c r="F29" i="25"/>
  <c r="D29" i="25"/>
  <c r="C29" i="25"/>
  <c r="B29" i="25"/>
  <c r="R28" i="25"/>
  <c r="P28" i="25"/>
  <c r="O28" i="25"/>
  <c r="L28" i="25"/>
  <c r="K28" i="25"/>
  <c r="J28" i="25"/>
  <c r="I28" i="25"/>
  <c r="H28" i="25"/>
  <c r="G28" i="25"/>
  <c r="F28" i="25"/>
  <c r="D28" i="25"/>
  <c r="C28" i="25"/>
  <c r="B28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O40" i="24"/>
  <c r="R39" i="24"/>
  <c r="O39" i="24"/>
  <c r="R38" i="24"/>
  <c r="O38" i="24"/>
  <c r="R37" i="24"/>
  <c r="O37" i="24"/>
  <c r="K37" i="24"/>
  <c r="R36" i="24"/>
  <c r="K36" i="24"/>
  <c r="R35" i="24"/>
  <c r="O35" i="24"/>
  <c r="K35" i="24"/>
  <c r="C35" i="24"/>
  <c r="R34" i="24"/>
  <c r="O34" i="24"/>
  <c r="L34" i="24"/>
  <c r="K34" i="24"/>
  <c r="J34" i="24"/>
  <c r="F34" i="24"/>
  <c r="C34" i="24"/>
  <c r="R33" i="24"/>
  <c r="O33" i="24"/>
  <c r="L33" i="24"/>
  <c r="K33" i="24"/>
  <c r="J33" i="24"/>
  <c r="F33" i="24"/>
  <c r="C33" i="24"/>
  <c r="R32" i="24"/>
  <c r="O32" i="24"/>
  <c r="L32" i="24"/>
  <c r="K32" i="24"/>
  <c r="J32" i="24"/>
  <c r="F32" i="24"/>
  <c r="C32" i="24"/>
  <c r="B32" i="24"/>
  <c r="R31" i="24"/>
  <c r="O31" i="24"/>
  <c r="L31" i="24"/>
  <c r="K31" i="24"/>
  <c r="J31" i="24"/>
  <c r="F31" i="24"/>
  <c r="C31" i="24"/>
  <c r="B31" i="24"/>
  <c r="R30" i="24"/>
  <c r="O30" i="24"/>
  <c r="L30" i="24"/>
  <c r="K30" i="24"/>
  <c r="J30" i="24"/>
  <c r="H30" i="24"/>
  <c r="F30" i="24"/>
  <c r="D30" i="24"/>
  <c r="C30" i="24"/>
  <c r="B30" i="24"/>
  <c r="R29" i="24"/>
  <c r="P29" i="24"/>
  <c r="O29" i="24"/>
  <c r="L29" i="24"/>
  <c r="K29" i="24"/>
  <c r="J29" i="24"/>
  <c r="I29" i="24"/>
  <c r="H29" i="24"/>
  <c r="G29" i="24"/>
  <c r="F29" i="24"/>
  <c r="D29" i="24"/>
  <c r="C29" i="24"/>
  <c r="B29" i="24"/>
  <c r="R28" i="24"/>
  <c r="P28" i="24"/>
  <c r="O28" i="24"/>
  <c r="L28" i="24"/>
  <c r="K28" i="24"/>
  <c r="J28" i="24"/>
  <c r="I28" i="24"/>
  <c r="H28" i="24"/>
  <c r="G28" i="24"/>
  <c r="F28" i="24"/>
  <c r="D28" i="24"/>
  <c r="C28" i="24"/>
  <c r="B28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O40" i="23"/>
  <c r="R39" i="23"/>
  <c r="O39" i="23"/>
  <c r="R38" i="23"/>
  <c r="O38" i="23"/>
  <c r="R37" i="23"/>
  <c r="O37" i="23"/>
  <c r="K37" i="23"/>
  <c r="R36" i="23"/>
  <c r="K36" i="23"/>
  <c r="R35" i="23"/>
  <c r="O35" i="23"/>
  <c r="K35" i="23"/>
  <c r="C35" i="23"/>
  <c r="R34" i="23"/>
  <c r="O34" i="23"/>
  <c r="L34" i="23"/>
  <c r="K34" i="23"/>
  <c r="J34" i="23"/>
  <c r="F34" i="23"/>
  <c r="C34" i="23"/>
  <c r="R33" i="23"/>
  <c r="O33" i="23"/>
  <c r="L33" i="23"/>
  <c r="K33" i="23"/>
  <c r="J33" i="23"/>
  <c r="F33" i="23"/>
  <c r="C33" i="23"/>
  <c r="R32" i="23"/>
  <c r="O32" i="23"/>
  <c r="L32" i="23"/>
  <c r="K32" i="23"/>
  <c r="J32" i="23"/>
  <c r="F32" i="23"/>
  <c r="C32" i="23"/>
  <c r="B32" i="23"/>
  <c r="R31" i="23"/>
  <c r="O31" i="23"/>
  <c r="L31" i="23"/>
  <c r="K31" i="23"/>
  <c r="J31" i="23"/>
  <c r="F31" i="23"/>
  <c r="C31" i="23"/>
  <c r="B31" i="23"/>
  <c r="R30" i="23"/>
  <c r="O30" i="23"/>
  <c r="L30" i="23"/>
  <c r="K30" i="23"/>
  <c r="J30" i="23"/>
  <c r="H30" i="23"/>
  <c r="F30" i="23"/>
  <c r="D30" i="23"/>
  <c r="C30" i="23"/>
  <c r="B30" i="23"/>
  <c r="R29" i="23"/>
  <c r="P29" i="23"/>
  <c r="O29" i="23"/>
  <c r="L29" i="23"/>
  <c r="K29" i="23"/>
  <c r="J29" i="23"/>
  <c r="I29" i="23"/>
  <c r="H29" i="23"/>
  <c r="G29" i="23"/>
  <c r="F29" i="23"/>
  <c r="D29" i="23"/>
  <c r="C29" i="23"/>
  <c r="B29" i="23"/>
  <c r="R28" i="23"/>
  <c r="P28" i="23"/>
  <c r="O28" i="23"/>
  <c r="L28" i="23"/>
  <c r="K28" i="23"/>
  <c r="J28" i="23"/>
  <c r="I28" i="23"/>
  <c r="H28" i="23"/>
  <c r="G28" i="23"/>
  <c r="F28" i="23"/>
  <c r="D28" i="23"/>
  <c r="C28" i="23"/>
  <c r="B28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R54" i="22"/>
  <c r="R53" i="22"/>
  <c r="R52" i="22"/>
  <c r="R51" i="22"/>
  <c r="R50" i="22"/>
  <c r="R49" i="22"/>
  <c r="R48" i="22"/>
  <c r="R47" i="22"/>
  <c r="R46" i="22"/>
  <c r="R45" i="22"/>
  <c r="R44" i="22"/>
  <c r="R43" i="22"/>
  <c r="R42" i="22"/>
  <c r="R41" i="22"/>
  <c r="R40" i="22"/>
  <c r="O40" i="22"/>
  <c r="R39" i="22"/>
  <c r="O39" i="22"/>
  <c r="R38" i="22"/>
  <c r="O38" i="22"/>
  <c r="R37" i="22"/>
  <c r="O37" i="22"/>
  <c r="K37" i="22"/>
  <c r="R36" i="22"/>
  <c r="K36" i="22"/>
  <c r="R35" i="22"/>
  <c r="O35" i="22"/>
  <c r="K35" i="22"/>
  <c r="C35" i="22"/>
  <c r="R34" i="22"/>
  <c r="O34" i="22"/>
  <c r="L34" i="22"/>
  <c r="K34" i="22"/>
  <c r="J34" i="22"/>
  <c r="F34" i="22"/>
  <c r="C34" i="22"/>
  <c r="R33" i="22"/>
  <c r="O33" i="22"/>
  <c r="L33" i="22"/>
  <c r="K33" i="22"/>
  <c r="J33" i="22"/>
  <c r="F33" i="22"/>
  <c r="C33" i="22"/>
  <c r="R32" i="22"/>
  <c r="O32" i="22"/>
  <c r="L32" i="22"/>
  <c r="K32" i="22"/>
  <c r="J32" i="22"/>
  <c r="F32" i="22"/>
  <c r="C32" i="22"/>
  <c r="B32" i="22"/>
  <c r="R31" i="22"/>
  <c r="O31" i="22"/>
  <c r="L31" i="22"/>
  <c r="K31" i="22"/>
  <c r="J31" i="22"/>
  <c r="F31" i="22"/>
  <c r="C31" i="22"/>
  <c r="B31" i="22"/>
  <c r="R30" i="22"/>
  <c r="O30" i="22"/>
  <c r="L30" i="22"/>
  <c r="K30" i="22"/>
  <c r="J30" i="22"/>
  <c r="H30" i="22"/>
  <c r="F30" i="22"/>
  <c r="D30" i="22"/>
  <c r="C30" i="22"/>
  <c r="B30" i="22"/>
  <c r="R29" i="22"/>
  <c r="P29" i="22"/>
  <c r="O29" i="22"/>
  <c r="L29" i="22"/>
  <c r="K29" i="22"/>
  <c r="J29" i="22"/>
  <c r="I29" i="22"/>
  <c r="H29" i="22"/>
  <c r="G29" i="22"/>
  <c r="F29" i="22"/>
  <c r="D29" i="22"/>
  <c r="C29" i="22"/>
  <c r="B29" i="22"/>
  <c r="R28" i="22"/>
  <c r="P28" i="22"/>
  <c r="O28" i="22"/>
  <c r="L28" i="22"/>
  <c r="K28" i="22"/>
  <c r="J28" i="22"/>
  <c r="I28" i="22"/>
  <c r="H28" i="22"/>
  <c r="G28" i="22"/>
  <c r="F28" i="22"/>
  <c r="D28" i="22"/>
  <c r="C28" i="22"/>
  <c r="B28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R54" i="21"/>
  <c r="R53" i="21"/>
  <c r="R52" i="21"/>
  <c r="R51" i="21"/>
  <c r="R50" i="21"/>
  <c r="R49" i="21"/>
  <c r="R48" i="21"/>
  <c r="R47" i="21"/>
  <c r="R46" i="21"/>
  <c r="R45" i="21"/>
  <c r="R44" i="21"/>
  <c r="R43" i="21"/>
  <c r="R42" i="21"/>
  <c r="R41" i="21"/>
  <c r="R40" i="21"/>
  <c r="O40" i="21"/>
  <c r="R39" i="21"/>
  <c r="O39" i="21"/>
  <c r="R38" i="21"/>
  <c r="O38" i="21"/>
  <c r="R37" i="21"/>
  <c r="O37" i="21"/>
  <c r="K37" i="21"/>
  <c r="R36" i="21"/>
  <c r="K36" i="21"/>
  <c r="R35" i="21"/>
  <c r="O35" i="21"/>
  <c r="K35" i="21"/>
  <c r="C35" i="21"/>
  <c r="R34" i="21"/>
  <c r="O34" i="21"/>
  <c r="L34" i="21"/>
  <c r="K34" i="21"/>
  <c r="J34" i="21"/>
  <c r="F34" i="21"/>
  <c r="C34" i="21"/>
  <c r="R33" i="21"/>
  <c r="O33" i="21"/>
  <c r="L33" i="21"/>
  <c r="K33" i="21"/>
  <c r="J33" i="21"/>
  <c r="F33" i="21"/>
  <c r="C33" i="21"/>
  <c r="R32" i="21"/>
  <c r="O32" i="21"/>
  <c r="L32" i="21"/>
  <c r="K32" i="21"/>
  <c r="J32" i="21"/>
  <c r="F32" i="21"/>
  <c r="C32" i="21"/>
  <c r="B32" i="21"/>
  <c r="R31" i="21"/>
  <c r="O31" i="21"/>
  <c r="L31" i="21"/>
  <c r="K31" i="21"/>
  <c r="J31" i="21"/>
  <c r="F31" i="21"/>
  <c r="C31" i="21"/>
  <c r="B31" i="21"/>
  <c r="R30" i="21"/>
  <c r="O30" i="21"/>
  <c r="L30" i="21"/>
  <c r="K30" i="21"/>
  <c r="J30" i="21"/>
  <c r="H30" i="21"/>
  <c r="F30" i="21"/>
  <c r="D30" i="21"/>
  <c r="C30" i="21"/>
  <c r="B30" i="21"/>
  <c r="R29" i="21"/>
  <c r="P29" i="21"/>
  <c r="O29" i="21"/>
  <c r="L29" i="21"/>
  <c r="K29" i="21"/>
  <c r="J29" i="21"/>
  <c r="I29" i="21"/>
  <c r="H29" i="21"/>
  <c r="G29" i="21"/>
  <c r="F29" i="21"/>
  <c r="D29" i="21"/>
  <c r="C29" i="21"/>
  <c r="B29" i="21"/>
  <c r="R28" i="21"/>
  <c r="P28" i="21"/>
  <c r="O28" i="21"/>
  <c r="L28" i="21"/>
  <c r="K28" i="21"/>
  <c r="J28" i="21"/>
  <c r="I28" i="21"/>
  <c r="H28" i="21"/>
  <c r="G28" i="21"/>
  <c r="F28" i="21"/>
  <c r="D28" i="21"/>
  <c r="C28" i="21"/>
  <c r="B28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R54" i="20"/>
  <c r="R53" i="20"/>
  <c r="R52" i="20"/>
  <c r="R51" i="20"/>
  <c r="R50" i="20"/>
  <c r="R49" i="20"/>
  <c r="R48" i="20"/>
  <c r="R47" i="20"/>
  <c r="R46" i="20"/>
  <c r="R45" i="20"/>
  <c r="R44" i="20"/>
  <c r="R43" i="20"/>
  <c r="R42" i="20"/>
  <c r="R41" i="20"/>
  <c r="R40" i="20"/>
  <c r="O40" i="20"/>
  <c r="R39" i="20"/>
  <c r="O39" i="20"/>
  <c r="R38" i="20"/>
  <c r="O38" i="20"/>
  <c r="R37" i="20"/>
  <c r="O37" i="20"/>
  <c r="K37" i="20"/>
  <c r="R36" i="20"/>
  <c r="K36" i="20"/>
  <c r="R35" i="20"/>
  <c r="O35" i="20"/>
  <c r="K35" i="20"/>
  <c r="C35" i="20"/>
  <c r="R34" i="20"/>
  <c r="O34" i="20"/>
  <c r="L34" i="20"/>
  <c r="K34" i="20"/>
  <c r="J34" i="20"/>
  <c r="F34" i="20"/>
  <c r="C34" i="20"/>
  <c r="R33" i="20"/>
  <c r="O33" i="20"/>
  <c r="L33" i="20"/>
  <c r="K33" i="20"/>
  <c r="J33" i="20"/>
  <c r="F33" i="20"/>
  <c r="C33" i="20"/>
  <c r="R32" i="20"/>
  <c r="O32" i="20"/>
  <c r="L32" i="20"/>
  <c r="K32" i="20"/>
  <c r="J32" i="20"/>
  <c r="F32" i="20"/>
  <c r="C32" i="20"/>
  <c r="B32" i="20"/>
  <c r="R31" i="20"/>
  <c r="O31" i="20"/>
  <c r="L31" i="20"/>
  <c r="K31" i="20"/>
  <c r="J31" i="20"/>
  <c r="F31" i="20"/>
  <c r="C31" i="20"/>
  <c r="B31" i="20"/>
  <c r="R30" i="20"/>
  <c r="O30" i="20"/>
  <c r="L30" i="20"/>
  <c r="K30" i="20"/>
  <c r="J30" i="20"/>
  <c r="H30" i="20"/>
  <c r="F30" i="20"/>
  <c r="D30" i="20"/>
  <c r="C30" i="20"/>
  <c r="B30" i="20"/>
  <c r="R29" i="20"/>
  <c r="P29" i="20"/>
  <c r="O29" i="20"/>
  <c r="L29" i="20"/>
  <c r="K29" i="20"/>
  <c r="J29" i="20"/>
  <c r="I29" i="20"/>
  <c r="H29" i="20"/>
  <c r="G29" i="20"/>
  <c r="F29" i="20"/>
  <c r="D29" i="20"/>
  <c r="C29" i="20"/>
  <c r="B29" i="20"/>
  <c r="R28" i="20"/>
  <c r="P28" i="20"/>
  <c r="O28" i="20"/>
  <c r="L28" i="20"/>
  <c r="K28" i="20"/>
  <c r="J28" i="20"/>
  <c r="I28" i="20"/>
  <c r="H28" i="20"/>
  <c r="G28" i="20"/>
  <c r="F28" i="20"/>
  <c r="D28" i="20"/>
  <c r="C28" i="20"/>
  <c r="B28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O40" i="19"/>
  <c r="R39" i="19"/>
  <c r="O39" i="19"/>
  <c r="R38" i="19"/>
  <c r="O38" i="19"/>
  <c r="R37" i="19"/>
  <c r="O37" i="19"/>
  <c r="K37" i="19"/>
  <c r="R36" i="19"/>
  <c r="K36" i="19"/>
  <c r="R35" i="19"/>
  <c r="O35" i="19"/>
  <c r="K35" i="19"/>
  <c r="C35" i="19"/>
  <c r="R34" i="19"/>
  <c r="O34" i="19"/>
  <c r="L34" i="19"/>
  <c r="K34" i="19"/>
  <c r="J34" i="19"/>
  <c r="F34" i="19"/>
  <c r="C34" i="19"/>
  <c r="R33" i="19"/>
  <c r="O33" i="19"/>
  <c r="L33" i="19"/>
  <c r="K33" i="19"/>
  <c r="J33" i="19"/>
  <c r="F33" i="19"/>
  <c r="C33" i="19"/>
  <c r="R32" i="19"/>
  <c r="O32" i="19"/>
  <c r="L32" i="19"/>
  <c r="K32" i="19"/>
  <c r="J32" i="19"/>
  <c r="F32" i="19"/>
  <c r="C32" i="19"/>
  <c r="B32" i="19"/>
  <c r="R31" i="19"/>
  <c r="O31" i="19"/>
  <c r="L31" i="19"/>
  <c r="K31" i="19"/>
  <c r="J31" i="19"/>
  <c r="F31" i="19"/>
  <c r="C31" i="19"/>
  <c r="B31" i="19"/>
  <c r="R30" i="19"/>
  <c r="O30" i="19"/>
  <c r="L30" i="19"/>
  <c r="K30" i="19"/>
  <c r="J30" i="19"/>
  <c r="H30" i="19"/>
  <c r="F30" i="19"/>
  <c r="D30" i="19"/>
  <c r="C30" i="19"/>
  <c r="B30" i="19"/>
  <c r="R29" i="19"/>
  <c r="P29" i="19"/>
  <c r="O29" i="19"/>
  <c r="L29" i="19"/>
  <c r="K29" i="19"/>
  <c r="J29" i="19"/>
  <c r="I29" i="19"/>
  <c r="H29" i="19"/>
  <c r="G29" i="19"/>
  <c r="F29" i="19"/>
  <c r="D29" i="19"/>
  <c r="C29" i="19"/>
  <c r="B29" i="19"/>
  <c r="R28" i="19"/>
  <c r="P28" i="19"/>
  <c r="O28" i="19"/>
  <c r="L28" i="19"/>
  <c r="K28" i="19"/>
  <c r="J28" i="19"/>
  <c r="I28" i="19"/>
  <c r="H28" i="19"/>
  <c r="G28" i="19"/>
  <c r="F28" i="19"/>
  <c r="D28" i="19"/>
  <c r="C28" i="19"/>
  <c r="B28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R54" i="18"/>
  <c r="R53" i="18"/>
  <c r="R52" i="18"/>
  <c r="R51" i="18"/>
  <c r="R50" i="18"/>
  <c r="R49" i="18"/>
  <c r="R48" i="18"/>
  <c r="R47" i="18"/>
  <c r="R46" i="18"/>
  <c r="R45" i="18"/>
  <c r="R44" i="18"/>
  <c r="R43" i="18"/>
  <c r="R42" i="18"/>
  <c r="R41" i="18"/>
  <c r="R40" i="18"/>
  <c r="O40" i="18"/>
  <c r="R39" i="18"/>
  <c r="O39" i="18"/>
  <c r="R38" i="18"/>
  <c r="O38" i="18"/>
  <c r="R37" i="18"/>
  <c r="O37" i="18"/>
  <c r="K37" i="18"/>
  <c r="R36" i="18"/>
  <c r="K36" i="18"/>
  <c r="R35" i="18"/>
  <c r="O35" i="18"/>
  <c r="K35" i="18"/>
  <c r="C35" i="18"/>
  <c r="R34" i="18"/>
  <c r="O34" i="18"/>
  <c r="L34" i="18"/>
  <c r="K34" i="18"/>
  <c r="J34" i="18"/>
  <c r="F34" i="18"/>
  <c r="C34" i="18"/>
  <c r="R33" i="18"/>
  <c r="O33" i="18"/>
  <c r="L33" i="18"/>
  <c r="K33" i="18"/>
  <c r="J33" i="18"/>
  <c r="F33" i="18"/>
  <c r="C33" i="18"/>
  <c r="R32" i="18"/>
  <c r="O32" i="18"/>
  <c r="L32" i="18"/>
  <c r="K32" i="18"/>
  <c r="J32" i="18"/>
  <c r="F32" i="18"/>
  <c r="C32" i="18"/>
  <c r="B32" i="18"/>
  <c r="R31" i="18"/>
  <c r="O31" i="18"/>
  <c r="L31" i="18"/>
  <c r="K31" i="18"/>
  <c r="J31" i="18"/>
  <c r="F31" i="18"/>
  <c r="C31" i="18"/>
  <c r="B31" i="18"/>
  <c r="R30" i="18"/>
  <c r="O30" i="18"/>
  <c r="L30" i="18"/>
  <c r="K30" i="18"/>
  <c r="J30" i="18"/>
  <c r="H30" i="18"/>
  <c r="F30" i="18"/>
  <c r="D30" i="18"/>
  <c r="C30" i="18"/>
  <c r="B30" i="18"/>
  <c r="R29" i="18"/>
  <c r="P29" i="18"/>
  <c r="O29" i="18"/>
  <c r="L29" i="18"/>
  <c r="K29" i="18"/>
  <c r="J29" i="18"/>
  <c r="I29" i="18"/>
  <c r="H29" i="18"/>
  <c r="G29" i="18"/>
  <c r="F29" i="18"/>
  <c r="D29" i="18"/>
  <c r="C29" i="18"/>
  <c r="B29" i="18"/>
  <c r="R28" i="18"/>
  <c r="P28" i="18"/>
  <c r="O28" i="18"/>
  <c r="L28" i="18"/>
  <c r="K28" i="18"/>
  <c r="J28" i="18"/>
  <c r="I28" i="18"/>
  <c r="H28" i="18"/>
  <c r="G28" i="18"/>
  <c r="F28" i="18"/>
  <c r="D28" i="18"/>
  <c r="C28" i="18"/>
  <c r="B28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O40" i="17"/>
  <c r="R39" i="17"/>
  <c r="O39" i="17"/>
  <c r="R38" i="17"/>
  <c r="O38" i="17"/>
  <c r="R37" i="17"/>
  <c r="O37" i="17"/>
  <c r="K37" i="17"/>
  <c r="R36" i="17"/>
  <c r="K36" i="17"/>
  <c r="R35" i="17"/>
  <c r="O35" i="17"/>
  <c r="K35" i="17"/>
  <c r="C35" i="17"/>
  <c r="R34" i="17"/>
  <c r="O34" i="17"/>
  <c r="L34" i="17"/>
  <c r="K34" i="17"/>
  <c r="J34" i="17"/>
  <c r="F34" i="17"/>
  <c r="C34" i="17"/>
  <c r="R33" i="17"/>
  <c r="O33" i="17"/>
  <c r="L33" i="17"/>
  <c r="K33" i="17"/>
  <c r="J33" i="17"/>
  <c r="F33" i="17"/>
  <c r="C33" i="17"/>
  <c r="R32" i="17"/>
  <c r="O32" i="17"/>
  <c r="L32" i="17"/>
  <c r="K32" i="17"/>
  <c r="J32" i="17"/>
  <c r="F32" i="17"/>
  <c r="C32" i="17"/>
  <c r="B32" i="17"/>
  <c r="R31" i="17"/>
  <c r="O31" i="17"/>
  <c r="L31" i="17"/>
  <c r="K31" i="17"/>
  <c r="J31" i="17"/>
  <c r="F31" i="17"/>
  <c r="C31" i="17"/>
  <c r="B31" i="17"/>
  <c r="R30" i="17"/>
  <c r="O30" i="17"/>
  <c r="L30" i="17"/>
  <c r="K30" i="17"/>
  <c r="J30" i="17"/>
  <c r="H30" i="17"/>
  <c r="F30" i="17"/>
  <c r="D30" i="17"/>
  <c r="C30" i="17"/>
  <c r="B30" i="17"/>
  <c r="R29" i="17"/>
  <c r="P29" i="17"/>
  <c r="O29" i="17"/>
  <c r="L29" i="17"/>
  <c r="K29" i="17"/>
  <c r="J29" i="17"/>
  <c r="I29" i="17"/>
  <c r="H29" i="17"/>
  <c r="G29" i="17"/>
  <c r="F29" i="17"/>
  <c r="D29" i="17"/>
  <c r="C29" i="17"/>
  <c r="B29" i="17"/>
  <c r="R28" i="17"/>
  <c r="P28" i="17"/>
  <c r="O28" i="17"/>
  <c r="L28" i="17"/>
  <c r="K28" i="17"/>
  <c r="J28" i="17"/>
  <c r="I28" i="17"/>
  <c r="H28" i="17"/>
  <c r="G28" i="17"/>
  <c r="F28" i="17"/>
  <c r="D28" i="17"/>
  <c r="C28" i="17"/>
  <c r="B28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O40" i="16"/>
  <c r="R39" i="16"/>
  <c r="O39" i="16"/>
  <c r="R38" i="16"/>
  <c r="O38" i="16"/>
  <c r="R37" i="16"/>
  <c r="O37" i="16"/>
  <c r="K37" i="16"/>
  <c r="R36" i="16"/>
  <c r="K36" i="16"/>
  <c r="R35" i="16"/>
  <c r="O35" i="16"/>
  <c r="K35" i="16"/>
  <c r="C35" i="16"/>
  <c r="R34" i="16"/>
  <c r="O34" i="16"/>
  <c r="L34" i="16"/>
  <c r="K34" i="16"/>
  <c r="J34" i="16"/>
  <c r="F34" i="16"/>
  <c r="C34" i="16"/>
  <c r="R33" i="16"/>
  <c r="O33" i="16"/>
  <c r="L33" i="16"/>
  <c r="K33" i="16"/>
  <c r="J33" i="16"/>
  <c r="F33" i="16"/>
  <c r="C33" i="16"/>
  <c r="R32" i="16"/>
  <c r="O32" i="16"/>
  <c r="L32" i="16"/>
  <c r="K32" i="16"/>
  <c r="J32" i="16"/>
  <c r="F32" i="16"/>
  <c r="C32" i="16"/>
  <c r="B32" i="16"/>
  <c r="R31" i="16"/>
  <c r="O31" i="16"/>
  <c r="L31" i="16"/>
  <c r="K31" i="16"/>
  <c r="J31" i="16"/>
  <c r="F31" i="16"/>
  <c r="C31" i="16"/>
  <c r="B31" i="16"/>
  <c r="R30" i="16"/>
  <c r="O30" i="16"/>
  <c r="L30" i="16"/>
  <c r="K30" i="16"/>
  <c r="J30" i="16"/>
  <c r="H30" i="16"/>
  <c r="F30" i="16"/>
  <c r="D30" i="16"/>
  <c r="C30" i="16"/>
  <c r="B30" i="16"/>
  <c r="R29" i="16"/>
  <c r="P29" i="16"/>
  <c r="O29" i="16"/>
  <c r="L29" i="16"/>
  <c r="K29" i="16"/>
  <c r="J29" i="16"/>
  <c r="I29" i="16"/>
  <c r="H29" i="16"/>
  <c r="G29" i="16"/>
  <c r="F29" i="16"/>
  <c r="D29" i="16"/>
  <c r="C29" i="16"/>
  <c r="B29" i="16"/>
  <c r="R28" i="16"/>
  <c r="P28" i="16"/>
  <c r="O28" i="16"/>
  <c r="L28" i="16"/>
  <c r="K28" i="16"/>
  <c r="J28" i="16"/>
  <c r="I28" i="16"/>
  <c r="H28" i="16"/>
  <c r="G28" i="16"/>
  <c r="F28" i="16"/>
  <c r="D28" i="16"/>
  <c r="C28" i="16"/>
  <c r="B28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O40" i="15"/>
  <c r="R39" i="15"/>
  <c r="O39" i="15"/>
  <c r="R38" i="15"/>
  <c r="O38" i="15"/>
  <c r="R37" i="15"/>
  <c r="O37" i="15"/>
  <c r="K37" i="15"/>
  <c r="R36" i="15"/>
  <c r="K36" i="15"/>
  <c r="R35" i="15"/>
  <c r="O35" i="15"/>
  <c r="K35" i="15"/>
  <c r="C35" i="15"/>
  <c r="R34" i="15"/>
  <c r="O34" i="15"/>
  <c r="L34" i="15"/>
  <c r="K34" i="15"/>
  <c r="J34" i="15"/>
  <c r="F34" i="15"/>
  <c r="C34" i="15"/>
  <c r="R33" i="15"/>
  <c r="O33" i="15"/>
  <c r="L33" i="15"/>
  <c r="K33" i="15"/>
  <c r="J33" i="15"/>
  <c r="F33" i="15"/>
  <c r="C33" i="15"/>
  <c r="R32" i="15"/>
  <c r="O32" i="15"/>
  <c r="L32" i="15"/>
  <c r="K32" i="15"/>
  <c r="J32" i="15"/>
  <c r="F32" i="15"/>
  <c r="C32" i="15"/>
  <c r="B32" i="15"/>
  <c r="R31" i="15"/>
  <c r="O31" i="15"/>
  <c r="L31" i="15"/>
  <c r="K31" i="15"/>
  <c r="J31" i="15"/>
  <c r="F31" i="15"/>
  <c r="C31" i="15"/>
  <c r="B31" i="15"/>
  <c r="R30" i="15"/>
  <c r="O30" i="15"/>
  <c r="L30" i="15"/>
  <c r="K30" i="15"/>
  <c r="J30" i="15"/>
  <c r="H30" i="15"/>
  <c r="F30" i="15"/>
  <c r="D30" i="15"/>
  <c r="C30" i="15"/>
  <c r="B30" i="15"/>
  <c r="R29" i="15"/>
  <c r="P29" i="15"/>
  <c r="O29" i="15"/>
  <c r="L29" i="15"/>
  <c r="K29" i="15"/>
  <c r="J29" i="15"/>
  <c r="I29" i="15"/>
  <c r="H29" i="15"/>
  <c r="G29" i="15"/>
  <c r="F29" i="15"/>
  <c r="D29" i="15"/>
  <c r="C29" i="15"/>
  <c r="B29" i="15"/>
  <c r="R28" i="15"/>
  <c r="P28" i="15"/>
  <c r="O28" i="15"/>
  <c r="L28" i="15"/>
  <c r="K28" i="15"/>
  <c r="J28" i="15"/>
  <c r="I28" i="15"/>
  <c r="H28" i="15"/>
  <c r="G28" i="15"/>
  <c r="F28" i="15"/>
  <c r="D28" i="15"/>
  <c r="C28" i="15"/>
  <c r="B28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O40" i="14"/>
  <c r="R39" i="14"/>
  <c r="O39" i="14"/>
  <c r="R38" i="14"/>
  <c r="O38" i="14"/>
  <c r="R37" i="14"/>
  <c r="O37" i="14"/>
  <c r="K37" i="14"/>
  <c r="R36" i="14"/>
  <c r="K36" i="14"/>
  <c r="R35" i="14"/>
  <c r="O35" i="14"/>
  <c r="K35" i="14"/>
  <c r="C35" i="14"/>
  <c r="R34" i="14"/>
  <c r="O34" i="14"/>
  <c r="L34" i="14"/>
  <c r="K34" i="14"/>
  <c r="J34" i="14"/>
  <c r="F34" i="14"/>
  <c r="C34" i="14"/>
  <c r="R33" i="14"/>
  <c r="O33" i="14"/>
  <c r="L33" i="14"/>
  <c r="K33" i="14"/>
  <c r="J33" i="14"/>
  <c r="F33" i="14"/>
  <c r="C33" i="14"/>
  <c r="R32" i="14"/>
  <c r="O32" i="14"/>
  <c r="L32" i="14"/>
  <c r="K32" i="14"/>
  <c r="J32" i="14"/>
  <c r="F32" i="14"/>
  <c r="C32" i="14"/>
  <c r="B32" i="14"/>
  <c r="R31" i="14"/>
  <c r="O31" i="14"/>
  <c r="L31" i="14"/>
  <c r="K31" i="14"/>
  <c r="J31" i="14"/>
  <c r="F31" i="14"/>
  <c r="C31" i="14"/>
  <c r="B31" i="14"/>
  <c r="R30" i="14"/>
  <c r="O30" i="14"/>
  <c r="L30" i="14"/>
  <c r="K30" i="14"/>
  <c r="J30" i="14"/>
  <c r="H30" i="14"/>
  <c r="F30" i="14"/>
  <c r="D30" i="14"/>
  <c r="C30" i="14"/>
  <c r="B30" i="14"/>
  <c r="R29" i="14"/>
  <c r="P29" i="14"/>
  <c r="O29" i="14"/>
  <c r="L29" i="14"/>
  <c r="K29" i="14"/>
  <c r="J29" i="14"/>
  <c r="I29" i="14"/>
  <c r="H29" i="14"/>
  <c r="G29" i="14"/>
  <c r="F29" i="14"/>
  <c r="D29" i="14"/>
  <c r="C29" i="14"/>
  <c r="B29" i="14"/>
  <c r="R28" i="14"/>
  <c r="P28" i="14"/>
  <c r="O28" i="14"/>
  <c r="L28" i="14"/>
  <c r="K28" i="14"/>
  <c r="J28" i="14"/>
  <c r="I28" i="14"/>
  <c r="H28" i="14"/>
  <c r="G28" i="14"/>
  <c r="F28" i="14"/>
  <c r="D28" i="14"/>
  <c r="C28" i="14"/>
  <c r="B28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O40" i="13"/>
  <c r="R39" i="13"/>
  <c r="O39" i="13"/>
  <c r="R38" i="13"/>
  <c r="O38" i="13"/>
  <c r="R37" i="13"/>
  <c r="O37" i="13"/>
  <c r="K37" i="13"/>
  <c r="R36" i="13"/>
  <c r="K36" i="13"/>
  <c r="R35" i="13"/>
  <c r="O35" i="13"/>
  <c r="K35" i="13"/>
  <c r="C35" i="13"/>
  <c r="R34" i="13"/>
  <c r="O34" i="13"/>
  <c r="L34" i="13"/>
  <c r="K34" i="13"/>
  <c r="J34" i="13"/>
  <c r="F34" i="13"/>
  <c r="C34" i="13"/>
  <c r="R33" i="13"/>
  <c r="O33" i="13"/>
  <c r="L33" i="13"/>
  <c r="K33" i="13"/>
  <c r="J33" i="13"/>
  <c r="F33" i="13"/>
  <c r="C33" i="13"/>
  <c r="R32" i="13"/>
  <c r="O32" i="13"/>
  <c r="L32" i="13"/>
  <c r="K32" i="13"/>
  <c r="J32" i="13"/>
  <c r="F32" i="13"/>
  <c r="C32" i="13"/>
  <c r="B32" i="13"/>
  <c r="R31" i="13"/>
  <c r="O31" i="13"/>
  <c r="L31" i="13"/>
  <c r="K31" i="13"/>
  <c r="J31" i="13"/>
  <c r="F31" i="13"/>
  <c r="C31" i="13"/>
  <c r="B31" i="13"/>
  <c r="R30" i="13"/>
  <c r="O30" i="13"/>
  <c r="L30" i="13"/>
  <c r="K30" i="13"/>
  <c r="J30" i="13"/>
  <c r="H30" i="13"/>
  <c r="F30" i="13"/>
  <c r="D30" i="13"/>
  <c r="C30" i="13"/>
  <c r="B30" i="13"/>
  <c r="R29" i="13"/>
  <c r="P29" i="13"/>
  <c r="O29" i="13"/>
  <c r="L29" i="13"/>
  <c r="K29" i="13"/>
  <c r="J29" i="13"/>
  <c r="I29" i="13"/>
  <c r="H29" i="13"/>
  <c r="G29" i="13"/>
  <c r="F29" i="13"/>
  <c r="D29" i="13"/>
  <c r="C29" i="13"/>
  <c r="B29" i="13"/>
  <c r="R28" i="13"/>
  <c r="P28" i="13"/>
  <c r="O28" i="13"/>
  <c r="L28" i="13"/>
  <c r="K28" i="13"/>
  <c r="J28" i="13"/>
  <c r="I28" i="13"/>
  <c r="H28" i="13"/>
  <c r="G28" i="13"/>
  <c r="F28" i="13"/>
  <c r="D28" i="13"/>
  <c r="C28" i="13"/>
  <c r="B28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O40" i="12"/>
  <c r="R39" i="12"/>
  <c r="O39" i="12"/>
  <c r="R38" i="12"/>
  <c r="O38" i="12"/>
  <c r="R37" i="12"/>
  <c r="O37" i="12"/>
  <c r="K37" i="12"/>
  <c r="R36" i="12"/>
  <c r="K36" i="12"/>
  <c r="R35" i="12"/>
  <c r="O35" i="12"/>
  <c r="K35" i="12"/>
  <c r="C35" i="12"/>
  <c r="R34" i="12"/>
  <c r="O34" i="12"/>
  <c r="L34" i="12"/>
  <c r="K34" i="12"/>
  <c r="J34" i="12"/>
  <c r="F34" i="12"/>
  <c r="C34" i="12"/>
  <c r="R33" i="12"/>
  <c r="O33" i="12"/>
  <c r="L33" i="12"/>
  <c r="K33" i="12"/>
  <c r="J33" i="12"/>
  <c r="F33" i="12"/>
  <c r="C33" i="12"/>
  <c r="R32" i="12"/>
  <c r="O32" i="12"/>
  <c r="L32" i="12"/>
  <c r="K32" i="12"/>
  <c r="J32" i="12"/>
  <c r="F32" i="12"/>
  <c r="C32" i="12"/>
  <c r="B32" i="12"/>
  <c r="R31" i="12"/>
  <c r="O31" i="12"/>
  <c r="L31" i="12"/>
  <c r="K31" i="12"/>
  <c r="J31" i="12"/>
  <c r="F31" i="12"/>
  <c r="C31" i="12"/>
  <c r="B31" i="12"/>
  <c r="R30" i="12"/>
  <c r="O30" i="12"/>
  <c r="L30" i="12"/>
  <c r="K30" i="12"/>
  <c r="J30" i="12"/>
  <c r="H30" i="12"/>
  <c r="F30" i="12"/>
  <c r="D30" i="12"/>
  <c r="C30" i="12"/>
  <c r="B30" i="12"/>
  <c r="R29" i="12"/>
  <c r="P29" i="12"/>
  <c r="O29" i="12"/>
  <c r="L29" i="12"/>
  <c r="K29" i="12"/>
  <c r="J29" i="12"/>
  <c r="I29" i="12"/>
  <c r="H29" i="12"/>
  <c r="G29" i="12"/>
  <c r="F29" i="12"/>
  <c r="D29" i="12"/>
  <c r="C29" i="12"/>
  <c r="B29" i="12"/>
  <c r="R28" i="12"/>
  <c r="P28" i="12"/>
  <c r="O28" i="12"/>
  <c r="L28" i="12"/>
  <c r="K28" i="12"/>
  <c r="J28" i="12"/>
  <c r="I28" i="12"/>
  <c r="H28" i="12"/>
  <c r="G28" i="12"/>
  <c r="F28" i="12"/>
  <c r="D28" i="12"/>
  <c r="C28" i="12"/>
  <c r="B28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R54" i="11"/>
  <c r="R53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O40" i="11"/>
  <c r="R39" i="11"/>
  <c r="O39" i="11"/>
  <c r="R38" i="11"/>
  <c r="O38" i="11"/>
  <c r="R37" i="11"/>
  <c r="O37" i="11"/>
  <c r="K37" i="11"/>
  <c r="R36" i="11"/>
  <c r="K36" i="11"/>
  <c r="R35" i="11"/>
  <c r="O35" i="11"/>
  <c r="K35" i="11"/>
  <c r="C35" i="11"/>
  <c r="R34" i="11"/>
  <c r="O34" i="11"/>
  <c r="L34" i="11"/>
  <c r="K34" i="11"/>
  <c r="J34" i="11"/>
  <c r="F34" i="11"/>
  <c r="C34" i="11"/>
  <c r="R33" i="11"/>
  <c r="O33" i="11"/>
  <c r="L33" i="11"/>
  <c r="K33" i="11"/>
  <c r="J33" i="11"/>
  <c r="F33" i="11"/>
  <c r="C33" i="11"/>
  <c r="R32" i="11"/>
  <c r="O32" i="11"/>
  <c r="L32" i="11"/>
  <c r="K32" i="11"/>
  <c r="J32" i="11"/>
  <c r="F32" i="11"/>
  <c r="C32" i="11"/>
  <c r="B32" i="11"/>
  <c r="R31" i="11"/>
  <c r="O31" i="11"/>
  <c r="L31" i="11"/>
  <c r="K31" i="11"/>
  <c r="J31" i="11"/>
  <c r="F31" i="11"/>
  <c r="C31" i="11"/>
  <c r="B31" i="11"/>
  <c r="R30" i="11"/>
  <c r="O30" i="11"/>
  <c r="L30" i="11"/>
  <c r="K30" i="11"/>
  <c r="J30" i="11"/>
  <c r="H30" i="11"/>
  <c r="F30" i="11"/>
  <c r="D30" i="11"/>
  <c r="C30" i="11"/>
  <c r="B30" i="11"/>
  <c r="R29" i="11"/>
  <c r="P29" i="11"/>
  <c r="O29" i="11"/>
  <c r="L29" i="11"/>
  <c r="K29" i="11"/>
  <c r="J29" i="11"/>
  <c r="I29" i="11"/>
  <c r="H29" i="11"/>
  <c r="G29" i="11"/>
  <c r="F29" i="11"/>
  <c r="D29" i="11"/>
  <c r="C29" i="11"/>
  <c r="B29" i="11"/>
  <c r="R28" i="11"/>
  <c r="P28" i="11"/>
  <c r="O28" i="11"/>
  <c r="L28" i="11"/>
  <c r="K28" i="11"/>
  <c r="J28" i="11"/>
  <c r="I28" i="11"/>
  <c r="H28" i="11"/>
  <c r="G28" i="11"/>
  <c r="F28" i="11"/>
  <c r="D28" i="11"/>
  <c r="C28" i="11"/>
  <c r="B28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O40" i="10"/>
  <c r="R39" i="10"/>
  <c r="O39" i="10"/>
  <c r="R38" i="10"/>
  <c r="O38" i="10"/>
  <c r="R37" i="10"/>
  <c r="O37" i="10"/>
  <c r="K37" i="10"/>
  <c r="R36" i="10"/>
  <c r="K36" i="10"/>
  <c r="R35" i="10"/>
  <c r="O35" i="10"/>
  <c r="K35" i="10"/>
  <c r="C35" i="10"/>
  <c r="R34" i="10"/>
  <c r="O34" i="10"/>
  <c r="L34" i="10"/>
  <c r="K34" i="10"/>
  <c r="J34" i="10"/>
  <c r="F34" i="10"/>
  <c r="C34" i="10"/>
  <c r="R33" i="10"/>
  <c r="O33" i="10"/>
  <c r="L33" i="10"/>
  <c r="K33" i="10"/>
  <c r="J33" i="10"/>
  <c r="F33" i="10"/>
  <c r="C33" i="10"/>
  <c r="R32" i="10"/>
  <c r="O32" i="10"/>
  <c r="L32" i="10"/>
  <c r="K32" i="10"/>
  <c r="J32" i="10"/>
  <c r="F32" i="10"/>
  <c r="C32" i="10"/>
  <c r="B32" i="10"/>
  <c r="R31" i="10"/>
  <c r="O31" i="10"/>
  <c r="L31" i="10"/>
  <c r="K31" i="10"/>
  <c r="J31" i="10"/>
  <c r="F31" i="10"/>
  <c r="C31" i="10"/>
  <c r="B31" i="10"/>
  <c r="R30" i="10"/>
  <c r="O30" i="10"/>
  <c r="L30" i="10"/>
  <c r="K30" i="10"/>
  <c r="J30" i="10"/>
  <c r="H30" i="10"/>
  <c r="F30" i="10"/>
  <c r="D30" i="10"/>
  <c r="C30" i="10"/>
  <c r="B30" i="10"/>
  <c r="R29" i="10"/>
  <c r="P29" i="10"/>
  <c r="O29" i="10"/>
  <c r="L29" i="10"/>
  <c r="K29" i="10"/>
  <c r="J29" i="10"/>
  <c r="I29" i="10"/>
  <c r="H29" i="10"/>
  <c r="G29" i="10"/>
  <c r="F29" i="10"/>
  <c r="D29" i="10"/>
  <c r="C29" i="10"/>
  <c r="B29" i="10"/>
  <c r="R28" i="10"/>
  <c r="P28" i="10"/>
  <c r="O28" i="10"/>
  <c r="L28" i="10"/>
  <c r="K28" i="10"/>
  <c r="J28" i="10"/>
  <c r="I28" i="10"/>
  <c r="H28" i="10"/>
  <c r="G28" i="10"/>
  <c r="F28" i="10"/>
  <c r="D28" i="10"/>
  <c r="C28" i="10"/>
  <c r="B28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O40" i="9"/>
  <c r="R39" i="9"/>
  <c r="O39" i="9"/>
  <c r="R38" i="9"/>
  <c r="O38" i="9"/>
  <c r="R37" i="9"/>
  <c r="O37" i="9"/>
  <c r="K37" i="9"/>
  <c r="R36" i="9"/>
  <c r="K36" i="9"/>
  <c r="R35" i="9"/>
  <c r="O35" i="9"/>
  <c r="K35" i="9"/>
  <c r="C35" i="9"/>
  <c r="R34" i="9"/>
  <c r="O34" i="9"/>
  <c r="L34" i="9"/>
  <c r="K34" i="9"/>
  <c r="J34" i="9"/>
  <c r="F34" i="9"/>
  <c r="C34" i="9"/>
  <c r="R33" i="9"/>
  <c r="O33" i="9"/>
  <c r="L33" i="9"/>
  <c r="K33" i="9"/>
  <c r="J33" i="9"/>
  <c r="F33" i="9"/>
  <c r="C33" i="9"/>
  <c r="R32" i="9"/>
  <c r="O32" i="9"/>
  <c r="L32" i="9"/>
  <c r="K32" i="9"/>
  <c r="J32" i="9"/>
  <c r="F32" i="9"/>
  <c r="C32" i="9"/>
  <c r="B32" i="9"/>
  <c r="R31" i="9"/>
  <c r="O31" i="9"/>
  <c r="L31" i="9"/>
  <c r="K31" i="9"/>
  <c r="J31" i="9"/>
  <c r="F31" i="9"/>
  <c r="C31" i="9"/>
  <c r="B31" i="9"/>
  <c r="R30" i="9"/>
  <c r="O30" i="9"/>
  <c r="L30" i="9"/>
  <c r="K30" i="9"/>
  <c r="J30" i="9"/>
  <c r="H30" i="9"/>
  <c r="F30" i="9"/>
  <c r="D30" i="9"/>
  <c r="C30" i="9"/>
  <c r="B30" i="9"/>
  <c r="R29" i="9"/>
  <c r="P29" i="9"/>
  <c r="O29" i="9"/>
  <c r="L29" i="9"/>
  <c r="K29" i="9"/>
  <c r="J29" i="9"/>
  <c r="I29" i="9"/>
  <c r="H29" i="9"/>
  <c r="G29" i="9"/>
  <c r="F29" i="9"/>
  <c r="D29" i="9"/>
  <c r="C29" i="9"/>
  <c r="B29" i="9"/>
  <c r="R28" i="9"/>
  <c r="P28" i="9"/>
  <c r="O28" i="9"/>
  <c r="L28" i="9"/>
  <c r="K28" i="9"/>
  <c r="J28" i="9"/>
  <c r="I28" i="9"/>
  <c r="H28" i="9"/>
  <c r="G28" i="9"/>
  <c r="F28" i="9"/>
  <c r="D28" i="9"/>
  <c r="C28" i="9"/>
  <c r="B28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O40" i="8"/>
  <c r="R39" i="8"/>
  <c r="O39" i="8"/>
  <c r="R38" i="8"/>
  <c r="O38" i="8"/>
  <c r="R37" i="8"/>
  <c r="O37" i="8"/>
  <c r="K37" i="8"/>
  <c r="R36" i="8"/>
  <c r="K36" i="8"/>
  <c r="R35" i="8"/>
  <c r="O35" i="8"/>
  <c r="K35" i="8"/>
  <c r="C35" i="8"/>
  <c r="R34" i="8"/>
  <c r="O34" i="8"/>
  <c r="L34" i="8"/>
  <c r="K34" i="8"/>
  <c r="J34" i="8"/>
  <c r="F34" i="8"/>
  <c r="C34" i="8"/>
  <c r="R33" i="8"/>
  <c r="O33" i="8"/>
  <c r="L33" i="8"/>
  <c r="K33" i="8"/>
  <c r="J33" i="8"/>
  <c r="F33" i="8"/>
  <c r="C33" i="8"/>
  <c r="R32" i="8"/>
  <c r="O32" i="8"/>
  <c r="L32" i="8"/>
  <c r="K32" i="8"/>
  <c r="J32" i="8"/>
  <c r="F32" i="8"/>
  <c r="C32" i="8"/>
  <c r="B32" i="8"/>
  <c r="R31" i="8"/>
  <c r="O31" i="8"/>
  <c r="L31" i="8"/>
  <c r="K31" i="8"/>
  <c r="J31" i="8"/>
  <c r="F31" i="8"/>
  <c r="C31" i="8"/>
  <c r="B31" i="8"/>
  <c r="R30" i="8"/>
  <c r="O30" i="8"/>
  <c r="L30" i="8"/>
  <c r="K30" i="8"/>
  <c r="J30" i="8"/>
  <c r="H30" i="8"/>
  <c r="F30" i="8"/>
  <c r="D30" i="8"/>
  <c r="C30" i="8"/>
  <c r="B30" i="8"/>
  <c r="R29" i="8"/>
  <c r="P29" i="8"/>
  <c r="O29" i="8"/>
  <c r="L29" i="8"/>
  <c r="K29" i="8"/>
  <c r="J29" i="8"/>
  <c r="I29" i="8"/>
  <c r="H29" i="8"/>
  <c r="G29" i="8"/>
  <c r="F29" i="8"/>
  <c r="D29" i="8"/>
  <c r="C29" i="8"/>
  <c r="B29" i="8"/>
  <c r="R28" i="8"/>
  <c r="P28" i="8"/>
  <c r="O28" i="8"/>
  <c r="L28" i="8"/>
  <c r="K28" i="8"/>
  <c r="J28" i="8"/>
  <c r="I28" i="8"/>
  <c r="H28" i="8"/>
  <c r="G28" i="8"/>
  <c r="F28" i="8"/>
  <c r="D28" i="8"/>
  <c r="C28" i="8"/>
  <c r="B28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O40" i="7"/>
  <c r="R39" i="7"/>
  <c r="O39" i="7"/>
  <c r="R38" i="7"/>
  <c r="O38" i="7"/>
  <c r="R37" i="7"/>
  <c r="O37" i="7"/>
  <c r="K37" i="7"/>
  <c r="R36" i="7"/>
  <c r="K36" i="7"/>
  <c r="R35" i="7"/>
  <c r="O35" i="7"/>
  <c r="K35" i="7"/>
  <c r="C35" i="7"/>
  <c r="R34" i="7"/>
  <c r="O34" i="7"/>
  <c r="L34" i="7"/>
  <c r="K34" i="7"/>
  <c r="J34" i="7"/>
  <c r="F34" i="7"/>
  <c r="C34" i="7"/>
  <c r="R33" i="7"/>
  <c r="O33" i="7"/>
  <c r="L33" i="7"/>
  <c r="K33" i="7"/>
  <c r="J33" i="7"/>
  <c r="F33" i="7"/>
  <c r="C33" i="7"/>
  <c r="R32" i="7"/>
  <c r="O32" i="7"/>
  <c r="L32" i="7"/>
  <c r="K32" i="7"/>
  <c r="J32" i="7"/>
  <c r="F32" i="7"/>
  <c r="C32" i="7"/>
  <c r="B32" i="7"/>
  <c r="R31" i="7"/>
  <c r="O31" i="7"/>
  <c r="L31" i="7"/>
  <c r="K31" i="7"/>
  <c r="J31" i="7"/>
  <c r="F31" i="7"/>
  <c r="C31" i="7"/>
  <c r="B31" i="7"/>
  <c r="R30" i="7"/>
  <c r="O30" i="7"/>
  <c r="L30" i="7"/>
  <c r="K30" i="7"/>
  <c r="J30" i="7"/>
  <c r="H30" i="7"/>
  <c r="F30" i="7"/>
  <c r="D30" i="7"/>
  <c r="C30" i="7"/>
  <c r="B30" i="7"/>
  <c r="R29" i="7"/>
  <c r="P29" i="7"/>
  <c r="O29" i="7"/>
  <c r="L29" i="7"/>
  <c r="K29" i="7"/>
  <c r="J29" i="7"/>
  <c r="I29" i="7"/>
  <c r="H29" i="7"/>
  <c r="G29" i="7"/>
  <c r="F29" i="7"/>
  <c r="D29" i="7"/>
  <c r="C29" i="7"/>
  <c r="B29" i="7"/>
  <c r="R28" i="7"/>
  <c r="P28" i="7"/>
  <c r="O28" i="7"/>
  <c r="L28" i="7"/>
  <c r="K28" i="7"/>
  <c r="J28" i="7"/>
  <c r="I28" i="7"/>
  <c r="H28" i="7"/>
  <c r="G28" i="7"/>
  <c r="F28" i="7"/>
  <c r="D28" i="7"/>
  <c r="C28" i="7"/>
  <c r="B28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O40" i="6"/>
  <c r="R39" i="6"/>
  <c r="O39" i="6"/>
  <c r="R38" i="6"/>
  <c r="O38" i="6"/>
  <c r="R37" i="6"/>
  <c r="O37" i="6"/>
  <c r="K37" i="6"/>
  <c r="R36" i="6"/>
  <c r="K36" i="6"/>
  <c r="R35" i="6"/>
  <c r="O35" i="6"/>
  <c r="K35" i="6"/>
  <c r="C35" i="6"/>
  <c r="R34" i="6"/>
  <c r="O34" i="6"/>
  <c r="L34" i="6"/>
  <c r="K34" i="6"/>
  <c r="J34" i="6"/>
  <c r="F34" i="6"/>
  <c r="C34" i="6"/>
  <c r="R33" i="6"/>
  <c r="O33" i="6"/>
  <c r="L33" i="6"/>
  <c r="K33" i="6"/>
  <c r="J33" i="6"/>
  <c r="F33" i="6"/>
  <c r="C33" i="6"/>
  <c r="R32" i="6"/>
  <c r="O32" i="6"/>
  <c r="L32" i="6"/>
  <c r="K32" i="6"/>
  <c r="J32" i="6"/>
  <c r="F32" i="6"/>
  <c r="C32" i="6"/>
  <c r="B32" i="6"/>
  <c r="R31" i="6"/>
  <c r="O31" i="6"/>
  <c r="L31" i="6"/>
  <c r="K31" i="6"/>
  <c r="J31" i="6"/>
  <c r="F31" i="6"/>
  <c r="C31" i="6"/>
  <c r="B31" i="6"/>
  <c r="R30" i="6"/>
  <c r="O30" i="6"/>
  <c r="L30" i="6"/>
  <c r="K30" i="6"/>
  <c r="J30" i="6"/>
  <c r="H30" i="6"/>
  <c r="F30" i="6"/>
  <c r="D30" i="6"/>
  <c r="C30" i="6"/>
  <c r="B30" i="6"/>
  <c r="R29" i="6"/>
  <c r="P29" i="6"/>
  <c r="O29" i="6"/>
  <c r="L29" i="6"/>
  <c r="K29" i="6"/>
  <c r="J29" i="6"/>
  <c r="I29" i="6"/>
  <c r="H29" i="6"/>
  <c r="G29" i="6"/>
  <c r="F29" i="6"/>
  <c r="D29" i="6"/>
  <c r="C29" i="6"/>
  <c r="B29" i="6"/>
  <c r="R28" i="6"/>
  <c r="P28" i="6"/>
  <c r="O28" i="6"/>
  <c r="L28" i="6"/>
  <c r="K28" i="6"/>
  <c r="J28" i="6"/>
  <c r="I28" i="6"/>
  <c r="H28" i="6"/>
  <c r="G28" i="6"/>
  <c r="F28" i="6"/>
  <c r="D28" i="6"/>
  <c r="C28" i="6"/>
  <c r="B28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O40" i="5"/>
  <c r="R39" i="5"/>
  <c r="O39" i="5"/>
  <c r="R38" i="5"/>
  <c r="O38" i="5"/>
  <c r="R37" i="5"/>
  <c r="O37" i="5"/>
  <c r="K37" i="5"/>
  <c r="R36" i="5"/>
  <c r="K36" i="5"/>
  <c r="R35" i="5"/>
  <c r="O35" i="5"/>
  <c r="K35" i="5"/>
  <c r="C35" i="5"/>
  <c r="R34" i="5"/>
  <c r="O34" i="5"/>
  <c r="L34" i="5"/>
  <c r="K34" i="5"/>
  <c r="J34" i="5"/>
  <c r="F34" i="5"/>
  <c r="C34" i="5"/>
  <c r="R33" i="5"/>
  <c r="O33" i="5"/>
  <c r="L33" i="5"/>
  <c r="K33" i="5"/>
  <c r="J33" i="5"/>
  <c r="F33" i="5"/>
  <c r="C33" i="5"/>
  <c r="R32" i="5"/>
  <c r="O32" i="5"/>
  <c r="L32" i="5"/>
  <c r="K32" i="5"/>
  <c r="J32" i="5"/>
  <c r="F32" i="5"/>
  <c r="C32" i="5"/>
  <c r="B32" i="5"/>
  <c r="R31" i="5"/>
  <c r="O31" i="5"/>
  <c r="L31" i="5"/>
  <c r="K31" i="5"/>
  <c r="J31" i="5"/>
  <c r="F31" i="5"/>
  <c r="C31" i="5"/>
  <c r="B31" i="5"/>
  <c r="R30" i="5"/>
  <c r="O30" i="5"/>
  <c r="L30" i="5"/>
  <c r="K30" i="5"/>
  <c r="J30" i="5"/>
  <c r="H30" i="5"/>
  <c r="F30" i="5"/>
  <c r="D30" i="5"/>
  <c r="C30" i="5"/>
  <c r="B30" i="5"/>
  <c r="R29" i="5"/>
  <c r="P29" i="5"/>
  <c r="O29" i="5"/>
  <c r="L29" i="5"/>
  <c r="K29" i="5"/>
  <c r="J29" i="5"/>
  <c r="I29" i="5"/>
  <c r="H29" i="5"/>
  <c r="G29" i="5"/>
  <c r="F29" i="5"/>
  <c r="D29" i="5"/>
  <c r="C29" i="5"/>
  <c r="B29" i="5"/>
  <c r="R28" i="5"/>
  <c r="P28" i="5"/>
  <c r="O28" i="5"/>
  <c r="L28" i="5"/>
  <c r="K28" i="5"/>
  <c r="J28" i="5"/>
  <c r="I28" i="5"/>
  <c r="H28" i="5"/>
  <c r="G28" i="5"/>
  <c r="F28" i="5"/>
  <c r="D28" i="5"/>
  <c r="C28" i="5"/>
  <c r="B28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O40" i="4"/>
  <c r="R39" i="4"/>
  <c r="O39" i="4"/>
  <c r="R38" i="4"/>
  <c r="O38" i="4"/>
  <c r="R37" i="4"/>
  <c r="O37" i="4"/>
  <c r="K37" i="4"/>
  <c r="R36" i="4"/>
  <c r="K36" i="4"/>
  <c r="R35" i="4"/>
  <c r="O35" i="4"/>
  <c r="K35" i="4"/>
  <c r="C35" i="4"/>
  <c r="R34" i="4"/>
  <c r="O34" i="4"/>
  <c r="L34" i="4"/>
  <c r="K34" i="4"/>
  <c r="J34" i="4"/>
  <c r="F34" i="4"/>
  <c r="C34" i="4"/>
  <c r="R33" i="4"/>
  <c r="O33" i="4"/>
  <c r="L33" i="4"/>
  <c r="K33" i="4"/>
  <c r="J33" i="4"/>
  <c r="F33" i="4"/>
  <c r="C33" i="4"/>
  <c r="R32" i="4"/>
  <c r="O32" i="4"/>
  <c r="L32" i="4"/>
  <c r="K32" i="4"/>
  <c r="J32" i="4"/>
  <c r="F32" i="4"/>
  <c r="C32" i="4"/>
  <c r="B32" i="4"/>
  <c r="R31" i="4"/>
  <c r="O31" i="4"/>
  <c r="L31" i="4"/>
  <c r="K31" i="4"/>
  <c r="J31" i="4"/>
  <c r="F31" i="4"/>
  <c r="C31" i="4"/>
  <c r="B31" i="4"/>
  <c r="R30" i="4"/>
  <c r="O30" i="4"/>
  <c r="L30" i="4"/>
  <c r="K30" i="4"/>
  <c r="J30" i="4"/>
  <c r="H30" i="4"/>
  <c r="F30" i="4"/>
  <c r="D30" i="4"/>
  <c r="C30" i="4"/>
  <c r="B30" i="4"/>
  <c r="R29" i="4"/>
  <c r="P29" i="4"/>
  <c r="O29" i="4"/>
  <c r="L29" i="4"/>
  <c r="K29" i="4"/>
  <c r="J29" i="4"/>
  <c r="I29" i="4"/>
  <c r="H29" i="4"/>
  <c r="G29" i="4"/>
  <c r="F29" i="4"/>
  <c r="D29" i="4"/>
  <c r="C29" i="4"/>
  <c r="B29" i="4"/>
  <c r="R28" i="4"/>
  <c r="P28" i="4"/>
  <c r="O28" i="4"/>
  <c r="L28" i="4"/>
  <c r="K28" i="4"/>
  <c r="J28" i="4"/>
  <c r="I28" i="4"/>
  <c r="H28" i="4"/>
  <c r="G28" i="4"/>
  <c r="F28" i="4"/>
  <c r="D28" i="4"/>
  <c r="C28" i="4"/>
  <c r="B28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O40" i="3"/>
  <c r="R39" i="3"/>
  <c r="O39" i="3"/>
  <c r="R38" i="3"/>
  <c r="O38" i="3"/>
  <c r="R37" i="3"/>
  <c r="O37" i="3"/>
  <c r="K37" i="3"/>
  <c r="R36" i="3"/>
  <c r="K36" i="3"/>
  <c r="R35" i="3"/>
  <c r="O35" i="3"/>
  <c r="K35" i="3"/>
  <c r="C35" i="3"/>
  <c r="R34" i="3"/>
  <c r="O34" i="3"/>
  <c r="L34" i="3"/>
  <c r="K34" i="3"/>
  <c r="J34" i="3"/>
  <c r="F34" i="3"/>
  <c r="C34" i="3"/>
  <c r="R33" i="3"/>
  <c r="O33" i="3"/>
  <c r="L33" i="3"/>
  <c r="K33" i="3"/>
  <c r="J33" i="3"/>
  <c r="F33" i="3"/>
  <c r="C33" i="3"/>
  <c r="R32" i="3"/>
  <c r="O32" i="3"/>
  <c r="L32" i="3"/>
  <c r="K32" i="3"/>
  <c r="J32" i="3"/>
  <c r="F32" i="3"/>
  <c r="C32" i="3"/>
  <c r="B32" i="3"/>
  <c r="R31" i="3"/>
  <c r="O31" i="3"/>
  <c r="L31" i="3"/>
  <c r="K31" i="3"/>
  <c r="J31" i="3"/>
  <c r="F31" i="3"/>
  <c r="C31" i="3"/>
  <c r="B31" i="3"/>
  <c r="R30" i="3"/>
  <c r="O30" i="3"/>
  <c r="L30" i="3"/>
  <c r="K30" i="3"/>
  <c r="J30" i="3"/>
  <c r="H30" i="3"/>
  <c r="F30" i="3"/>
  <c r="D30" i="3"/>
  <c r="C30" i="3"/>
  <c r="B30" i="3"/>
  <c r="R29" i="3"/>
  <c r="P29" i="3"/>
  <c r="O29" i="3"/>
  <c r="L29" i="3"/>
  <c r="K29" i="3"/>
  <c r="J29" i="3"/>
  <c r="I29" i="3"/>
  <c r="H29" i="3"/>
  <c r="G29" i="3"/>
  <c r="F29" i="3"/>
  <c r="D29" i="3"/>
  <c r="C29" i="3"/>
  <c r="B29" i="3"/>
  <c r="R28" i="3"/>
  <c r="P28" i="3"/>
  <c r="O28" i="3"/>
  <c r="L28" i="3"/>
  <c r="K28" i="3"/>
  <c r="J28" i="3"/>
  <c r="I28" i="3"/>
  <c r="H28" i="3"/>
  <c r="G28" i="3"/>
  <c r="F28" i="3"/>
  <c r="D28" i="3"/>
  <c r="C28" i="3"/>
  <c r="B28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O40" i="2"/>
  <c r="R39" i="2"/>
  <c r="O39" i="2"/>
  <c r="R38" i="2"/>
  <c r="O38" i="2"/>
  <c r="R37" i="2"/>
  <c r="O37" i="2"/>
  <c r="K37" i="2"/>
  <c r="R36" i="2"/>
  <c r="K36" i="2"/>
  <c r="R35" i="2"/>
  <c r="O35" i="2"/>
  <c r="K35" i="2"/>
  <c r="C35" i="2"/>
  <c r="R34" i="2"/>
  <c r="O34" i="2"/>
  <c r="L34" i="2"/>
  <c r="K34" i="2"/>
  <c r="J34" i="2"/>
  <c r="F34" i="2"/>
  <c r="C34" i="2"/>
  <c r="R33" i="2"/>
  <c r="O33" i="2"/>
  <c r="L33" i="2"/>
  <c r="K33" i="2"/>
  <c r="J33" i="2"/>
  <c r="F33" i="2"/>
  <c r="C33" i="2"/>
  <c r="R32" i="2"/>
  <c r="O32" i="2"/>
  <c r="L32" i="2"/>
  <c r="K32" i="2"/>
  <c r="J32" i="2"/>
  <c r="F32" i="2"/>
  <c r="C32" i="2"/>
  <c r="B32" i="2"/>
  <c r="R31" i="2"/>
  <c r="O31" i="2"/>
  <c r="L31" i="2"/>
  <c r="K31" i="2"/>
  <c r="J31" i="2"/>
  <c r="F31" i="2"/>
  <c r="C31" i="2"/>
  <c r="B31" i="2"/>
  <c r="R30" i="2"/>
  <c r="O30" i="2"/>
  <c r="L30" i="2"/>
  <c r="K30" i="2"/>
  <c r="J30" i="2"/>
  <c r="H30" i="2"/>
  <c r="F30" i="2"/>
  <c r="D30" i="2"/>
  <c r="C30" i="2"/>
  <c r="B30" i="2"/>
  <c r="R29" i="2"/>
  <c r="P29" i="2"/>
  <c r="O29" i="2"/>
  <c r="L29" i="2"/>
  <c r="K29" i="2"/>
  <c r="J29" i="2"/>
  <c r="I29" i="2"/>
  <c r="H29" i="2"/>
  <c r="G29" i="2"/>
  <c r="F29" i="2"/>
  <c r="D29" i="2"/>
  <c r="C29" i="2"/>
  <c r="B29" i="2"/>
  <c r="R28" i="2"/>
  <c r="P28" i="2"/>
  <c r="O28" i="2"/>
  <c r="L28" i="2"/>
  <c r="K28" i="2"/>
  <c r="J28" i="2"/>
  <c r="I28" i="2"/>
  <c r="H28" i="2"/>
  <c r="G28" i="2"/>
  <c r="F28" i="2"/>
  <c r="D28" i="2"/>
  <c r="C28" i="2"/>
  <c r="B28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O40" i="1"/>
  <c r="R39" i="1"/>
  <c r="O39" i="1"/>
  <c r="R38" i="1"/>
  <c r="O38" i="1"/>
  <c r="R37" i="1"/>
  <c r="O37" i="1"/>
  <c r="K37" i="1"/>
  <c r="R36" i="1"/>
  <c r="K36" i="1"/>
  <c r="R35" i="1"/>
  <c r="O35" i="1"/>
  <c r="K35" i="1"/>
  <c r="C35" i="1"/>
  <c r="R34" i="1"/>
  <c r="O34" i="1"/>
  <c r="L34" i="1"/>
  <c r="K34" i="1"/>
  <c r="J34" i="1"/>
  <c r="F34" i="1"/>
  <c r="C34" i="1"/>
  <c r="R33" i="1"/>
  <c r="O33" i="1"/>
  <c r="L33" i="1"/>
  <c r="K33" i="1"/>
  <c r="J33" i="1"/>
  <c r="F33" i="1"/>
  <c r="C33" i="1"/>
  <c r="R32" i="1"/>
  <c r="O32" i="1"/>
  <c r="L32" i="1"/>
  <c r="K32" i="1"/>
  <c r="J32" i="1"/>
  <c r="F32" i="1"/>
  <c r="C32" i="1"/>
  <c r="B32" i="1"/>
  <c r="R31" i="1"/>
  <c r="O31" i="1"/>
  <c r="L31" i="1"/>
  <c r="K31" i="1"/>
  <c r="J31" i="1"/>
  <c r="F31" i="1"/>
  <c r="C31" i="1"/>
  <c r="B31" i="1"/>
  <c r="R30" i="1"/>
  <c r="O30" i="1"/>
  <c r="L30" i="1"/>
  <c r="K30" i="1"/>
  <c r="J30" i="1"/>
  <c r="H30" i="1"/>
  <c r="F30" i="1"/>
  <c r="D30" i="1"/>
  <c r="C30" i="1"/>
  <c r="B30" i="1"/>
  <c r="R29" i="1"/>
  <c r="P29" i="1"/>
  <c r="O29" i="1"/>
  <c r="L29" i="1"/>
  <c r="K29" i="1"/>
  <c r="J29" i="1"/>
  <c r="I29" i="1"/>
  <c r="H29" i="1"/>
  <c r="G29" i="1"/>
  <c r="F29" i="1"/>
  <c r="D29" i="1"/>
  <c r="C29" i="1"/>
  <c r="B29" i="1"/>
  <c r="R28" i="1"/>
  <c r="P28" i="1"/>
  <c r="O28" i="1"/>
  <c r="L28" i="1"/>
  <c r="K28" i="1"/>
  <c r="J28" i="1"/>
  <c r="I28" i="1"/>
  <c r="H28" i="1"/>
  <c r="G28" i="1"/>
  <c r="F28" i="1"/>
  <c r="D28" i="1"/>
  <c r="C28" i="1"/>
  <c r="B28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<sst xmlns="http://schemas.openxmlformats.org/spreadsheetml/2006/main" count="3454" uniqueCount="134">
  <si>
    <t>Time</t>
  </si>
  <si>
    <t>Andrew</t>
  </si>
  <si>
    <t>Azabenathi Pupuma</t>
  </si>
  <si>
    <t>Ben Brooker</t>
  </si>
  <si>
    <t>Flora Kundaeli</t>
  </si>
  <si>
    <t>Mark</t>
  </si>
  <si>
    <t>Michael Malia</t>
  </si>
  <si>
    <t>Muhammad Chothia</t>
  </si>
  <si>
    <t>Ntsako Mavuyangwa</t>
  </si>
  <si>
    <t>Palesa Maboeei</t>
  </si>
  <si>
    <t>Riyadh Leonard</t>
  </si>
  <si>
    <t>Robin April</t>
  </si>
  <si>
    <t>Ruan Vandermerwe</t>
  </si>
  <si>
    <t>Sandisiwe Manquma</t>
  </si>
  <si>
    <t>Suzanne Edlmann</t>
  </si>
  <si>
    <t>Thando Calana</t>
  </si>
  <si>
    <t>Thembani Faleni</t>
  </si>
  <si>
    <t>08:00</t>
  </si>
  <si>
    <t>08:30</t>
  </si>
  <si>
    <t>Daily Stand Up</t>
  </si>
  <si>
    <t>Daily Stand Up, SS Tech Team Daily check-in</t>
  </si>
  <si>
    <t>09:00</t>
  </si>
  <si>
    <t>Strategy and solution Day</t>
  </si>
  <si>
    <t>OM Work</t>
  </si>
  <si>
    <t>DSY DW - Daily standup</t>
  </si>
  <si>
    <t>Wonga Work</t>
  </si>
  <si>
    <t>09:30</t>
  </si>
  <si>
    <t>Wonga: DWH development &amp; migration on Snowflake Project Daily Standup**With Client**, Strategy and solution Day</t>
  </si>
  <si>
    <t>Wonga: DWH development &amp; migration on Snowflake Project Daily Standup**With Client**</t>
  </si>
  <si>
    <t>OM Work, FW: GRCA Portfolio | Team Stand-up, Wonga: DWH development &amp; migration on Snowflake Project Daily Standup**With Client**</t>
  </si>
  <si>
    <t>Ongoing: Daily operational tasks DSY, Ongoing: Daily operational tasks DSY</t>
  </si>
  <si>
    <t>Wonga Work, Wonga: DWH development &amp; migration on Snowflake Project Daily Standup**With Client**</t>
  </si>
  <si>
    <t>10:00</t>
  </si>
  <si>
    <t>FW: Weekly Check-In: Tableau Progress, Strategy and solution Day</t>
  </si>
  <si>
    <t>Shoprite Analytics|| Cloud BI Daily Stand Up</t>
  </si>
  <si>
    <t>FW: Weekly Check-In: Tableau Progress</t>
  </si>
  <si>
    <t>10:30</t>
  </si>
  <si>
    <t>Ongoing: Daily operational tasks DSY</t>
  </si>
  <si>
    <t>11:00</t>
  </si>
  <si>
    <t>SnowPro Core Certification</t>
  </si>
  <si>
    <t>11:30</t>
  </si>
  <si>
    <t>12:00</t>
  </si>
  <si>
    <t>Masjid</t>
  </si>
  <si>
    <t>12:30</t>
  </si>
  <si>
    <t>13:00</t>
  </si>
  <si>
    <t>Development activities - Glue - code and data</t>
  </si>
  <si>
    <t>13:30</t>
  </si>
  <si>
    <t>AWS Solutions Architect Associate</t>
  </si>
  <si>
    <t>14:00</t>
  </si>
  <si>
    <t>14:30</t>
  </si>
  <si>
    <t>15:00</t>
  </si>
  <si>
    <t>OPS Exec Updates, Strategy and solution Day</t>
  </si>
  <si>
    <t>15:30</t>
  </si>
  <si>
    <t>16:00</t>
  </si>
  <si>
    <t>Product Management</t>
  </si>
  <si>
    <t>Upskilling</t>
  </si>
  <si>
    <t>Check Internal Work</t>
  </si>
  <si>
    <t>16:30</t>
  </si>
  <si>
    <t>17:00</t>
  </si>
  <si>
    <t>17:30</t>
  </si>
  <si>
    <t>Load %</t>
  </si>
  <si>
    <t>Tasks per Assignee</t>
  </si>
  <si>
    <t>Andrew Milner</t>
  </si>
  <si>
    <t>Mark Gelman</t>
  </si>
  <si>
    <t>Ruan Van der Merwe</t>
  </si>
  <si>
    <t>Unassigned</t>
  </si>
  <si>
    <t>Weekly Sync: Nate &lt;&gt; Andrew</t>
  </si>
  <si>
    <t>Weekly round-up-meeting</t>
  </si>
  <si>
    <t>Daily Stand Up, Reminder: Update and Submit Timesheets</t>
  </si>
  <si>
    <t>Weekly sales meeting</t>
  </si>
  <si>
    <t xml:space="preserve">Shoprite SLA Internal Review </t>
  </si>
  <si>
    <t xml:space="preserve">DWH Transform load Monitoring  </t>
  </si>
  <si>
    <t>Coffee chat, Internal Study time(PDP)</t>
  </si>
  <si>
    <t>Internal Study time(PDP)</t>
  </si>
  <si>
    <t>PM Forum</t>
  </si>
  <si>
    <t xml:space="preserve">Monthly Tech Team Leave Discussion </t>
  </si>
  <si>
    <t>OM Work, PM Forum</t>
  </si>
  <si>
    <t>Tech team planning, Canceled: Tech Team retro</t>
  </si>
  <si>
    <t>Tableau Tribe Development and Upskilling</t>
  </si>
  <si>
    <t>OM Work, Tableau Tribe Development and Upskilling</t>
  </si>
  <si>
    <t>Canceled: Tech Team retro</t>
  </si>
  <si>
    <t xml:space="preserve">Canceled: Product Management - Wherescape &amp; Alteryx </t>
  </si>
  <si>
    <t>S/Stream - EBU Cadence - Bi-Monthly</t>
  </si>
  <si>
    <t>Resource Utilisation Review</t>
  </si>
  <si>
    <t>Canceled: ShopRite SLA Report Monthly Prep (Tableau, Alteryx, B2B)</t>
  </si>
  <si>
    <t>OM Work, Wonga: DWH development &amp; migration on Snowflake Project Daily Standup**With Client**</t>
  </si>
  <si>
    <t xml:space="preserve">Canceled: Tech Team Planning </t>
  </si>
  <si>
    <t xml:space="preserve">Ongoing: Daily operational tasks DSY, Ongoing: Daily operational tasks DSY, Canceled: Tech Team Planning </t>
  </si>
  <si>
    <t xml:space="preserve">Investec PVT Bank 80 Hours Support Project Weekly Report </t>
  </si>
  <si>
    <t xml:space="preserve">Ongoing: Daily operational tasks DSY, Canceled: Tech Team Planning </t>
  </si>
  <si>
    <t>Data Cloud Implentation Questions</t>
  </si>
  <si>
    <t xml:space="preserve">Shoprite Analytics|| Cloud BI Daily Stand Up, Canceled: Monthly SLA Review - Tableau/Alteryx/Snowflake b2b </t>
  </si>
  <si>
    <t xml:space="preserve">Canceled: Monthly SLA Review - Tableau/Alteryx/Snowflake b2b </t>
  </si>
  <si>
    <t>Canceled: PM Alignment Meeting</t>
  </si>
  <si>
    <t>DW: Weekly round-up meeting</t>
  </si>
  <si>
    <t>Weekly round-up-meeting, DW: Weekly round-up meeting</t>
  </si>
  <si>
    <t>Wonga: DWH development &amp; migration on Snowflake Project Sprint Planning Session</t>
  </si>
  <si>
    <t>Wonga: DWH development &amp; migration on Snowflake Project Sprint Planning Session, AWS Solutions Architect Associate</t>
  </si>
  <si>
    <t>OM Advisor Recon (Manual Run)</t>
  </si>
  <si>
    <t>Advisor Recon Refresh Data Source</t>
  </si>
  <si>
    <t>SA - Cloud BI | Sprint Planning, Weekly sales meeting</t>
  </si>
  <si>
    <t>Ben &lt;&gt; Nate - 1:1</t>
  </si>
  <si>
    <t>IP: SaaS - Asset Management progress update</t>
  </si>
  <si>
    <t>Aza &lt;&gt; Nate - 1:1</t>
  </si>
  <si>
    <t>OM Work, Flora &lt;&gt; Nate - 1:1</t>
  </si>
  <si>
    <t>Mark &lt;&gt; Nate - 1:1</t>
  </si>
  <si>
    <t>Michael &lt;&gt; Nate - 1:1</t>
  </si>
  <si>
    <t>Canceled: Tech team huddle</t>
  </si>
  <si>
    <t>OM Work, S/Stream - EBU Cadence - Bi-Monthly</t>
  </si>
  <si>
    <t>Ntsako &lt;&gt; Nate - 1:1</t>
  </si>
  <si>
    <t>Thembani &lt;&gt; Nate - 1:1</t>
  </si>
  <si>
    <t>Agentforce - Customer Success</t>
  </si>
  <si>
    <t>OM Work, Agentforce - Customer Success</t>
  </si>
  <si>
    <t>One-One coaching - Ntsako</t>
  </si>
  <si>
    <t>Palesa &lt;&gt; Nate - 1:1</t>
  </si>
  <si>
    <t xml:space="preserve">Riyad &lt;&gt; Nate - 1:1 </t>
  </si>
  <si>
    <t>Robin &lt;&gt; Nate - 1:1</t>
  </si>
  <si>
    <t>Suzanne &lt;&gt; Nate - 1:1</t>
  </si>
  <si>
    <t>Slipstream Data / WhereScape, Strategy and solution Day</t>
  </si>
  <si>
    <t>Product Management Sync</t>
  </si>
  <si>
    <t>OM Work, Product Management Sync</t>
  </si>
  <si>
    <t>Run CBR 4Zayraana, OM Work</t>
  </si>
  <si>
    <t>OM Work, Canceled: Senior Tech Team: Insights Session</t>
  </si>
  <si>
    <t>Canceled: Senior Tech Team: Insights Session</t>
  </si>
  <si>
    <t>Tech team retrospective</t>
  </si>
  <si>
    <t>Tech team retrospective, Canceled: Tech team huddle</t>
  </si>
  <si>
    <t>WhereScape/Slipstream - monthly catch up</t>
  </si>
  <si>
    <t>Wonga: DWH Project Monthly Retrospective Sessions **Internal Meeting**, Strategy and solution Day</t>
  </si>
  <si>
    <t>Wonga: DWH Project Monthly Retrospective Sessions **Internal Meeting**</t>
  </si>
  <si>
    <t>SnowPro Core Certification, Wonga: DWH Project Monthly Retrospective Sessions **Internal Meeting**</t>
  </si>
  <si>
    <t>AWS Solutions Architect Associate, Wonga: DWH Project Monthly Retrospective Sessions **Internal Meeting**</t>
  </si>
  <si>
    <t xml:space="preserve">Monthly Management Meeting </t>
  </si>
  <si>
    <t xml:space="preserve">Weekly Sync: Nate &lt;&gt; Andrew, Monthly Management Meeting </t>
  </si>
  <si>
    <t xml:space="preserve">DW: Weekly round-up meeting, Monthly Management Meeting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</si>
</sst>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22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27</v>
      </c>
      <c r="C5" t="s">
        <v>28</v>
      </c>
      <c r="D5" t="s">
        <v>28</v>
      </c>
      <c r="E5" t="s">
        <v>29</v>
      </c>
      <c r="G5" t="s">
        <v>30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B6" t="s">
        <v>33</v>
      </c>
      <c r="D6" t="s">
        <v>34</v>
      </c>
      <c r="E6" t="s">
        <v>23</v>
      </c>
      <c r="F6" t="s">
        <v>35</v>
      </c>
      <c r="G6" t="s">
        <v>30</v>
      </c>
      <c r="J6" t="s">
        <v>34</v>
      </c>
      <c r="L6" t="s">
        <v>25</v>
      </c>
    </row>
    <row r="7" spans="1:17" x14ac:dyDescent="0.3">
      <c r="A7" t="s">
        <v>36</v>
      </c>
      <c r="B7" t="s">
        <v>22</v>
      </c>
      <c r="E7" t="s">
        <v>23</v>
      </c>
      <c r="G7" t="s">
        <v>37</v>
      </c>
      <c r="L7" t="s">
        <v>25</v>
      </c>
    </row>
    <row r="8" spans="1:17" x14ac:dyDescent="0.3">
      <c r="A8" t="s">
        <v>38</v>
      </c>
      <c r="B8" t="s">
        <v>22</v>
      </c>
      <c r="E8" t="s">
        <v>23</v>
      </c>
      <c r="Q8" t="s">
        <v>39</v>
      </c>
    </row>
    <row r="9" spans="1:17" x14ac:dyDescent="0.3">
      <c r="A9" t="s">
        <v>40</v>
      </c>
      <c r="B9" t="s">
        <v>22</v>
      </c>
      <c r="E9" t="s">
        <v>23</v>
      </c>
      <c r="Q9" t="s">
        <v>39</v>
      </c>
    </row>
    <row r="10" spans="1:17" x14ac:dyDescent="0.3">
      <c r="A10" t="s">
        <v>41</v>
      </c>
      <c r="B10" t="s">
        <v>22</v>
      </c>
      <c r="H10" t="s">
        <v>42</v>
      </c>
      <c r="Q10" t="s">
        <v>39</v>
      </c>
    </row>
    <row r="11" spans="1:17" x14ac:dyDescent="0.3">
      <c r="A11" t="s">
        <v>43</v>
      </c>
      <c r="B11" t="s">
        <v>22</v>
      </c>
      <c r="H11" t="s">
        <v>42</v>
      </c>
      <c r="Q11" t="s">
        <v>39</v>
      </c>
    </row>
    <row r="12" spans="1:17" x14ac:dyDescent="0.3">
      <c r="A12" t="s">
        <v>44</v>
      </c>
      <c r="B12" t="s">
        <v>22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B13" t="s">
        <v>22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B14" t="s">
        <v>22</v>
      </c>
      <c r="G14" t="s">
        <v>45</v>
      </c>
      <c r="Q14" t="s">
        <v>47</v>
      </c>
    </row>
    <row r="15" spans="1:17" x14ac:dyDescent="0.3">
      <c r="A15" t="s">
        <v>49</v>
      </c>
      <c r="B15" t="s">
        <v>22</v>
      </c>
      <c r="G15" t="s">
        <v>45</v>
      </c>
      <c r="Q15" t="s">
        <v>47</v>
      </c>
    </row>
    <row r="16" spans="1:17" x14ac:dyDescent="0.3">
      <c r="A16" t="s">
        <v>50</v>
      </c>
      <c r="B16" t="s">
        <v>51</v>
      </c>
    </row>
    <row r="17" spans="1:18" x14ac:dyDescent="0.3">
      <c r="A17" t="s">
        <v>52</v>
      </c>
      <c r="B17" t="s">
        <v>22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0.55559999999999998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E5" t="s">
        <v>23</v>
      </c>
      <c r="G5" t="s">
        <v>30</v>
      </c>
      <c r="L5" t="s">
        <v>25</v>
      </c>
    </row>
    <row r="6" spans="1:17" x14ac:dyDescent="0.3">
      <c r="A6" t="s">
        <v>32</v>
      </c>
      <c r="B6" t="s">
        <v>66</v>
      </c>
      <c r="D6" t="s">
        <v>34</v>
      </c>
      <c r="E6" t="s">
        <v>23</v>
      </c>
      <c r="G6" t="s">
        <v>30</v>
      </c>
      <c r="J6" t="s">
        <v>34</v>
      </c>
      <c r="L6" t="s">
        <v>25</v>
      </c>
    </row>
    <row r="7" spans="1:17" x14ac:dyDescent="0.3">
      <c r="A7" t="s">
        <v>36</v>
      </c>
      <c r="E7" t="s">
        <v>23</v>
      </c>
      <c r="G7" t="s">
        <v>37</v>
      </c>
      <c r="L7" t="s">
        <v>25</v>
      </c>
    </row>
    <row r="8" spans="1:17" x14ac:dyDescent="0.3">
      <c r="A8" t="s">
        <v>38</v>
      </c>
      <c r="Q8" t="s">
        <v>39</v>
      </c>
    </row>
    <row r="9" spans="1:17" x14ac:dyDescent="0.3">
      <c r="A9" t="s">
        <v>40</v>
      </c>
      <c r="Q9" t="s">
        <v>39</v>
      </c>
    </row>
    <row r="10" spans="1:17" x14ac:dyDescent="0.3">
      <c r="A10" t="s">
        <v>41</v>
      </c>
      <c r="G10" t="s">
        <v>67</v>
      </c>
      <c r="H10" t="s">
        <v>42</v>
      </c>
      <c r="Q10" t="s">
        <v>39</v>
      </c>
    </row>
    <row r="11" spans="1:17" x14ac:dyDescent="0.3">
      <c r="A11" t="s">
        <v>43</v>
      </c>
      <c r="H11" t="s">
        <v>42</v>
      </c>
      <c r="Q11" t="s">
        <v>39</v>
      </c>
    </row>
    <row r="12" spans="1:17" x14ac:dyDescent="0.3">
      <c r="A12" t="s">
        <v>44</v>
      </c>
      <c r="H12" t="s">
        <v>42</v>
      </c>
      <c r="Q12" t="s">
        <v>39</v>
      </c>
    </row>
    <row r="13" spans="1:17" x14ac:dyDescent="0.3">
      <c r="A13" t="s">
        <v>46</v>
      </c>
      <c r="H13" t="s">
        <v>42</v>
      </c>
      <c r="Q13" t="s">
        <v>47</v>
      </c>
    </row>
    <row r="14" spans="1:17" x14ac:dyDescent="0.3">
      <c r="A14" t="s">
        <v>48</v>
      </c>
      <c r="Q14" t="s">
        <v>47</v>
      </c>
    </row>
    <row r="15" spans="1:17" x14ac:dyDescent="0.3">
      <c r="A15" t="s">
        <v>49</v>
      </c>
      <c r="Q15" t="s">
        <v>47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0.1111</v>
      </c>
      <c r="C24">
        <f t="shared" si="0"/>
        <v>5.5599999999999997E-2</v>
      </c>
      <c r="D24">
        <f t="shared" si="0"/>
        <v>0.1111</v>
      </c>
      <c r="E24">
        <f t="shared" si="0"/>
        <v>0.38890000000000002</v>
      </c>
      <c r="F24">
        <f t="shared" si="0"/>
        <v>5.5599999999999997E-2</v>
      </c>
      <c r="G24">
        <f t="shared" si="0"/>
        <v>0.38890000000000002</v>
      </c>
      <c r="H24">
        <f t="shared" si="0"/>
        <v>0.27779999999999999</v>
      </c>
      <c r="I24">
        <f t="shared" si="0"/>
        <v>5.5599999999999997E-2</v>
      </c>
      <c r="J24">
        <f t="shared" si="0"/>
        <v>0.1111</v>
      </c>
      <c r="K24">
        <f t="shared" si="0"/>
        <v>5.5599999999999997E-2</v>
      </c>
      <c r="L24">
        <f t="shared" si="0"/>
        <v>0.38890000000000002</v>
      </c>
      <c r="M24">
        <f t="shared" si="0"/>
        <v>5.5599999999999997E-2</v>
      </c>
      <c r="N24">
        <f t="shared" si="0"/>
        <v>5.5599999999999997E-2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4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42" customWidth="1"/>
    <col min="14" max="14" width="37" customWidth="1"/>
    <col min="15" max="16" width="50" customWidth="1"/>
    <col min="17" max="17" width="42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68</v>
      </c>
      <c r="C3" t="s">
        <v>19</v>
      </c>
      <c r="D3" t="s">
        <v>19</v>
      </c>
      <c r="E3" t="s">
        <v>19</v>
      </c>
      <c r="F3" t="s">
        <v>19</v>
      </c>
      <c r="G3" t="s">
        <v>68</v>
      </c>
      <c r="H3" t="s">
        <v>19</v>
      </c>
      <c r="I3" t="s">
        <v>68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69</v>
      </c>
      <c r="E4" t="s">
        <v>23</v>
      </c>
      <c r="F4" t="s">
        <v>69</v>
      </c>
      <c r="L4" t="s">
        <v>25</v>
      </c>
      <c r="N4" t="s">
        <v>69</v>
      </c>
    </row>
    <row r="5" spans="1:17" x14ac:dyDescent="0.3">
      <c r="A5" t="s">
        <v>26</v>
      </c>
      <c r="B5" t="s">
        <v>69</v>
      </c>
      <c r="E5" t="s">
        <v>23</v>
      </c>
      <c r="F5" t="s">
        <v>69</v>
      </c>
      <c r="G5" t="s">
        <v>30</v>
      </c>
      <c r="L5" t="s">
        <v>25</v>
      </c>
      <c r="N5" t="s">
        <v>69</v>
      </c>
    </row>
    <row r="6" spans="1:17" x14ac:dyDescent="0.3">
      <c r="A6" t="s">
        <v>32</v>
      </c>
      <c r="B6" t="s">
        <v>69</v>
      </c>
      <c r="D6" t="s">
        <v>34</v>
      </c>
      <c r="E6" t="s">
        <v>23</v>
      </c>
      <c r="F6" t="s">
        <v>69</v>
      </c>
      <c r="G6" t="s">
        <v>30</v>
      </c>
      <c r="J6" t="s">
        <v>34</v>
      </c>
      <c r="L6" t="s">
        <v>25</v>
      </c>
      <c r="N6" t="s">
        <v>69</v>
      </c>
    </row>
    <row r="7" spans="1:17" x14ac:dyDescent="0.3">
      <c r="A7" t="s">
        <v>36</v>
      </c>
      <c r="E7" t="s">
        <v>23</v>
      </c>
      <c r="G7" t="s">
        <v>37</v>
      </c>
      <c r="L7" t="s">
        <v>25</v>
      </c>
    </row>
    <row r="8" spans="1:17" x14ac:dyDescent="0.3">
      <c r="A8" t="s">
        <v>38</v>
      </c>
      <c r="B8" t="s">
        <v>70</v>
      </c>
      <c r="D8" t="s">
        <v>70</v>
      </c>
      <c r="E8" t="s">
        <v>23</v>
      </c>
      <c r="F8" t="s">
        <v>70</v>
      </c>
      <c r="G8" t="s">
        <v>71</v>
      </c>
      <c r="J8" t="s">
        <v>70</v>
      </c>
      <c r="L8" t="s">
        <v>70</v>
      </c>
      <c r="Q8" t="s">
        <v>39</v>
      </c>
    </row>
    <row r="9" spans="1:17" x14ac:dyDescent="0.3">
      <c r="A9" t="s">
        <v>40</v>
      </c>
      <c r="B9" t="s">
        <v>70</v>
      </c>
      <c r="D9" t="s">
        <v>70</v>
      </c>
      <c r="E9" t="s">
        <v>23</v>
      </c>
      <c r="F9" t="s">
        <v>70</v>
      </c>
      <c r="G9" t="s">
        <v>71</v>
      </c>
      <c r="J9" t="s">
        <v>70</v>
      </c>
      <c r="L9" t="s">
        <v>70</v>
      </c>
      <c r="Q9" t="s">
        <v>39</v>
      </c>
    </row>
    <row r="10" spans="1:17" x14ac:dyDescent="0.3">
      <c r="A10" t="s">
        <v>41</v>
      </c>
      <c r="E10" t="s">
        <v>23</v>
      </c>
      <c r="G10" t="s">
        <v>72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G11" t="s">
        <v>73</v>
      </c>
      <c r="H11" t="s">
        <v>42</v>
      </c>
      <c r="Q11" t="s">
        <v>39</v>
      </c>
    </row>
    <row r="12" spans="1:17" x14ac:dyDescent="0.3">
      <c r="A12" t="s">
        <v>44</v>
      </c>
      <c r="G12" t="s">
        <v>73</v>
      </c>
      <c r="H12" t="s">
        <v>42</v>
      </c>
      <c r="Q12" t="s">
        <v>39</v>
      </c>
    </row>
    <row r="13" spans="1:17" x14ac:dyDescent="0.3">
      <c r="A13" t="s">
        <v>46</v>
      </c>
      <c r="D13" t="s">
        <v>74</v>
      </c>
      <c r="E13" t="s">
        <v>74</v>
      </c>
      <c r="F13" t="s">
        <v>74</v>
      </c>
      <c r="G13" t="s">
        <v>73</v>
      </c>
      <c r="H13" t="s">
        <v>42</v>
      </c>
      <c r="I13" t="s">
        <v>74</v>
      </c>
      <c r="J13" t="s">
        <v>74</v>
      </c>
      <c r="N13" t="s">
        <v>75</v>
      </c>
      <c r="O13" t="s">
        <v>74</v>
      </c>
      <c r="Q13" t="s">
        <v>47</v>
      </c>
    </row>
    <row r="14" spans="1:17" x14ac:dyDescent="0.3">
      <c r="A14" t="s">
        <v>48</v>
      </c>
      <c r="D14" t="s">
        <v>74</v>
      </c>
      <c r="E14" t="s">
        <v>76</v>
      </c>
      <c r="F14" t="s">
        <v>74</v>
      </c>
      <c r="I14" t="s">
        <v>74</v>
      </c>
      <c r="J14" t="s">
        <v>74</v>
      </c>
      <c r="O14" t="s">
        <v>74</v>
      </c>
      <c r="Q14" t="s">
        <v>47</v>
      </c>
    </row>
    <row r="15" spans="1:17" x14ac:dyDescent="0.3">
      <c r="A15" t="s">
        <v>49</v>
      </c>
      <c r="E15" t="s">
        <v>23</v>
      </c>
      <c r="I15" t="s">
        <v>77</v>
      </c>
      <c r="Q15" t="s">
        <v>47</v>
      </c>
    </row>
    <row r="16" spans="1:17" x14ac:dyDescent="0.3">
      <c r="A16" t="s">
        <v>50</v>
      </c>
      <c r="B16" t="s">
        <v>78</v>
      </c>
      <c r="E16" t="s">
        <v>79</v>
      </c>
      <c r="F16" t="s">
        <v>78</v>
      </c>
      <c r="H16" t="s">
        <v>78</v>
      </c>
      <c r="I16" t="s">
        <v>77</v>
      </c>
      <c r="L16" t="s">
        <v>78</v>
      </c>
      <c r="M16" t="s">
        <v>78</v>
      </c>
      <c r="O16" t="s">
        <v>78</v>
      </c>
      <c r="P16" t="s">
        <v>78</v>
      </c>
      <c r="Q16" t="s">
        <v>78</v>
      </c>
    </row>
    <row r="17" spans="1:18" x14ac:dyDescent="0.3">
      <c r="A17" t="s">
        <v>52</v>
      </c>
      <c r="B17" t="s">
        <v>78</v>
      </c>
      <c r="E17" t="s">
        <v>79</v>
      </c>
      <c r="F17" t="s">
        <v>78</v>
      </c>
      <c r="H17" t="s">
        <v>78</v>
      </c>
      <c r="I17" t="s">
        <v>80</v>
      </c>
      <c r="L17" t="s">
        <v>78</v>
      </c>
      <c r="M17" t="s">
        <v>78</v>
      </c>
      <c r="O17" t="s">
        <v>78</v>
      </c>
      <c r="P17" t="s">
        <v>78</v>
      </c>
      <c r="Q17" t="s">
        <v>78</v>
      </c>
    </row>
    <row r="18" spans="1:18" x14ac:dyDescent="0.3">
      <c r="A18" t="s">
        <v>53</v>
      </c>
      <c r="E18" t="s">
        <v>81</v>
      </c>
      <c r="L18" t="s">
        <v>55</v>
      </c>
      <c r="Q18" t="s">
        <v>56</v>
      </c>
    </row>
    <row r="19" spans="1:18" x14ac:dyDescent="0.3">
      <c r="A19" t="s">
        <v>57</v>
      </c>
      <c r="E19" t="s">
        <v>81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0.44440000000000002</v>
      </c>
      <c r="C24">
        <f t="shared" si="0"/>
        <v>5.5599999999999997E-2</v>
      </c>
      <c r="D24">
        <f t="shared" si="0"/>
        <v>0.33329999999999999</v>
      </c>
      <c r="E24">
        <f t="shared" si="0"/>
        <v>0.88890000000000002</v>
      </c>
      <c r="F24">
        <f t="shared" si="0"/>
        <v>0.55559999999999998</v>
      </c>
      <c r="G24">
        <f t="shared" si="0"/>
        <v>0.55559999999999998</v>
      </c>
      <c r="H24">
        <f t="shared" si="0"/>
        <v>0.38890000000000002</v>
      </c>
      <c r="I24">
        <f t="shared" si="0"/>
        <v>0.33329999999999999</v>
      </c>
      <c r="J24">
        <f t="shared" si="0"/>
        <v>0.33329999999999999</v>
      </c>
      <c r="K24">
        <f t="shared" si="0"/>
        <v>5.5599999999999997E-2</v>
      </c>
      <c r="L24">
        <f t="shared" si="0"/>
        <v>0.61109999999999998</v>
      </c>
      <c r="M24">
        <f t="shared" si="0"/>
        <v>0.16669999999999999</v>
      </c>
      <c r="N24">
        <f t="shared" si="0"/>
        <v>0.27779999999999999</v>
      </c>
      <c r="O24">
        <f t="shared" si="0"/>
        <v>0.27779999999999999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  <c r="O4" t="s">
        <v>82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29</v>
      </c>
      <c r="G5" t="s">
        <v>30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D6" t="s">
        <v>34</v>
      </c>
      <c r="E6" t="s">
        <v>23</v>
      </c>
      <c r="G6" t="s">
        <v>30</v>
      </c>
      <c r="J6" t="s">
        <v>34</v>
      </c>
      <c r="L6" t="s">
        <v>25</v>
      </c>
    </row>
    <row r="7" spans="1:17" x14ac:dyDescent="0.3">
      <c r="A7" t="s">
        <v>36</v>
      </c>
      <c r="E7" t="s">
        <v>23</v>
      </c>
      <c r="G7" t="s">
        <v>37</v>
      </c>
      <c r="L7" t="s">
        <v>25</v>
      </c>
      <c r="N7" t="s">
        <v>83</v>
      </c>
    </row>
    <row r="8" spans="1:17" x14ac:dyDescent="0.3">
      <c r="A8" t="s">
        <v>38</v>
      </c>
      <c r="E8" t="s">
        <v>23</v>
      </c>
      <c r="Q8" t="s">
        <v>39</v>
      </c>
    </row>
    <row r="9" spans="1:17" x14ac:dyDescent="0.3">
      <c r="A9" t="s">
        <v>40</v>
      </c>
      <c r="E9" t="s">
        <v>23</v>
      </c>
      <c r="Q9" t="s">
        <v>39</v>
      </c>
    </row>
    <row r="10" spans="1:17" x14ac:dyDescent="0.3">
      <c r="A10" t="s">
        <v>41</v>
      </c>
      <c r="C10" t="s">
        <v>84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E18" t="s">
        <v>23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23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0.1111</v>
      </c>
      <c r="C24">
        <f t="shared" si="0"/>
        <v>0.16669999999999999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0.1111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85</v>
      </c>
      <c r="G5" t="s">
        <v>30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C6" t="s">
        <v>86</v>
      </c>
      <c r="D6" t="s">
        <v>34</v>
      </c>
      <c r="E6" t="s">
        <v>23</v>
      </c>
      <c r="G6" t="s">
        <v>87</v>
      </c>
      <c r="H6" t="s">
        <v>86</v>
      </c>
      <c r="I6" t="s">
        <v>86</v>
      </c>
      <c r="J6" t="s">
        <v>34</v>
      </c>
      <c r="L6" t="s">
        <v>25</v>
      </c>
      <c r="M6" t="s">
        <v>86</v>
      </c>
      <c r="N6" t="s">
        <v>88</v>
      </c>
      <c r="Q6" t="s">
        <v>86</v>
      </c>
    </row>
    <row r="7" spans="1:17" x14ac:dyDescent="0.3">
      <c r="A7" t="s">
        <v>36</v>
      </c>
      <c r="C7" t="s">
        <v>86</v>
      </c>
      <c r="E7" t="s">
        <v>23</v>
      </c>
      <c r="G7" t="s">
        <v>89</v>
      </c>
      <c r="H7" t="s">
        <v>86</v>
      </c>
      <c r="I7" t="s">
        <v>86</v>
      </c>
      <c r="L7" t="s">
        <v>25</v>
      </c>
      <c r="M7" t="s">
        <v>86</v>
      </c>
      <c r="Q7" t="s">
        <v>86</v>
      </c>
    </row>
    <row r="8" spans="1:17" x14ac:dyDescent="0.3">
      <c r="A8" t="s">
        <v>38</v>
      </c>
      <c r="E8" t="s">
        <v>23</v>
      </c>
      <c r="Q8" t="s">
        <v>39</v>
      </c>
    </row>
    <row r="9" spans="1:17" x14ac:dyDescent="0.3">
      <c r="A9" t="s">
        <v>40</v>
      </c>
      <c r="E9" t="s">
        <v>23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B18" t="s">
        <v>90</v>
      </c>
      <c r="E18" t="s">
        <v>54</v>
      </c>
      <c r="G18" t="s">
        <v>24</v>
      </c>
      <c r="L18" t="s">
        <v>55</v>
      </c>
      <c r="O18" t="s">
        <v>90</v>
      </c>
      <c r="Q18" t="s">
        <v>56</v>
      </c>
    </row>
    <row r="19" spans="1:18" x14ac:dyDescent="0.3">
      <c r="A19" t="s">
        <v>57</v>
      </c>
      <c r="B19" t="s">
        <v>90</v>
      </c>
      <c r="E19" t="s">
        <v>54</v>
      </c>
      <c r="L19" t="s">
        <v>55</v>
      </c>
      <c r="O19" t="s">
        <v>90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0.22220000000000001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0.38890000000000002</v>
      </c>
      <c r="I24">
        <f t="shared" si="0"/>
        <v>0.16669999999999999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0.22220000000000001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0.77780000000000005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22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27</v>
      </c>
      <c r="C5" t="s">
        <v>28</v>
      </c>
      <c r="D5" t="s">
        <v>28</v>
      </c>
      <c r="E5" t="s">
        <v>29</v>
      </c>
      <c r="G5" t="s">
        <v>30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B6" t="s">
        <v>33</v>
      </c>
      <c r="D6" t="s">
        <v>34</v>
      </c>
      <c r="E6" t="s">
        <v>23</v>
      </c>
      <c r="F6" t="s">
        <v>35</v>
      </c>
      <c r="G6" t="s">
        <v>30</v>
      </c>
      <c r="J6" t="s">
        <v>91</v>
      </c>
      <c r="L6" t="s">
        <v>25</v>
      </c>
    </row>
    <row r="7" spans="1:17" x14ac:dyDescent="0.3">
      <c r="A7" t="s">
        <v>36</v>
      </c>
      <c r="B7" t="s">
        <v>22</v>
      </c>
      <c r="E7" t="s">
        <v>23</v>
      </c>
      <c r="G7" t="s">
        <v>37</v>
      </c>
      <c r="J7" t="s">
        <v>92</v>
      </c>
      <c r="L7" t="s">
        <v>25</v>
      </c>
    </row>
    <row r="8" spans="1:17" x14ac:dyDescent="0.3">
      <c r="A8" t="s">
        <v>38</v>
      </c>
      <c r="B8" t="s">
        <v>22</v>
      </c>
      <c r="E8" t="s">
        <v>23</v>
      </c>
      <c r="Q8" t="s">
        <v>39</v>
      </c>
    </row>
    <row r="9" spans="1:17" x14ac:dyDescent="0.3">
      <c r="A9" t="s">
        <v>40</v>
      </c>
      <c r="B9" t="s">
        <v>22</v>
      </c>
      <c r="E9" t="s">
        <v>23</v>
      </c>
      <c r="Q9" t="s">
        <v>39</v>
      </c>
    </row>
    <row r="10" spans="1:17" x14ac:dyDescent="0.3">
      <c r="A10" t="s">
        <v>41</v>
      </c>
      <c r="B10" t="s">
        <v>22</v>
      </c>
      <c r="H10" t="s">
        <v>42</v>
      </c>
      <c r="Q10" t="s">
        <v>39</v>
      </c>
    </row>
    <row r="11" spans="1:17" x14ac:dyDescent="0.3">
      <c r="A11" t="s">
        <v>43</v>
      </c>
      <c r="B11" t="s">
        <v>22</v>
      </c>
      <c r="H11" t="s">
        <v>42</v>
      </c>
      <c r="Q11" t="s">
        <v>39</v>
      </c>
    </row>
    <row r="12" spans="1:17" x14ac:dyDescent="0.3">
      <c r="A12" t="s">
        <v>44</v>
      </c>
      <c r="B12" t="s">
        <v>22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B13" t="s">
        <v>22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B14" t="s">
        <v>22</v>
      </c>
      <c r="G14" t="s">
        <v>45</v>
      </c>
      <c r="Q14" t="s">
        <v>47</v>
      </c>
    </row>
    <row r="15" spans="1:17" x14ac:dyDescent="0.3">
      <c r="A15" t="s">
        <v>49</v>
      </c>
      <c r="B15" t="s">
        <v>22</v>
      </c>
      <c r="G15" t="s">
        <v>45</v>
      </c>
      <c r="Q15" t="s">
        <v>47</v>
      </c>
    </row>
    <row r="16" spans="1:17" x14ac:dyDescent="0.3">
      <c r="A16" t="s">
        <v>50</v>
      </c>
      <c r="B16" t="s">
        <v>22</v>
      </c>
    </row>
    <row r="17" spans="1:18" x14ac:dyDescent="0.3">
      <c r="A17" t="s">
        <v>52</v>
      </c>
      <c r="B17" t="s">
        <v>22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0.55559999999999998</v>
      </c>
      <c r="H24">
        <f t="shared" si="0"/>
        <v>0.27779999999999999</v>
      </c>
      <c r="I24">
        <f t="shared" si="0"/>
        <v>5.5599999999999997E-2</v>
      </c>
      <c r="J24">
        <f t="shared" si="0"/>
        <v>0.22220000000000001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E5" t="s">
        <v>23</v>
      </c>
      <c r="G5" t="s">
        <v>37</v>
      </c>
      <c r="L5" t="s">
        <v>25</v>
      </c>
    </row>
    <row r="6" spans="1:17" x14ac:dyDescent="0.3">
      <c r="A6" t="s">
        <v>32</v>
      </c>
      <c r="B6" t="s">
        <v>66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Q8" t="s">
        <v>39</v>
      </c>
    </row>
    <row r="9" spans="1:17" x14ac:dyDescent="0.3">
      <c r="A9" t="s">
        <v>40</v>
      </c>
      <c r="D9" t="s">
        <v>93</v>
      </c>
      <c r="E9" t="s">
        <v>93</v>
      </c>
      <c r="I9" t="s">
        <v>93</v>
      </c>
      <c r="J9" t="s">
        <v>93</v>
      </c>
      <c r="Q9" t="s">
        <v>39</v>
      </c>
    </row>
    <row r="10" spans="1:17" x14ac:dyDescent="0.3">
      <c r="A10" t="s">
        <v>41</v>
      </c>
      <c r="B10" t="s">
        <v>94</v>
      </c>
      <c r="G10" t="s">
        <v>95</v>
      </c>
      <c r="H10" t="s">
        <v>42</v>
      </c>
      <c r="K10" t="s">
        <v>94</v>
      </c>
      <c r="N10" t="s">
        <v>94</v>
      </c>
      <c r="Q10" t="s">
        <v>39</v>
      </c>
    </row>
    <row r="11" spans="1:17" x14ac:dyDescent="0.3">
      <c r="A11" t="s">
        <v>43</v>
      </c>
      <c r="H11" t="s">
        <v>42</v>
      </c>
      <c r="Q11" t="s">
        <v>39</v>
      </c>
    </row>
    <row r="12" spans="1:17" x14ac:dyDescent="0.3">
      <c r="A12" t="s">
        <v>44</v>
      </c>
      <c r="H12" t="s">
        <v>42</v>
      </c>
      <c r="Q12" t="s">
        <v>39</v>
      </c>
    </row>
    <row r="13" spans="1:17" x14ac:dyDescent="0.3">
      <c r="A13" t="s">
        <v>46</v>
      </c>
      <c r="H13" t="s">
        <v>42</v>
      </c>
      <c r="Q13" t="s">
        <v>47</v>
      </c>
    </row>
    <row r="14" spans="1:17" x14ac:dyDescent="0.3">
      <c r="A14" t="s">
        <v>48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K14" t="s">
        <v>96</v>
      </c>
      <c r="L14" t="s">
        <v>96</v>
      </c>
      <c r="M14" t="s">
        <v>96</v>
      </c>
      <c r="N14" t="s">
        <v>96</v>
      </c>
      <c r="P14" t="s">
        <v>96</v>
      </c>
      <c r="Q14" t="s">
        <v>97</v>
      </c>
    </row>
    <row r="15" spans="1:17" x14ac:dyDescent="0.3">
      <c r="A15" t="s">
        <v>49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K15" t="s">
        <v>96</v>
      </c>
      <c r="L15" t="s">
        <v>96</v>
      </c>
      <c r="M15" t="s">
        <v>96</v>
      </c>
      <c r="N15" t="s">
        <v>96</v>
      </c>
      <c r="P15" t="s">
        <v>96</v>
      </c>
      <c r="Q15" t="s">
        <v>97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0.27779999999999999</v>
      </c>
      <c r="C24">
        <f t="shared" si="0"/>
        <v>0.16669999999999999</v>
      </c>
      <c r="D24">
        <f t="shared" si="0"/>
        <v>0.27779999999999999</v>
      </c>
      <c r="E24">
        <f t="shared" si="0"/>
        <v>0.55559999999999998</v>
      </c>
      <c r="F24">
        <f t="shared" si="0"/>
        <v>0.16669999999999999</v>
      </c>
      <c r="G24">
        <f t="shared" si="0"/>
        <v>0.33329999999999999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0.22220000000000001</v>
      </c>
      <c r="L24">
        <f t="shared" si="0"/>
        <v>0.5</v>
      </c>
      <c r="M24">
        <f t="shared" si="0"/>
        <v>0.16669999999999999</v>
      </c>
      <c r="N24">
        <f t="shared" si="0"/>
        <v>0.22220000000000001</v>
      </c>
      <c r="O24">
        <f t="shared" si="0"/>
        <v>5.5599999999999997E-2</v>
      </c>
      <c r="P24">
        <f t="shared" si="0"/>
        <v>0.16669999999999999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  <c r="E4" t="s">
        <v>98</v>
      </c>
      <c r="O4" t="s">
        <v>99</v>
      </c>
    </row>
    <row r="5" spans="1:17" x14ac:dyDescent="0.3">
      <c r="A5" t="s">
        <v>26</v>
      </c>
      <c r="E5" t="s">
        <v>98</v>
      </c>
      <c r="O5" t="s">
        <v>99</v>
      </c>
    </row>
    <row r="6" spans="1:17" x14ac:dyDescent="0.3">
      <c r="A6" t="s">
        <v>32</v>
      </c>
      <c r="O6" t="s">
        <v>99</v>
      </c>
    </row>
    <row r="7" spans="1:17" x14ac:dyDescent="0.3">
      <c r="A7" t="s">
        <v>36</v>
      </c>
      <c r="O7" t="s">
        <v>99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0.1111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0.22220000000000001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3" width="35" customWidth="1"/>
    <col min="14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68</v>
      </c>
      <c r="C3" t="s">
        <v>19</v>
      </c>
      <c r="D3" t="s">
        <v>19</v>
      </c>
      <c r="E3" t="s">
        <v>19</v>
      </c>
      <c r="F3" t="s">
        <v>19</v>
      </c>
      <c r="G3" t="s">
        <v>68</v>
      </c>
      <c r="H3" t="s">
        <v>19</v>
      </c>
      <c r="I3" t="s">
        <v>68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69</v>
      </c>
      <c r="E4" t="s">
        <v>23</v>
      </c>
      <c r="F4" t="s">
        <v>69</v>
      </c>
      <c r="L4" t="s">
        <v>25</v>
      </c>
      <c r="N4" t="s">
        <v>100</v>
      </c>
    </row>
    <row r="5" spans="1:17" x14ac:dyDescent="0.3">
      <c r="A5" t="s">
        <v>26</v>
      </c>
      <c r="B5" t="s">
        <v>69</v>
      </c>
      <c r="E5" t="s">
        <v>23</v>
      </c>
      <c r="F5" t="s">
        <v>69</v>
      </c>
      <c r="G5" t="s">
        <v>37</v>
      </c>
      <c r="L5" t="s">
        <v>25</v>
      </c>
      <c r="N5" t="s">
        <v>100</v>
      </c>
    </row>
    <row r="6" spans="1:17" x14ac:dyDescent="0.3">
      <c r="A6" t="s">
        <v>32</v>
      </c>
      <c r="B6" t="s">
        <v>69</v>
      </c>
      <c r="D6" t="s">
        <v>34</v>
      </c>
      <c r="E6" t="s">
        <v>23</v>
      </c>
      <c r="F6" t="s">
        <v>69</v>
      </c>
      <c r="G6" t="s">
        <v>37</v>
      </c>
      <c r="J6" t="s">
        <v>34</v>
      </c>
      <c r="L6" t="s">
        <v>25</v>
      </c>
      <c r="N6" t="s">
        <v>69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E8" t="s">
        <v>23</v>
      </c>
      <c r="G8" t="s">
        <v>71</v>
      </c>
      <c r="Q8" t="s">
        <v>39</v>
      </c>
    </row>
    <row r="9" spans="1:17" x14ac:dyDescent="0.3">
      <c r="A9" t="s">
        <v>40</v>
      </c>
      <c r="D9" t="s">
        <v>101</v>
      </c>
      <c r="E9" t="s">
        <v>23</v>
      </c>
      <c r="G9" t="s">
        <v>71</v>
      </c>
      <c r="I9" t="s">
        <v>102</v>
      </c>
      <c r="Q9" t="s">
        <v>39</v>
      </c>
    </row>
    <row r="10" spans="1:17" x14ac:dyDescent="0.3">
      <c r="A10" t="s">
        <v>41</v>
      </c>
      <c r="C10" t="s">
        <v>103</v>
      </c>
      <c r="E10" t="s">
        <v>23</v>
      </c>
      <c r="G10" t="s">
        <v>72</v>
      </c>
      <c r="H10" t="s">
        <v>42</v>
      </c>
      <c r="Q10" t="s">
        <v>39</v>
      </c>
    </row>
    <row r="11" spans="1:17" x14ac:dyDescent="0.3">
      <c r="A11" t="s">
        <v>43</v>
      </c>
      <c r="E11" t="s">
        <v>104</v>
      </c>
      <c r="G11" t="s">
        <v>73</v>
      </c>
      <c r="H11" t="s">
        <v>42</v>
      </c>
      <c r="Q11" t="s">
        <v>39</v>
      </c>
    </row>
    <row r="12" spans="1:17" x14ac:dyDescent="0.3">
      <c r="A12" t="s">
        <v>44</v>
      </c>
      <c r="G12" t="s">
        <v>73</v>
      </c>
      <c r="H12" t="s">
        <v>42</v>
      </c>
      <c r="Q12" t="s">
        <v>39</v>
      </c>
    </row>
    <row r="13" spans="1:17" x14ac:dyDescent="0.3">
      <c r="A13" t="s">
        <v>46</v>
      </c>
      <c r="F13" t="s">
        <v>105</v>
      </c>
      <c r="G13" t="s">
        <v>73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106</v>
      </c>
      <c r="Q14" t="s">
        <v>47</v>
      </c>
    </row>
    <row r="15" spans="1:17" x14ac:dyDescent="0.3">
      <c r="A15" t="s">
        <v>49</v>
      </c>
      <c r="E15" t="s">
        <v>23</v>
      </c>
      <c r="Q15" t="s">
        <v>47</v>
      </c>
    </row>
    <row r="16" spans="1:17" x14ac:dyDescent="0.3">
      <c r="A16" t="s">
        <v>50</v>
      </c>
      <c r="E16" t="s">
        <v>23</v>
      </c>
      <c r="I16" t="s">
        <v>107</v>
      </c>
    </row>
    <row r="17" spans="1:18" x14ac:dyDescent="0.3">
      <c r="A17" t="s">
        <v>52</v>
      </c>
      <c r="E17" t="s">
        <v>23</v>
      </c>
      <c r="I17" t="s">
        <v>107</v>
      </c>
    </row>
    <row r="18" spans="1:18" x14ac:dyDescent="0.3">
      <c r="A18" t="s">
        <v>53</v>
      </c>
      <c r="L18" t="s">
        <v>55</v>
      </c>
      <c r="Q18" t="s">
        <v>56</v>
      </c>
    </row>
    <row r="19" spans="1:18" x14ac:dyDescent="0.3">
      <c r="A19" t="s">
        <v>57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0.72219999999999995</v>
      </c>
      <c r="F24">
        <f t="shared" si="0"/>
        <v>0.27779999999999999</v>
      </c>
      <c r="G24">
        <f t="shared" si="0"/>
        <v>0.55559999999999998</v>
      </c>
      <c r="H24">
        <f t="shared" si="0"/>
        <v>0.27779999999999999</v>
      </c>
      <c r="I24">
        <f t="shared" si="0"/>
        <v>0.22220000000000001</v>
      </c>
      <c r="J24">
        <f t="shared" si="0"/>
        <v>0.1111</v>
      </c>
      <c r="K24">
        <f t="shared" si="0"/>
        <v>5.5599999999999997E-2</v>
      </c>
      <c r="L24">
        <f t="shared" si="0"/>
        <v>0.38890000000000002</v>
      </c>
      <c r="M24">
        <f t="shared" si="0"/>
        <v>5.5599999999999997E-2</v>
      </c>
      <c r="N24">
        <f t="shared" si="0"/>
        <v>0.22220000000000001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108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29</v>
      </c>
      <c r="G5" t="s">
        <v>37</v>
      </c>
      <c r="I5" t="s">
        <v>109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  <c r="Q6" t="s">
        <v>110</v>
      </c>
    </row>
    <row r="7" spans="1:17" x14ac:dyDescent="0.3">
      <c r="A7" t="s">
        <v>36</v>
      </c>
      <c r="B7" t="s">
        <v>111</v>
      </c>
      <c r="E7" t="s">
        <v>112</v>
      </c>
      <c r="L7" t="s">
        <v>25</v>
      </c>
      <c r="N7" t="s">
        <v>83</v>
      </c>
      <c r="O7" t="s">
        <v>111</v>
      </c>
    </row>
    <row r="8" spans="1:17" x14ac:dyDescent="0.3">
      <c r="A8" t="s">
        <v>38</v>
      </c>
      <c r="B8" t="s">
        <v>111</v>
      </c>
      <c r="E8" t="s">
        <v>112</v>
      </c>
      <c r="O8" t="s">
        <v>111</v>
      </c>
      <c r="Q8" t="s">
        <v>39</v>
      </c>
    </row>
    <row r="9" spans="1:17" x14ac:dyDescent="0.3">
      <c r="A9" t="s">
        <v>40</v>
      </c>
      <c r="E9" t="s">
        <v>23</v>
      </c>
      <c r="I9" t="s">
        <v>113</v>
      </c>
      <c r="J9" t="s">
        <v>114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I10" t="s">
        <v>113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K13" t="s">
        <v>115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L14" t="s">
        <v>116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E18" t="s">
        <v>23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23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0.22220000000000001</v>
      </c>
      <c r="J24">
        <f t="shared" si="0"/>
        <v>0.22220000000000001</v>
      </c>
      <c r="K24">
        <f t="shared" si="0"/>
        <v>0.16669999999999999</v>
      </c>
      <c r="L24">
        <f t="shared" si="0"/>
        <v>0.44440000000000002</v>
      </c>
      <c r="M24">
        <f t="shared" si="0"/>
        <v>0.1111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0.72219999999999995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85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  <c r="N6" t="s">
        <v>88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E8" t="s">
        <v>23</v>
      </c>
      <c r="Q8" t="s">
        <v>39</v>
      </c>
    </row>
    <row r="9" spans="1:17" x14ac:dyDescent="0.3">
      <c r="A9" t="s">
        <v>40</v>
      </c>
      <c r="E9" t="s">
        <v>23</v>
      </c>
      <c r="O9" t="s">
        <v>117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B18" t="s">
        <v>90</v>
      </c>
      <c r="E18" t="s">
        <v>54</v>
      </c>
      <c r="G18" t="s">
        <v>24</v>
      </c>
      <c r="L18" t="s">
        <v>55</v>
      </c>
      <c r="O18" t="s">
        <v>90</v>
      </c>
      <c r="Q18" t="s">
        <v>56</v>
      </c>
    </row>
    <row r="19" spans="1:18" x14ac:dyDescent="0.3">
      <c r="A19" t="s">
        <v>57</v>
      </c>
      <c r="B19" t="s">
        <v>90</v>
      </c>
      <c r="E19" t="s">
        <v>54</v>
      </c>
      <c r="L19" t="s">
        <v>55</v>
      </c>
      <c r="O19" t="s">
        <v>90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0.22220000000000001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22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27</v>
      </c>
      <c r="C5" t="s">
        <v>28</v>
      </c>
      <c r="D5" t="s">
        <v>28</v>
      </c>
      <c r="E5" t="s">
        <v>29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B6" t="s">
        <v>33</v>
      </c>
      <c r="D6" t="s">
        <v>34</v>
      </c>
      <c r="E6" t="s">
        <v>23</v>
      </c>
      <c r="F6" t="s">
        <v>35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B7" t="s">
        <v>22</v>
      </c>
      <c r="E7" t="s">
        <v>23</v>
      </c>
      <c r="L7" t="s">
        <v>25</v>
      </c>
    </row>
    <row r="8" spans="1:17" x14ac:dyDescent="0.3">
      <c r="A8" t="s">
        <v>38</v>
      </c>
      <c r="B8" t="s">
        <v>22</v>
      </c>
      <c r="E8" t="s">
        <v>23</v>
      </c>
      <c r="Q8" t="s">
        <v>39</v>
      </c>
    </row>
    <row r="9" spans="1:17" x14ac:dyDescent="0.3">
      <c r="A9" t="s">
        <v>40</v>
      </c>
      <c r="B9" t="s">
        <v>22</v>
      </c>
      <c r="E9" t="s">
        <v>23</v>
      </c>
      <c r="Q9" t="s">
        <v>39</v>
      </c>
    </row>
    <row r="10" spans="1:17" x14ac:dyDescent="0.3">
      <c r="A10" t="s">
        <v>41</v>
      </c>
      <c r="B10" t="s">
        <v>22</v>
      </c>
      <c r="H10" t="s">
        <v>42</v>
      </c>
      <c r="Q10" t="s">
        <v>39</v>
      </c>
    </row>
    <row r="11" spans="1:17" x14ac:dyDescent="0.3">
      <c r="A11" t="s">
        <v>43</v>
      </c>
      <c r="B11" t="s">
        <v>22</v>
      </c>
      <c r="H11" t="s">
        <v>42</v>
      </c>
      <c r="Q11" t="s">
        <v>39</v>
      </c>
    </row>
    <row r="12" spans="1:17" x14ac:dyDescent="0.3">
      <c r="A12" t="s">
        <v>44</v>
      </c>
      <c r="B12" t="s">
        <v>22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B13" t="s">
        <v>22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B14" t="s">
        <v>22</v>
      </c>
      <c r="G14" t="s">
        <v>45</v>
      </c>
      <c r="Q14" t="s">
        <v>47</v>
      </c>
    </row>
    <row r="15" spans="1:17" x14ac:dyDescent="0.3">
      <c r="A15" t="s">
        <v>49</v>
      </c>
      <c r="B15" t="s">
        <v>22</v>
      </c>
      <c r="G15" t="s">
        <v>45</v>
      </c>
      <c r="Q15" t="s">
        <v>47</v>
      </c>
    </row>
    <row r="16" spans="1:17" x14ac:dyDescent="0.3">
      <c r="A16" t="s">
        <v>50</v>
      </c>
      <c r="B16" t="s">
        <v>22</v>
      </c>
    </row>
    <row r="17" spans="1:18" x14ac:dyDescent="0.3">
      <c r="A17" t="s">
        <v>52</v>
      </c>
      <c r="B17" t="s">
        <v>118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119</v>
      </c>
      <c r="D5" t="s">
        <v>119</v>
      </c>
      <c r="E5" t="s">
        <v>120</v>
      </c>
      <c r="F5" t="s">
        <v>119</v>
      </c>
      <c r="G5" t="s">
        <v>37</v>
      </c>
      <c r="I5" t="s">
        <v>119</v>
      </c>
      <c r="J5" t="s">
        <v>119</v>
      </c>
      <c r="L5" t="s">
        <v>25</v>
      </c>
      <c r="O5" t="s">
        <v>119</v>
      </c>
    </row>
    <row r="6" spans="1:17" x14ac:dyDescent="0.3">
      <c r="A6" t="s">
        <v>32</v>
      </c>
      <c r="B6" t="s">
        <v>66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Q8" t="s">
        <v>39</v>
      </c>
    </row>
    <row r="9" spans="1:17" x14ac:dyDescent="0.3">
      <c r="A9" t="s">
        <v>40</v>
      </c>
      <c r="Q9" t="s">
        <v>39</v>
      </c>
    </row>
    <row r="10" spans="1:17" x14ac:dyDescent="0.3">
      <c r="A10" t="s">
        <v>41</v>
      </c>
      <c r="B10" t="s">
        <v>94</v>
      </c>
      <c r="G10" t="s">
        <v>95</v>
      </c>
      <c r="H10" t="s">
        <v>42</v>
      </c>
      <c r="K10" t="s">
        <v>94</v>
      </c>
      <c r="N10" t="s">
        <v>94</v>
      </c>
      <c r="Q10" t="s">
        <v>39</v>
      </c>
    </row>
    <row r="11" spans="1:17" x14ac:dyDescent="0.3">
      <c r="A11" t="s">
        <v>43</v>
      </c>
      <c r="H11" t="s">
        <v>42</v>
      </c>
      <c r="Q11" t="s">
        <v>39</v>
      </c>
    </row>
    <row r="12" spans="1:17" x14ac:dyDescent="0.3">
      <c r="A12" t="s">
        <v>44</v>
      </c>
      <c r="H12" t="s">
        <v>42</v>
      </c>
      <c r="Q12" t="s">
        <v>39</v>
      </c>
    </row>
    <row r="13" spans="1:17" x14ac:dyDescent="0.3">
      <c r="A13" t="s">
        <v>46</v>
      </c>
      <c r="H13" t="s">
        <v>42</v>
      </c>
      <c r="Q13" t="s">
        <v>47</v>
      </c>
    </row>
    <row r="14" spans="1:17" x14ac:dyDescent="0.3">
      <c r="A14" t="s">
        <v>48</v>
      </c>
      <c r="Q14" t="s">
        <v>47</v>
      </c>
    </row>
    <row r="15" spans="1:17" x14ac:dyDescent="0.3">
      <c r="A15" t="s">
        <v>49</v>
      </c>
      <c r="Q15" t="s">
        <v>47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5.5599999999999997E-2</v>
      </c>
      <c r="D24">
        <f t="shared" si="0"/>
        <v>0.16669999999999999</v>
      </c>
      <c r="E24">
        <f t="shared" si="0"/>
        <v>0.38890000000000002</v>
      </c>
      <c r="F24">
        <f t="shared" si="0"/>
        <v>0.1111</v>
      </c>
      <c r="G24">
        <f t="shared" si="0"/>
        <v>0.33329999999999999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5.5599999999999997E-2</v>
      </c>
      <c r="N24">
        <f t="shared" si="0"/>
        <v>0.1111</v>
      </c>
      <c r="O24">
        <f t="shared" si="0"/>
        <v>0.1111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4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42" customWidth="1"/>
    <col min="14" max="14" width="35" customWidth="1"/>
    <col min="15" max="16" width="50" customWidth="1"/>
    <col min="17" max="17" width="42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68</v>
      </c>
      <c r="C3" t="s">
        <v>19</v>
      </c>
      <c r="D3" t="s">
        <v>19</v>
      </c>
      <c r="E3" t="s">
        <v>19</v>
      </c>
      <c r="F3" t="s">
        <v>19</v>
      </c>
      <c r="G3" t="s">
        <v>68</v>
      </c>
      <c r="H3" t="s">
        <v>19</v>
      </c>
      <c r="I3" t="s">
        <v>68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69</v>
      </c>
      <c r="E4" t="s">
        <v>121</v>
      </c>
      <c r="F4" t="s">
        <v>69</v>
      </c>
      <c r="L4" t="s">
        <v>25</v>
      </c>
      <c r="N4" t="s">
        <v>69</v>
      </c>
    </row>
    <row r="5" spans="1:17" x14ac:dyDescent="0.3">
      <c r="A5" t="s">
        <v>26</v>
      </c>
      <c r="B5" t="s">
        <v>69</v>
      </c>
      <c r="E5" t="s">
        <v>23</v>
      </c>
      <c r="F5" t="s">
        <v>69</v>
      </c>
      <c r="G5" t="s">
        <v>37</v>
      </c>
      <c r="L5" t="s">
        <v>25</v>
      </c>
      <c r="N5" t="s">
        <v>69</v>
      </c>
    </row>
    <row r="6" spans="1:17" x14ac:dyDescent="0.3">
      <c r="A6" t="s">
        <v>32</v>
      </c>
      <c r="B6" t="s">
        <v>69</v>
      </c>
      <c r="D6" t="s">
        <v>34</v>
      </c>
      <c r="E6" t="s">
        <v>23</v>
      </c>
      <c r="F6" t="s">
        <v>69</v>
      </c>
      <c r="G6" t="s">
        <v>37</v>
      </c>
      <c r="J6" t="s">
        <v>34</v>
      </c>
      <c r="L6" t="s">
        <v>25</v>
      </c>
      <c r="N6" t="s">
        <v>69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E8" t="s">
        <v>23</v>
      </c>
      <c r="G8" t="s">
        <v>71</v>
      </c>
      <c r="Q8" t="s">
        <v>39</v>
      </c>
    </row>
    <row r="9" spans="1:17" x14ac:dyDescent="0.3">
      <c r="A9" t="s">
        <v>40</v>
      </c>
      <c r="E9" t="s">
        <v>23</v>
      </c>
      <c r="G9" t="s">
        <v>71</v>
      </c>
      <c r="Q9" t="s">
        <v>39</v>
      </c>
    </row>
    <row r="10" spans="1:17" x14ac:dyDescent="0.3">
      <c r="A10" t="s">
        <v>41</v>
      </c>
      <c r="E10" t="s">
        <v>23</v>
      </c>
      <c r="G10" t="s">
        <v>72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G11" t="s">
        <v>73</v>
      </c>
      <c r="H11" t="s">
        <v>42</v>
      </c>
      <c r="Q11" t="s">
        <v>39</v>
      </c>
    </row>
    <row r="12" spans="1:17" x14ac:dyDescent="0.3">
      <c r="A12" t="s">
        <v>44</v>
      </c>
      <c r="G12" t="s">
        <v>73</v>
      </c>
      <c r="H12" t="s">
        <v>42</v>
      </c>
      <c r="Q12" t="s">
        <v>39</v>
      </c>
    </row>
    <row r="13" spans="1:17" x14ac:dyDescent="0.3">
      <c r="A13" t="s">
        <v>46</v>
      </c>
      <c r="G13" t="s">
        <v>73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Q14" t="s">
        <v>47</v>
      </c>
    </row>
    <row r="15" spans="1:17" x14ac:dyDescent="0.3">
      <c r="A15" t="s">
        <v>49</v>
      </c>
      <c r="E15" t="s">
        <v>23</v>
      </c>
      <c r="I15" t="s">
        <v>77</v>
      </c>
      <c r="Q15" t="s">
        <v>47</v>
      </c>
    </row>
    <row r="16" spans="1:17" x14ac:dyDescent="0.3">
      <c r="A16" t="s">
        <v>50</v>
      </c>
      <c r="B16" t="s">
        <v>78</v>
      </c>
      <c r="E16" t="s">
        <v>79</v>
      </c>
      <c r="F16" t="s">
        <v>78</v>
      </c>
      <c r="H16" t="s">
        <v>78</v>
      </c>
      <c r="I16" t="s">
        <v>77</v>
      </c>
      <c r="L16" t="s">
        <v>78</v>
      </c>
      <c r="M16" t="s">
        <v>78</v>
      </c>
      <c r="O16" t="s">
        <v>78</v>
      </c>
      <c r="P16" t="s">
        <v>78</v>
      </c>
      <c r="Q16" t="s">
        <v>78</v>
      </c>
    </row>
    <row r="17" spans="1:18" x14ac:dyDescent="0.3">
      <c r="A17" t="s">
        <v>52</v>
      </c>
      <c r="B17" t="s">
        <v>78</v>
      </c>
      <c r="E17" t="s">
        <v>79</v>
      </c>
      <c r="F17" t="s">
        <v>78</v>
      </c>
      <c r="H17" t="s">
        <v>78</v>
      </c>
      <c r="I17" t="s">
        <v>80</v>
      </c>
      <c r="L17" t="s">
        <v>78</v>
      </c>
      <c r="M17" t="s">
        <v>78</v>
      </c>
      <c r="O17" t="s">
        <v>78</v>
      </c>
      <c r="P17" t="s">
        <v>78</v>
      </c>
      <c r="Q17" t="s">
        <v>78</v>
      </c>
    </row>
    <row r="18" spans="1:18" x14ac:dyDescent="0.3">
      <c r="A18" t="s">
        <v>53</v>
      </c>
      <c r="L18" t="s">
        <v>55</v>
      </c>
      <c r="Q18" t="s">
        <v>56</v>
      </c>
    </row>
    <row r="19" spans="1:18" x14ac:dyDescent="0.3">
      <c r="A19" t="s">
        <v>57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0.33329999999999999</v>
      </c>
      <c r="C24">
        <f t="shared" si="0"/>
        <v>5.5599999999999997E-2</v>
      </c>
      <c r="D24">
        <f t="shared" si="0"/>
        <v>0.1111</v>
      </c>
      <c r="E24">
        <f t="shared" si="0"/>
        <v>0.72219999999999995</v>
      </c>
      <c r="F24">
        <f t="shared" si="0"/>
        <v>0.33329999999999999</v>
      </c>
      <c r="G24">
        <f t="shared" si="0"/>
        <v>0.5</v>
      </c>
      <c r="H24">
        <f t="shared" si="0"/>
        <v>0.38890000000000002</v>
      </c>
      <c r="I24">
        <f t="shared" si="0"/>
        <v>0.22220000000000001</v>
      </c>
      <c r="J24">
        <f t="shared" si="0"/>
        <v>0.1111</v>
      </c>
      <c r="K24">
        <f t="shared" si="0"/>
        <v>5.5599999999999997E-2</v>
      </c>
      <c r="L24">
        <f t="shared" si="0"/>
        <v>0.5</v>
      </c>
      <c r="M24">
        <f t="shared" si="0"/>
        <v>0.16669999999999999</v>
      </c>
      <c r="N24">
        <f t="shared" si="0"/>
        <v>0.22220000000000001</v>
      </c>
      <c r="O24">
        <f t="shared" si="0"/>
        <v>0.16669999999999999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29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E7" t="s">
        <v>23</v>
      </c>
      <c r="L7" t="s">
        <v>25</v>
      </c>
      <c r="N7" t="s">
        <v>83</v>
      </c>
    </row>
    <row r="8" spans="1:17" x14ac:dyDescent="0.3">
      <c r="A8" t="s">
        <v>38</v>
      </c>
      <c r="E8" t="s">
        <v>23</v>
      </c>
      <c r="Q8" t="s">
        <v>39</v>
      </c>
    </row>
    <row r="9" spans="1:17" x14ac:dyDescent="0.3">
      <c r="A9" t="s">
        <v>40</v>
      </c>
      <c r="E9" t="s">
        <v>23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E18" t="s">
        <v>23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23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0.1111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85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C6" t="s">
        <v>86</v>
      </c>
      <c r="D6" t="s">
        <v>34</v>
      </c>
      <c r="E6" t="s">
        <v>23</v>
      </c>
      <c r="G6" t="s">
        <v>89</v>
      </c>
      <c r="H6" t="s">
        <v>86</v>
      </c>
      <c r="I6" t="s">
        <v>86</v>
      </c>
      <c r="J6" t="s">
        <v>34</v>
      </c>
      <c r="L6" t="s">
        <v>25</v>
      </c>
      <c r="M6" t="s">
        <v>86</v>
      </c>
      <c r="N6" t="s">
        <v>88</v>
      </c>
      <c r="Q6" t="s">
        <v>86</v>
      </c>
    </row>
    <row r="7" spans="1:17" x14ac:dyDescent="0.3">
      <c r="A7" t="s">
        <v>36</v>
      </c>
      <c r="C7" t="s">
        <v>86</v>
      </c>
      <c r="E7" t="s">
        <v>23</v>
      </c>
      <c r="G7" t="s">
        <v>86</v>
      </c>
      <c r="H7" t="s">
        <v>86</v>
      </c>
      <c r="I7" t="s">
        <v>86</v>
      </c>
      <c r="L7" t="s">
        <v>25</v>
      </c>
      <c r="M7" t="s">
        <v>86</v>
      </c>
      <c r="Q7" t="s">
        <v>86</v>
      </c>
    </row>
    <row r="8" spans="1:17" x14ac:dyDescent="0.3">
      <c r="A8" t="s">
        <v>38</v>
      </c>
      <c r="E8" t="s">
        <v>23</v>
      </c>
      <c r="Q8" t="s">
        <v>39</v>
      </c>
    </row>
    <row r="9" spans="1:17" x14ac:dyDescent="0.3">
      <c r="A9" t="s">
        <v>40</v>
      </c>
      <c r="E9" t="s">
        <v>122</v>
      </c>
      <c r="K9" t="s">
        <v>123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B18" t="s">
        <v>90</v>
      </c>
      <c r="E18" t="s">
        <v>54</v>
      </c>
      <c r="G18" t="s">
        <v>24</v>
      </c>
      <c r="L18" t="s">
        <v>55</v>
      </c>
      <c r="O18" t="s">
        <v>90</v>
      </c>
      <c r="Q18" t="s">
        <v>56</v>
      </c>
    </row>
    <row r="19" spans="1:18" x14ac:dyDescent="0.3">
      <c r="A19" t="s">
        <v>57</v>
      </c>
      <c r="B19" t="s">
        <v>90</v>
      </c>
      <c r="E19" t="s">
        <v>54</v>
      </c>
      <c r="L19" t="s">
        <v>55</v>
      </c>
      <c r="O19" t="s">
        <v>90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0.22220000000000001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0.38890000000000002</v>
      </c>
      <c r="I24">
        <f t="shared" si="0"/>
        <v>0.16669999999999999</v>
      </c>
      <c r="J24">
        <f t="shared" si="0"/>
        <v>0.16669999999999999</v>
      </c>
      <c r="K24">
        <f t="shared" si="0"/>
        <v>0.16669999999999999</v>
      </c>
      <c r="L24">
        <f t="shared" si="0"/>
        <v>0.38890000000000002</v>
      </c>
      <c r="M24">
        <f t="shared" si="0"/>
        <v>0.22220000000000001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0.77780000000000005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22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27</v>
      </c>
      <c r="C5" t="s">
        <v>28</v>
      </c>
      <c r="D5" t="s">
        <v>28</v>
      </c>
      <c r="E5" t="s">
        <v>29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B6" t="s">
        <v>33</v>
      </c>
      <c r="D6" t="s">
        <v>34</v>
      </c>
      <c r="E6" t="s">
        <v>23</v>
      </c>
      <c r="F6" t="s">
        <v>35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B7" t="s">
        <v>22</v>
      </c>
      <c r="E7" t="s">
        <v>23</v>
      </c>
      <c r="L7" t="s">
        <v>25</v>
      </c>
    </row>
    <row r="8" spans="1:17" x14ac:dyDescent="0.3">
      <c r="A8" t="s">
        <v>38</v>
      </c>
      <c r="B8" t="s">
        <v>22</v>
      </c>
      <c r="E8" t="s">
        <v>23</v>
      </c>
      <c r="Q8" t="s">
        <v>39</v>
      </c>
    </row>
    <row r="9" spans="1:17" x14ac:dyDescent="0.3">
      <c r="A9" t="s">
        <v>40</v>
      </c>
      <c r="B9" t="s">
        <v>22</v>
      </c>
      <c r="E9" t="s">
        <v>23</v>
      </c>
      <c r="Q9" t="s">
        <v>39</v>
      </c>
    </row>
    <row r="10" spans="1:17" x14ac:dyDescent="0.3">
      <c r="A10" t="s">
        <v>41</v>
      </c>
      <c r="B10" t="s">
        <v>22</v>
      </c>
      <c r="H10" t="s">
        <v>42</v>
      </c>
      <c r="Q10" t="s">
        <v>39</v>
      </c>
    </row>
    <row r="11" spans="1:17" x14ac:dyDescent="0.3">
      <c r="A11" t="s">
        <v>43</v>
      </c>
      <c r="B11" t="s">
        <v>22</v>
      </c>
      <c r="H11" t="s">
        <v>42</v>
      </c>
      <c r="Q11" t="s">
        <v>39</v>
      </c>
    </row>
    <row r="12" spans="1:17" x14ac:dyDescent="0.3">
      <c r="A12" t="s">
        <v>44</v>
      </c>
      <c r="B12" t="s">
        <v>22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B13" t="s">
        <v>22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B14" t="s">
        <v>22</v>
      </c>
      <c r="G14" t="s">
        <v>45</v>
      </c>
      <c r="Q14" t="s">
        <v>47</v>
      </c>
    </row>
    <row r="15" spans="1:17" x14ac:dyDescent="0.3">
      <c r="A15" t="s">
        <v>49</v>
      </c>
      <c r="B15" t="s">
        <v>22</v>
      </c>
      <c r="G15" t="s">
        <v>45</v>
      </c>
      <c r="Q15" t="s">
        <v>47</v>
      </c>
    </row>
    <row r="16" spans="1:17" x14ac:dyDescent="0.3">
      <c r="A16" t="s">
        <v>50</v>
      </c>
      <c r="B16" t="s">
        <v>22</v>
      </c>
    </row>
    <row r="17" spans="1:18" x14ac:dyDescent="0.3">
      <c r="A17" t="s">
        <v>52</v>
      </c>
      <c r="B17" t="s">
        <v>22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E5" t="s">
        <v>23</v>
      </c>
      <c r="G5" t="s">
        <v>37</v>
      </c>
      <c r="L5" t="s">
        <v>25</v>
      </c>
    </row>
    <row r="6" spans="1:17" x14ac:dyDescent="0.3">
      <c r="A6" t="s">
        <v>32</v>
      </c>
      <c r="B6" t="s">
        <v>66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Q8" t="s">
        <v>39</v>
      </c>
    </row>
    <row r="9" spans="1:17" x14ac:dyDescent="0.3">
      <c r="A9" t="s">
        <v>40</v>
      </c>
      <c r="Q9" t="s">
        <v>39</v>
      </c>
    </row>
    <row r="10" spans="1:17" x14ac:dyDescent="0.3">
      <c r="A10" t="s">
        <v>41</v>
      </c>
      <c r="B10" t="s">
        <v>94</v>
      </c>
      <c r="G10" t="s">
        <v>95</v>
      </c>
      <c r="H10" t="s">
        <v>42</v>
      </c>
      <c r="K10" t="s">
        <v>94</v>
      </c>
      <c r="N10" t="s">
        <v>94</v>
      </c>
      <c r="Q10" t="s">
        <v>39</v>
      </c>
    </row>
    <row r="11" spans="1:17" x14ac:dyDescent="0.3">
      <c r="A11" t="s">
        <v>43</v>
      </c>
      <c r="H11" t="s">
        <v>42</v>
      </c>
      <c r="Q11" t="s">
        <v>39</v>
      </c>
    </row>
    <row r="12" spans="1:17" x14ac:dyDescent="0.3">
      <c r="A12" t="s">
        <v>44</v>
      </c>
      <c r="H12" t="s">
        <v>42</v>
      </c>
      <c r="Q12" t="s">
        <v>39</v>
      </c>
    </row>
    <row r="13" spans="1:17" x14ac:dyDescent="0.3">
      <c r="A13" t="s">
        <v>46</v>
      </c>
      <c r="H13" t="s">
        <v>42</v>
      </c>
      <c r="Q13" t="s">
        <v>47</v>
      </c>
    </row>
    <row r="14" spans="1:17" x14ac:dyDescent="0.3">
      <c r="A14" t="s">
        <v>48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K14" t="s">
        <v>96</v>
      </c>
      <c r="L14" t="s">
        <v>96</v>
      </c>
      <c r="M14" t="s">
        <v>96</v>
      </c>
      <c r="N14" t="s">
        <v>96</v>
      </c>
      <c r="P14" t="s">
        <v>96</v>
      </c>
      <c r="Q14" t="s">
        <v>97</v>
      </c>
    </row>
    <row r="15" spans="1:17" x14ac:dyDescent="0.3">
      <c r="A15" t="s">
        <v>49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K15" t="s">
        <v>96</v>
      </c>
      <c r="L15" t="s">
        <v>96</v>
      </c>
      <c r="M15" t="s">
        <v>96</v>
      </c>
      <c r="N15" t="s">
        <v>96</v>
      </c>
      <c r="P15" t="s">
        <v>96</v>
      </c>
      <c r="Q15" t="s">
        <v>97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0.27779999999999999</v>
      </c>
      <c r="C24">
        <f t="shared" si="0"/>
        <v>0.16669999999999999</v>
      </c>
      <c r="D24">
        <f t="shared" si="0"/>
        <v>0.22220000000000001</v>
      </c>
      <c r="E24">
        <f t="shared" si="0"/>
        <v>0.5</v>
      </c>
      <c r="F24">
        <f t="shared" si="0"/>
        <v>0.16669999999999999</v>
      </c>
      <c r="G24">
        <f t="shared" si="0"/>
        <v>0.33329999999999999</v>
      </c>
      <c r="H24">
        <f t="shared" si="0"/>
        <v>0.27779999999999999</v>
      </c>
      <c r="I24">
        <f t="shared" si="0"/>
        <v>5.5599999999999997E-2</v>
      </c>
      <c r="J24">
        <f t="shared" si="0"/>
        <v>0.1111</v>
      </c>
      <c r="K24">
        <f t="shared" si="0"/>
        <v>0.22220000000000001</v>
      </c>
      <c r="L24">
        <f t="shared" si="0"/>
        <v>0.5</v>
      </c>
      <c r="M24">
        <f t="shared" si="0"/>
        <v>0.16669999999999999</v>
      </c>
      <c r="N24">
        <f t="shared" si="0"/>
        <v>0.22220000000000001</v>
      </c>
      <c r="O24">
        <f t="shared" si="0"/>
        <v>5.5599999999999997E-2</v>
      </c>
      <c r="P24">
        <f t="shared" si="0"/>
        <v>0.16669999999999999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3" width="35" customWidth="1"/>
    <col min="14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68</v>
      </c>
      <c r="C3" t="s">
        <v>19</v>
      </c>
      <c r="D3" t="s">
        <v>19</v>
      </c>
      <c r="E3" t="s">
        <v>19</v>
      </c>
      <c r="F3" t="s">
        <v>19</v>
      </c>
      <c r="G3" t="s">
        <v>68</v>
      </c>
      <c r="H3" t="s">
        <v>19</v>
      </c>
      <c r="I3" t="s">
        <v>68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69</v>
      </c>
      <c r="E4" t="s">
        <v>23</v>
      </c>
      <c r="F4" t="s">
        <v>69</v>
      </c>
      <c r="L4" t="s">
        <v>25</v>
      </c>
      <c r="N4" t="s">
        <v>100</v>
      </c>
    </row>
    <row r="5" spans="1:17" x14ac:dyDescent="0.3">
      <c r="A5" t="s">
        <v>26</v>
      </c>
      <c r="B5" t="s">
        <v>69</v>
      </c>
      <c r="E5" t="s">
        <v>23</v>
      </c>
      <c r="F5" t="s">
        <v>69</v>
      </c>
      <c r="G5" t="s">
        <v>37</v>
      </c>
      <c r="L5" t="s">
        <v>25</v>
      </c>
      <c r="N5" t="s">
        <v>100</v>
      </c>
    </row>
    <row r="6" spans="1:17" x14ac:dyDescent="0.3">
      <c r="A6" t="s">
        <v>32</v>
      </c>
      <c r="B6" t="s">
        <v>69</v>
      </c>
      <c r="D6" t="s">
        <v>34</v>
      </c>
      <c r="E6" t="s">
        <v>23</v>
      </c>
      <c r="F6" t="s">
        <v>69</v>
      </c>
      <c r="G6" t="s">
        <v>37</v>
      </c>
      <c r="J6" t="s">
        <v>34</v>
      </c>
      <c r="L6" t="s">
        <v>25</v>
      </c>
      <c r="N6" t="s">
        <v>69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E8" t="s">
        <v>23</v>
      </c>
      <c r="G8" t="s">
        <v>71</v>
      </c>
      <c r="Q8" t="s">
        <v>39</v>
      </c>
    </row>
    <row r="9" spans="1:17" x14ac:dyDescent="0.3">
      <c r="A9" t="s">
        <v>40</v>
      </c>
      <c r="D9" t="s">
        <v>101</v>
      </c>
      <c r="E9" t="s">
        <v>23</v>
      </c>
      <c r="G9" t="s">
        <v>71</v>
      </c>
      <c r="I9" t="s">
        <v>102</v>
      </c>
      <c r="Q9" t="s">
        <v>39</v>
      </c>
    </row>
    <row r="10" spans="1:17" x14ac:dyDescent="0.3">
      <c r="A10" t="s">
        <v>41</v>
      </c>
      <c r="C10" t="s">
        <v>103</v>
      </c>
      <c r="E10" t="s">
        <v>23</v>
      </c>
      <c r="G10" t="s">
        <v>72</v>
      </c>
      <c r="H10" t="s">
        <v>42</v>
      </c>
      <c r="Q10" t="s">
        <v>39</v>
      </c>
    </row>
    <row r="11" spans="1:17" x14ac:dyDescent="0.3">
      <c r="A11" t="s">
        <v>43</v>
      </c>
      <c r="E11" t="s">
        <v>104</v>
      </c>
      <c r="G11" t="s">
        <v>73</v>
      </c>
      <c r="H11" t="s">
        <v>42</v>
      </c>
      <c r="Q11" t="s">
        <v>39</v>
      </c>
    </row>
    <row r="12" spans="1:17" x14ac:dyDescent="0.3">
      <c r="A12" t="s">
        <v>44</v>
      </c>
      <c r="G12" t="s">
        <v>73</v>
      </c>
      <c r="H12" t="s">
        <v>42</v>
      </c>
      <c r="Q12" t="s">
        <v>39</v>
      </c>
    </row>
    <row r="13" spans="1:17" x14ac:dyDescent="0.3">
      <c r="A13" t="s">
        <v>46</v>
      </c>
      <c r="F13" t="s">
        <v>105</v>
      </c>
      <c r="G13" t="s">
        <v>73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106</v>
      </c>
      <c r="I14" t="s">
        <v>124</v>
      </c>
      <c r="Q14" t="s">
        <v>47</v>
      </c>
    </row>
    <row r="15" spans="1:17" x14ac:dyDescent="0.3">
      <c r="A15" t="s">
        <v>49</v>
      </c>
      <c r="E15" t="s">
        <v>23</v>
      </c>
      <c r="I15" t="s">
        <v>124</v>
      </c>
      <c r="Q15" t="s">
        <v>47</v>
      </c>
    </row>
    <row r="16" spans="1:17" x14ac:dyDescent="0.3">
      <c r="A16" t="s">
        <v>50</v>
      </c>
      <c r="E16" t="s">
        <v>23</v>
      </c>
      <c r="I16" t="s">
        <v>125</v>
      </c>
    </row>
    <row r="17" spans="1:18" x14ac:dyDescent="0.3">
      <c r="A17" t="s">
        <v>52</v>
      </c>
      <c r="E17" t="s">
        <v>23</v>
      </c>
      <c r="I17" t="s">
        <v>107</v>
      </c>
    </row>
    <row r="18" spans="1:18" x14ac:dyDescent="0.3">
      <c r="A18" t="s">
        <v>53</v>
      </c>
      <c r="L18" t="s">
        <v>55</v>
      </c>
      <c r="Q18" t="s">
        <v>56</v>
      </c>
    </row>
    <row r="19" spans="1:18" x14ac:dyDescent="0.3">
      <c r="A19" t="s">
        <v>57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0.72219999999999995</v>
      </c>
      <c r="F24">
        <f t="shared" si="0"/>
        <v>0.27779999999999999</v>
      </c>
      <c r="G24">
        <f t="shared" si="0"/>
        <v>0.55559999999999998</v>
      </c>
      <c r="H24">
        <f t="shared" si="0"/>
        <v>0.27779999999999999</v>
      </c>
      <c r="I24">
        <f t="shared" si="0"/>
        <v>0.33329999999999999</v>
      </c>
      <c r="J24">
        <f t="shared" si="0"/>
        <v>0.1111</v>
      </c>
      <c r="K24">
        <f t="shared" si="0"/>
        <v>5.5599999999999997E-2</v>
      </c>
      <c r="L24">
        <f t="shared" si="0"/>
        <v>0.38890000000000002</v>
      </c>
      <c r="M24">
        <f t="shared" si="0"/>
        <v>5.5599999999999997E-2</v>
      </c>
      <c r="N24">
        <f t="shared" si="0"/>
        <v>0.22220000000000001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108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29</v>
      </c>
      <c r="G5" t="s">
        <v>37</v>
      </c>
      <c r="I5" t="s">
        <v>109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  <c r="Q6" t="s">
        <v>110</v>
      </c>
    </row>
    <row r="7" spans="1:17" x14ac:dyDescent="0.3">
      <c r="A7" t="s">
        <v>36</v>
      </c>
      <c r="B7" t="s">
        <v>111</v>
      </c>
      <c r="E7" t="s">
        <v>112</v>
      </c>
      <c r="L7" t="s">
        <v>25</v>
      </c>
      <c r="N7" t="s">
        <v>83</v>
      </c>
      <c r="O7" t="s">
        <v>111</v>
      </c>
    </row>
    <row r="8" spans="1:17" x14ac:dyDescent="0.3">
      <c r="A8" t="s">
        <v>38</v>
      </c>
      <c r="B8" t="s">
        <v>111</v>
      </c>
      <c r="E8" t="s">
        <v>112</v>
      </c>
      <c r="O8" t="s">
        <v>111</v>
      </c>
      <c r="Q8" t="s">
        <v>39</v>
      </c>
    </row>
    <row r="9" spans="1:17" x14ac:dyDescent="0.3">
      <c r="A9" t="s">
        <v>40</v>
      </c>
      <c r="E9" t="s">
        <v>23</v>
      </c>
      <c r="J9" t="s">
        <v>114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K13" t="s">
        <v>115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L14" t="s">
        <v>116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</row>
    <row r="17" spans="1:18" x14ac:dyDescent="0.3">
      <c r="A17" t="s">
        <v>52</v>
      </c>
      <c r="E17" t="s">
        <v>23</v>
      </c>
    </row>
    <row r="18" spans="1:18" x14ac:dyDescent="0.3">
      <c r="A18" t="s">
        <v>53</v>
      </c>
      <c r="E18" t="s">
        <v>23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23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0.1111</v>
      </c>
      <c r="J24">
        <f t="shared" si="0"/>
        <v>0.22220000000000001</v>
      </c>
      <c r="K24">
        <f t="shared" si="0"/>
        <v>0.16669999999999999</v>
      </c>
      <c r="L24">
        <f t="shared" si="0"/>
        <v>0.44440000000000002</v>
      </c>
      <c r="M24">
        <f t="shared" si="0"/>
        <v>0.1111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0.72219999999999995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28</v>
      </c>
      <c r="C5" t="s">
        <v>28</v>
      </c>
      <c r="D5" t="s">
        <v>28</v>
      </c>
      <c r="E5" t="s">
        <v>85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  <c r="N6" t="s">
        <v>88</v>
      </c>
    </row>
    <row r="7" spans="1:17" x14ac:dyDescent="0.3">
      <c r="A7" t="s">
        <v>36</v>
      </c>
      <c r="E7" t="s">
        <v>23</v>
      </c>
      <c r="L7" t="s">
        <v>25</v>
      </c>
    </row>
    <row r="8" spans="1:17" x14ac:dyDescent="0.3">
      <c r="A8" t="s">
        <v>38</v>
      </c>
      <c r="E8" t="s">
        <v>23</v>
      </c>
      <c r="Q8" t="s">
        <v>39</v>
      </c>
    </row>
    <row r="9" spans="1:17" x14ac:dyDescent="0.3">
      <c r="A9" t="s">
        <v>40</v>
      </c>
      <c r="E9" t="s">
        <v>23</v>
      </c>
      <c r="O9" t="s">
        <v>117</v>
      </c>
      <c r="Q9" t="s">
        <v>39</v>
      </c>
    </row>
    <row r="10" spans="1:17" x14ac:dyDescent="0.3">
      <c r="A10" t="s">
        <v>41</v>
      </c>
      <c r="E10" t="s">
        <v>23</v>
      </c>
      <c r="H10" t="s">
        <v>42</v>
      </c>
      <c r="Q10" t="s">
        <v>39</v>
      </c>
    </row>
    <row r="11" spans="1:17" x14ac:dyDescent="0.3">
      <c r="A11" t="s">
        <v>43</v>
      </c>
      <c r="E11" t="s">
        <v>23</v>
      </c>
      <c r="H11" t="s">
        <v>42</v>
      </c>
      <c r="Q11" t="s">
        <v>39</v>
      </c>
    </row>
    <row r="12" spans="1:17" x14ac:dyDescent="0.3">
      <c r="A12" t="s">
        <v>44</v>
      </c>
      <c r="G12" t="s">
        <v>45</v>
      </c>
      <c r="H12" t="s">
        <v>42</v>
      </c>
      <c r="Q12" t="s">
        <v>39</v>
      </c>
    </row>
    <row r="13" spans="1:17" x14ac:dyDescent="0.3">
      <c r="A13" t="s">
        <v>46</v>
      </c>
      <c r="G13" t="s">
        <v>45</v>
      </c>
      <c r="H13" t="s">
        <v>42</v>
      </c>
      <c r="Q13" t="s">
        <v>47</v>
      </c>
    </row>
    <row r="14" spans="1:17" x14ac:dyDescent="0.3">
      <c r="A14" t="s">
        <v>48</v>
      </c>
      <c r="E14" t="s">
        <v>23</v>
      </c>
      <c r="G14" t="s">
        <v>45</v>
      </c>
      <c r="Q14" t="s">
        <v>47</v>
      </c>
    </row>
    <row r="15" spans="1:17" x14ac:dyDescent="0.3">
      <c r="A15" t="s">
        <v>49</v>
      </c>
      <c r="E15" t="s">
        <v>23</v>
      </c>
      <c r="G15" t="s">
        <v>45</v>
      </c>
      <c r="Q15" t="s">
        <v>47</v>
      </c>
    </row>
    <row r="16" spans="1:17" x14ac:dyDescent="0.3">
      <c r="A16" t="s">
        <v>50</v>
      </c>
      <c r="E16" t="s">
        <v>23</v>
      </c>
      <c r="I16" t="s">
        <v>126</v>
      </c>
    </row>
    <row r="17" spans="1:18" x14ac:dyDescent="0.3">
      <c r="A17" t="s">
        <v>52</v>
      </c>
      <c r="E17" t="s">
        <v>23</v>
      </c>
      <c r="I17" t="s">
        <v>126</v>
      </c>
    </row>
    <row r="18" spans="1:18" x14ac:dyDescent="0.3">
      <c r="A18" t="s">
        <v>53</v>
      </c>
      <c r="B18" t="s">
        <v>90</v>
      </c>
      <c r="E18" t="s">
        <v>54</v>
      </c>
      <c r="G18" t="s">
        <v>24</v>
      </c>
      <c r="L18" t="s">
        <v>55</v>
      </c>
      <c r="O18" t="s">
        <v>90</v>
      </c>
      <c r="Q18" t="s">
        <v>56</v>
      </c>
    </row>
    <row r="19" spans="1:18" x14ac:dyDescent="0.3">
      <c r="A19" t="s">
        <v>57</v>
      </c>
      <c r="B19" t="s">
        <v>90</v>
      </c>
      <c r="E19" t="s">
        <v>54</v>
      </c>
      <c r="L19" t="s">
        <v>55</v>
      </c>
      <c r="O19" t="s">
        <v>90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0.16669999999999999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0.22220000000000001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54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22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27</v>
      </c>
      <c r="C5" t="s">
        <v>28</v>
      </c>
      <c r="D5" t="s">
        <v>28</v>
      </c>
      <c r="E5" t="s">
        <v>29</v>
      </c>
      <c r="G5" t="s">
        <v>37</v>
      </c>
      <c r="J5" t="s">
        <v>28</v>
      </c>
      <c r="K5" t="s">
        <v>28</v>
      </c>
      <c r="L5" t="s">
        <v>31</v>
      </c>
      <c r="M5" t="s">
        <v>28</v>
      </c>
      <c r="N5" t="s">
        <v>28</v>
      </c>
      <c r="P5" t="s">
        <v>28</v>
      </c>
      <c r="Q5" t="s">
        <v>28</v>
      </c>
    </row>
    <row r="6" spans="1:17" x14ac:dyDescent="0.3">
      <c r="A6" t="s">
        <v>32</v>
      </c>
      <c r="B6" t="s">
        <v>33</v>
      </c>
      <c r="D6" t="s">
        <v>34</v>
      </c>
      <c r="E6" t="s">
        <v>23</v>
      </c>
      <c r="F6" t="s">
        <v>35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B7" t="s">
        <v>22</v>
      </c>
      <c r="E7" t="s">
        <v>23</v>
      </c>
      <c r="L7" t="s">
        <v>25</v>
      </c>
    </row>
    <row r="8" spans="1:17" x14ac:dyDescent="0.3">
      <c r="A8" t="s">
        <v>38</v>
      </c>
      <c r="B8" t="s">
        <v>22</v>
      </c>
      <c r="E8" t="s">
        <v>23</v>
      </c>
      <c r="Q8" t="s">
        <v>39</v>
      </c>
    </row>
    <row r="9" spans="1:17" x14ac:dyDescent="0.3">
      <c r="A9" t="s">
        <v>40</v>
      </c>
      <c r="B9" t="s">
        <v>22</v>
      </c>
      <c r="E9" t="s">
        <v>23</v>
      </c>
      <c r="Q9" t="s">
        <v>39</v>
      </c>
    </row>
    <row r="10" spans="1:17" x14ac:dyDescent="0.3">
      <c r="A10" t="s">
        <v>41</v>
      </c>
      <c r="B10" t="s">
        <v>22</v>
      </c>
      <c r="H10" t="s">
        <v>42</v>
      </c>
      <c r="Q10" t="s">
        <v>39</v>
      </c>
    </row>
    <row r="11" spans="1:17" x14ac:dyDescent="0.3">
      <c r="A11" t="s">
        <v>43</v>
      </c>
      <c r="B11" t="s">
        <v>22</v>
      </c>
      <c r="H11" t="s">
        <v>42</v>
      </c>
      <c r="Q11" t="s">
        <v>39</v>
      </c>
    </row>
    <row r="12" spans="1:17" x14ac:dyDescent="0.3">
      <c r="A12" t="s">
        <v>44</v>
      </c>
      <c r="B12" t="s">
        <v>127</v>
      </c>
      <c r="C12" t="s">
        <v>128</v>
      </c>
      <c r="D12" t="s">
        <v>128</v>
      </c>
      <c r="E12" t="s">
        <v>128</v>
      </c>
      <c r="F12" t="s">
        <v>128</v>
      </c>
      <c r="G12" t="s">
        <v>45</v>
      </c>
      <c r="H12" t="s">
        <v>42</v>
      </c>
      <c r="K12" t="s">
        <v>128</v>
      </c>
      <c r="L12" t="s">
        <v>128</v>
      </c>
      <c r="M12" t="s">
        <v>128</v>
      </c>
      <c r="N12" t="s">
        <v>128</v>
      </c>
      <c r="Q12" t="s">
        <v>129</v>
      </c>
    </row>
    <row r="13" spans="1:17" x14ac:dyDescent="0.3">
      <c r="A13" t="s">
        <v>46</v>
      </c>
      <c r="B13" t="s">
        <v>127</v>
      </c>
      <c r="C13" t="s">
        <v>128</v>
      </c>
      <c r="D13" t="s">
        <v>128</v>
      </c>
      <c r="E13" t="s">
        <v>128</v>
      </c>
      <c r="F13" t="s">
        <v>128</v>
      </c>
      <c r="G13" t="s">
        <v>45</v>
      </c>
      <c r="H13" t="s">
        <v>42</v>
      </c>
      <c r="K13" t="s">
        <v>128</v>
      </c>
      <c r="L13" t="s">
        <v>128</v>
      </c>
      <c r="M13" t="s">
        <v>128</v>
      </c>
      <c r="N13" t="s">
        <v>128</v>
      </c>
      <c r="Q13" t="s">
        <v>130</v>
      </c>
    </row>
    <row r="14" spans="1:17" x14ac:dyDescent="0.3">
      <c r="A14" t="s">
        <v>48</v>
      </c>
      <c r="B14" t="s">
        <v>127</v>
      </c>
      <c r="C14" t="s">
        <v>128</v>
      </c>
      <c r="D14" t="s">
        <v>128</v>
      </c>
      <c r="E14" t="s">
        <v>128</v>
      </c>
      <c r="F14" t="s">
        <v>128</v>
      </c>
      <c r="G14" t="s">
        <v>45</v>
      </c>
      <c r="K14" t="s">
        <v>128</v>
      </c>
      <c r="L14" t="s">
        <v>128</v>
      </c>
      <c r="M14" t="s">
        <v>128</v>
      </c>
      <c r="N14" t="s">
        <v>128</v>
      </c>
      <c r="Q14" t="s">
        <v>130</v>
      </c>
    </row>
    <row r="15" spans="1:17" x14ac:dyDescent="0.3">
      <c r="A15" t="s">
        <v>49</v>
      </c>
      <c r="B15" t="s">
        <v>127</v>
      </c>
      <c r="C15" t="s">
        <v>128</v>
      </c>
      <c r="D15" t="s">
        <v>128</v>
      </c>
      <c r="E15" t="s">
        <v>128</v>
      </c>
      <c r="F15" t="s">
        <v>128</v>
      </c>
      <c r="G15" t="s">
        <v>45</v>
      </c>
      <c r="K15" t="s">
        <v>128</v>
      </c>
      <c r="L15" t="s">
        <v>128</v>
      </c>
      <c r="M15" t="s">
        <v>128</v>
      </c>
      <c r="N15" t="s">
        <v>128</v>
      </c>
      <c r="Q15" t="s">
        <v>130</v>
      </c>
    </row>
    <row r="16" spans="1:17" x14ac:dyDescent="0.3">
      <c r="A16" t="s">
        <v>50</v>
      </c>
      <c r="B16" t="s">
        <v>22</v>
      </c>
    </row>
    <row r="17" spans="1:18" x14ac:dyDescent="0.3">
      <c r="A17" t="s">
        <v>52</v>
      </c>
      <c r="B17" t="s">
        <v>22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0.83330000000000004</v>
      </c>
      <c r="C24">
        <f t="shared" si="0"/>
        <v>0.33329999999999999</v>
      </c>
      <c r="D24">
        <f t="shared" si="0"/>
        <v>0.38890000000000002</v>
      </c>
      <c r="E24">
        <f t="shared" si="0"/>
        <v>0.72219999999999995</v>
      </c>
      <c r="F24">
        <f t="shared" si="0"/>
        <v>0.33329999999999999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0.33329999999999999</v>
      </c>
      <c r="L24">
        <f t="shared" si="0"/>
        <v>0.61109999999999998</v>
      </c>
      <c r="M24">
        <f t="shared" si="0"/>
        <v>0.33329999999999999</v>
      </c>
      <c r="N24">
        <f t="shared" si="0"/>
        <v>0.33329999999999999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7" x14ac:dyDescent="0.3">
      <c r="A4" t="s">
        <v>21</v>
      </c>
      <c r="B4" t="s">
        <v>131</v>
      </c>
      <c r="E4" t="s">
        <v>23</v>
      </c>
      <c r="G4" t="s">
        <v>24</v>
      </c>
      <c r="L4" t="s">
        <v>25</v>
      </c>
    </row>
    <row r="5" spans="1:17" x14ac:dyDescent="0.3">
      <c r="A5" t="s">
        <v>26</v>
      </c>
      <c r="B5" t="s">
        <v>131</v>
      </c>
      <c r="E5" t="s">
        <v>23</v>
      </c>
      <c r="G5" t="s">
        <v>37</v>
      </c>
      <c r="L5" t="s">
        <v>25</v>
      </c>
    </row>
    <row r="6" spans="1:17" x14ac:dyDescent="0.3">
      <c r="A6" t="s">
        <v>32</v>
      </c>
      <c r="B6" t="s">
        <v>132</v>
      </c>
      <c r="D6" t="s">
        <v>34</v>
      </c>
      <c r="E6" t="s">
        <v>23</v>
      </c>
      <c r="G6" t="s">
        <v>37</v>
      </c>
      <c r="J6" t="s">
        <v>34</v>
      </c>
      <c r="L6" t="s">
        <v>25</v>
      </c>
    </row>
    <row r="7" spans="1:17" x14ac:dyDescent="0.3">
      <c r="A7" t="s">
        <v>36</v>
      </c>
      <c r="B7" t="s">
        <v>131</v>
      </c>
      <c r="E7" t="s">
        <v>23</v>
      </c>
      <c r="L7" t="s">
        <v>25</v>
      </c>
    </row>
    <row r="8" spans="1:17" x14ac:dyDescent="0.3">
      <c r="A8" t="s">
        <v>38</v>
      </c>
      <c r="B8" t="s">
        <v>131</v>
      </c>
      <c r="Q8" t="s">
        <v>39</v>
      </c>
    </row>
    <row r="9" spans="1:17" x14ac:dyDescent="0.3">
      <c r="A9" t="s">
        <v>40</v>
      </c>
      <c r="B9" t="s">
        <v>131</v>
      </c>
      <c r="Q9" t="s">
        <v>39</v>
      </c>
    </row>
    <row r="10" spans="1:17" x14ac:dyDescent="0.3">
      <c r="A10" t="s">
        <v>41</v>
      </c>
      <c r="B10" t="s">
        <v>133</v>
      </c>
      <c r="G10" t="s">
        <v>95</v>
      </c>
      <c r="H10" t="s">
        <v>42</v>
      </c>
      <c r="K10" t="s">
        <v>94</v>
      </c>
      <c r="N10" t="s">
        <v>94</v>
      </c>
      <c r="Q10" t="s">
        <v>39</v>
      </c>
    </row>
    <row r="11" spans="1:17" x14ac:dyDescent="0.3">
      <c r="A11" t="s">
        <v>43</v>
      </c>
      <c r="B11" t="s">
        <v>131</v>
      </c>
      <c r="H11" t="s">
        <v>42</v>
      </c>
      <c r="Q11" t="s">
        <v>39</v>
      </c>
    </row>
    <row r="12" spans="1:17" x14ac:dyDescent="0.3">
      <c r="A12" t="s">
        <v>44</v>
      </c>
      <c r="H12" t="s">
        <v>42</v>
      </c>
      <c r="Q12" t="s">
        <v>39</v>
      </c>
    </row>
    <row r="13" spans="1:17" x14ac:dyDescent="0.3">
      <c r="A13" t="s">
        <v>46</v>
      </c>
      <c r="H13" t="s">
        <v>42</v>
      </c>
      <c r="Q13" t="s">
        <v>47</v>
      </c>
    </row>
    <row r="14" spans="1:17" x14ac:dyDescent="0.3">
      <c r="A14" t="s">
        <v>48</v>
      </c>
      <c r="Q14" t="s">
        <v>47</v>
      </c>
    </row>
    <row r="15" spans="1:17" x14ac:dyDescent="0.3">
      <c r="A15" t="s">
        <v>49</v>
      </c>
      <c r="Q15" t="s">
        <v>47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  <c r="E18" t="s">
        <v>54</v>
      </c>
      <c r="G18" t="s">
        <v>24</v>
      </c>
      <c r="L18" t="s">
        <v>55</v>
      </c>
      <c r="Q18" t="s">
        <v>56</v>
      </c>
    </row>
    <row r="19" spans="1:18" x14ac:dyDescent="0.3">
      <c r="A19" t="s">
        <v>57</v>
      </c>
      <c r="E19" t="s">
        <v>54</v>
      </c>
      <c r="L19" t="s">
        <v>55</v>
      </c>
      <c r="Q19" t="s">
        <v>56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0.5</v>
      </c>
      <c r="C24">
        <f t="shared" si="0"/>
        <v>5.5599999999999997E-2</v>
      </c>
      <c r="D24">
        <f t="shared" si="0"/>
        <v>0.1111</v>
      </c>
      <c r="E24">
        <f t="shared" si="0"/>
        <v>0.38890000000000002</v>
      </c>
      <c r="F24">
        <f t="shared" si="0"/>
        <v>5.5599999999999997E-2</v>
      </c>
      <c r="G24">
        <f t="shared" si="0"/>
        <v>0.33329999999999999</v>
      </c>
      <c r="H24">
        <f t="shared" si="0"/>
        <v>0.27779999999999999</v>
      </c>
      <c r="I24">
        <f t="shared" si="0"/>
        <v>5.5599999999999997E-2</v>
      </c>
      <c r="J24">
        <f t="shared" si="0"/>
        <v>0.1111</v>
      </c>
      <c r="K24">
        <f t="shared" si="0"/>
        <v>0.1111</v>
      </c>
      <c r="L24">
        <f t="shared" si="0"/>
        <v>0.38890000000000002</v>
      </c>
      <c r="M24">
        <f t="shared" si="0"/>
        <v>5.5599999999999997E-2</v>
      </c>
      <c r="N24">
        <f t="shared" si="0"/>
        <v>0.1111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54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21</v>
      </c>
    </row>
    <row r="5" spans="1:17" x14ac:dyDescent="0.3">
      <c r="A5" t="s">
        <v>26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38</v>
      </c>
    </row>
    <row r="9" spans="1:17" x14ac:dyDescent="0.3">
      <c r="A9" t="s">
        <v>40</v>
      </c>
    </row>
    <row r="10" spans="1:17" x14ac:dyDescent="0.3">
      <c r="A10" t="s">
        <v>41</v>
      </c>
    </row>
    <row r="11" spans="1:17" x14ac:dyDescent="0.3">
      <c r="A11" t="s">
        <v>43</v>
      </c>
    </row>
    <row r="12" spans="1:17" x14ac:dyDescent="0.3">
      <c r="A12" t="s">
        <v>44</v>
      </c>
    </row>
    <row r="13" spans="1:17" x14ac:dyDescent="0.3">
      <c r="A13" t="s">
        <v>46</v>
      </c>
    </row>
    <row r="14" spans="1:17" x14ac:dyDescent="0.3">
      <c r="A14" t="s">
        <v>48</v>
      </c>
    </row>
    <row r="15" spans="1:17" x14ac:dyDescent="0.3">
      <c r="A15" t="s">
        <v>49</v>
      </c>
    </row>
    <row r="16" spans="1:17" x14ac:dyDescent="0.3">
      <c r="A16" t="s">
        <v>50</v>
      </c>
    </row>
    <row r="17" spans="1:18" x14ac:dyDescent="0.3">
      <c r="A17" t="s">
        <v>52</v>
      </c>
    </row>
    <row r="18" spans="1:18" x14ac:dyDescent="0.3">
      <c r="A18" t="s">
        <v>53</v>
      </c>
    </row>
    <row r="19" spans="1:18" x14ac:dyDescent="0.3">
      <c r="A19" t="s">
        <v>57</v>
      </c>
    </row>
    <row r="20" spans="1:18" x14ac:dyDescent="0.3">
      <c r="A20" t="s">
        <v>58</v>
      </c>
    </row>
    <row r="21" spans="1:18" x14ac:dyDescent="0.3">
      <c r="A21" t="s">
        <v>59</v>
      </c>
    </row>
    <row r="24" spans="1:18" x14ac:dyDescent="0.3">
      <c r="A24" t="s">
        <v>60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61</v>
      </c>
      <c r="B27" t="s">
        <v>62</v>
      </c>
      <c r="C27" t="s">
        <v>2</v>
      </c>
      <c r="D27" t="s">
        <v>3</v>
      </c>
      <c r="E27" t="s">
        <v>4</v>
      </c>
      <c r="F27" t="s">
        <v>63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64</v>
      </c>
      <c r="N27" t="s">
        <v>13</v>
      </c>
      <c r="O27" t="s">
        <v>14</v>
      </c>
      <c r="P27" t="s">
        <v>15</v>
      </c>
      <c r="Q27" t="s">
        <v>16</v>
      </c>
      <c r="R27" t="s">
        <v>65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B3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2" t="str">
        <f>HYPERLINK("https://app.clickup.com/t/869ahmf7u", "[certification] Salesforce Certified Agentforce Specialist")</f>
        <v>[certification] Salesforce Certified Agentforce Specialist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3:18" x14ac:dyDescent="0.3">
      <c r="C33" t="str">
        <f>HYPERLINK("https://app.clickup.com/t/869ab1fx3", "[certification] AWS Data Engineer - Associate")</f>
        <v>[certification] AWS Data Engineer - Associate</v>
      </c>
      <c r="F33" t="str">
        <f>HYPERLINK("https://app.clickup.com/t/86931cq56", "[certification] Snowflake")</f>
        <v>[certification] Snowflake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3:18" x14ac:dyDescent="0.3">
      <c r="C34" t="str">
        <f>HYPERLINK("https://app.clickup.com/t/8694x2b1k", "[certification] Alteryx Designer Advanced")</f>
        <v>[certification] Alteryx Designer Advanced</v>
      </c>
      <c r="F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3:18" x14ac:dyDescent="0.3">
      <c r="C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3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3:18" x14ac:dyDescent="0.3">
      <c r="K37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3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3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3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3:18" x14ac:dyDescent="0.3">
      <c r="R41" t="str">
        <f>HYPERLINK("https://app.clickup.com/t/869474qb4", "[internal projects] Commit code to GitHub")</f>
        <v>[internal projects] Commit code to GitHub</v>
      </c>
    </row>
    <row r="42" spans="3:18" x14ac:dyDescent="0.3">
      <c r="R42" t="str">
        <f>HYPERLINK("https://app.clickup.com/t/869agp147", "[certification] Snowflake Sales Professional")</f>
        <v>[certification] Snowflake Sales Professional</v>
      </c>
    </row>
    <row r="43" spans="3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3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3:18" x14ac:dyDescent="0.3">
      <c r="R45" t="str">
        <f>HYPERLINK("https://app.clickup.com/t/869af7nme", "[certification] AWS Certified Solutions Architect - Associate")</f>
        <v>[certification] AWS Certified Solutions Architect - Associate</v>
      </c>
    </row>
    <row r="46" spans="3:18" x14ac:dyDescent="0.3">
      <c r="R46" t="str">
        <f>HYPERLINK("https://app.clickup.com/t/869ab9g7u", "[certification] AWS Data Engineer - Associate")</f>
        <v>[certification] AWS Data Engineer - Associate</v>
      </c>
    </row>
    <row r="47" spans="3:18" x14ac:dyDescent="0.3">
      <c r="R47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8" spans="3:18" x14ac:dyDescent="0.3">
      <c r="R48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9" spans="18:18" x14ac:dyDescent="0.3">
      <c r="R49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0" spans="18:18" x14ac:dyDescent="0.3">
      <c r="R50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1" spans="18:18" x14ac:dyDescent="0.3">
      <c r="R51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2" spans="18:18" x14ac:dyDescent="0.3">
      <c r="R52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3" spans="18:18" x14ac:dyDescent="0.3">
      <c r="R53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4" spans="18:18" x14ac:dyDescent="0.3">
      <c r="R54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Thursday 2026-01-01</vt:lpstr>
      <vt:lpstr>Friday 2026-01-02</vt:lpstr>
      <vt:lpstr>Saturday 2026-01-03</vt:lpstr>
      <vt:lpstr>Sunday 2026-01-04</vt:lpstr>
      <vt:lpstr>Monday 2026-01-05</vt:lpstr>
      <vt:lpstr>Tuesday 2026-01-06</vt:lpstr>
      <vt:lpstr>Wednesday 2026-01-07</vt:lpstr>
      <vt:lpstr>Thursday 2026-01-08</vt:lpstr>
      <vt:lpstr>Friday 2026-01-09</vt:lpstr>
      <vt:lpstr>Saturday 2026-01-10</vt:lpstr>
      <vt:lpstr>Sunday 2026-01-11</vt:lpstr>
      <vt:lpstr>Monday 2026-01-12</vt:lpstr>
      <vt:lpstr>Tuesday 2026-01-13</vt:lpstr>
      <vt:lpstr>Wednesday 2026-01-14</vt:lpstr>
      <vt:lpstr>Thursday 2026-01-15</vt:lpstr>
      <vt:lpstr>Friday 2026-01-16</vt:lpstr>
      <vt:lpstr>Saturday 2026-01-17</vt:lpstr>
      <vt:lpstr>Sunday 2026-01-18</vt:lpstr>
      <vt:lpstr>Monday 2026-01-19</vt:lpstr>
      <vt:lpstr>Tuesday 2026-01-20</vt:lpstr>
      <vt:lpstr>Wednesday 2026-01-21</vt:lpstr>
      <vt:lpstr>Thursday 2026-01-22</vt:lpstr>
      <vt:lpstr>Friday 2026-01-23</vt:lpstr>
      <vt:lpstr>Saturday 2026-01-24</vt:lpstr>
      <vt:lpstr>Sunday 2026-01-25</vt:lpstr>
      <vt:lpstr>Monday 2026-01-26</vt:lpstr>
      <vt:lpstr>Tuesday 2026-01-27</vt:lpstr>
      <vt:lpstr>Wednesday 2026-01-28</vt:lpstr>
      <vt:lpstr>Thursday 2026-01-29</vt:lpstr>
      <vt:lpstr>Friday 2026-01-30</vt:lpstr>
      <vt:lpstr>Saturday 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Thando Calana - Slipstream Data – JNR Data Engineer</cp:lastModifiedBy>
  <dcterms:created xsi:type="dcterms:W3CDTF">2025-12-05T12:47:01Z</dcterms:created>
  <dcterms:modified xsi:type="dcterms:W3CDTF">2025-12-05T13:04:32Z</dcterms:modified>
</cp:coreProperties>
</file>