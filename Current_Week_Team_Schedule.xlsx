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a7580ce6893b426/Documents/Slipstream/Resrouce_scheduling/resource_scheduling/"/>
    </mc:Choice>
  </mc:AlternateContent>
  <xr:revisionPtr revIDLastSave="1" documentId="11_D826E87BD916F1229701561AC09BD33C1E8687AB" xr6:coauthVersionLast="47" xr6:coauthVersionMax="47" xr10:uidLastSave="{1CFC62DA-73FE-4293-8EF1-88B7D87E65FC}"/>
  <bookViews>
    <workbookView xWindow="-120" yWindow="-120" windowWidth="29040" windowHeight="15840" xr2:uid="{00000000-000D-0000-FFFF-FFFF00000000}"/>
  </bookViews>
  <sheets>
    <sheet name="Monday 2025-11-03" sheetId="1" r:id="rId1"/>
    <sheet name="Tuesday 2025-11-04" sheetId="2" r:id="rId2"/>
    <sheet name="Wednesday 2025-11-05" sheetId="3" r:id="rId3"/>
    <sheet name="Thursday 2025-11-06" sheetId="4" r:id="rId4"/>
    <sheet name="Friday 2025-11-07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9" i="5" l="1"/>
  <c r="R58" i="5"/>
  <c r="R57" i="5"/>
  <c r="R56" i="5"/>
  <c r="R55" i="5"/>
  <c r="R54" i="5"/>
  <c r="R53" i="5"/>
  <c r="R52" i="5"/>
  <c r="R51" i="5"/>
  <c r="R50" i="5"/>
  <c r="R49" i="5"/>
  <c r="K49" i="5"/>
  <c r="R48" i="5"/>
  <c r="K48" i="5"/>
  <c r="R47" i="5"/>
  <c r="K47" i="5"/>
  <c r="R46" i="5"/>
  <c r="K46" i="5"/>
  <c r="R45" i="5"/>
  <c r="K45" i="5"/>
  <c r="R44" i="5"/>
  <c r="K44" i="5"/>
  <c r="R43" i="5"/>
  <c r="K43" i="5"/>
  <c r="R42" i="5"/>
  <c r="K42" i="5"/>
  <c r="B42" i="5"/>
  <c r="R41" i="5"/>
  <c r="K41" i="5"/>
  <c r="B41" i="5"/>
  <c r="R40" i="5"/>
  <c r="O40" i="5"/>
  <c r="K40" i="5"/>
  <c r="D40" i="5"/>
  <c r="B40" i="5"/>
  <c r="R39" i="5"/>
  <c r="O39" i="5"/>
  <c r="K39" i="5"/>
  <c r="J39" i="5"/>
  <c r="D39" i="5"/>
  <c r="B39" i="5"/>
  <c r="R38" i="5"/>
  <c r="O38" i="5"/>
  <c r="K38" i="5"/>
  <c r="J38" i="5"/>
  <c r="D38" i="5"/>
  <c r="C38" i="5"/>
  <c r="B38" i="5"/>
  <c r="R37" i="5"/>
  <c r="O37" i="5"/>
  <c r="K37" i="5"/>
  <c r="J37" i="5"/>
  <c r="D37" i="5"/>
  <c r="C37" i="5"/>
  <c r="B37" i="5"/>
  <c r="R36" i="5"/>
  <c r="K36" i="5"/>
  <c r="J36" i="5"/>
  <c r="D36" i="5"/>
  <c r="C36" i="5"/>
  <c r="B36" i="5"/>
  <c r="R35" i="5"/>
  <c r="O35" i="5"/>
  <c r="L35" i="5"/>
  <c r="K35" i="5"/>
  <c r="J35" i="5"/>
  <c r="F35" i="5"/>
  <c r="D35" i="5"/>
  <c r="C35" i="5"/>
  <c r="B35" i="5"/>
  <c r="R34" i="5"/>
  <c r="O34" i="5"/>
  <c r="L34" i="5"/>
  <c r="K34" i="5"/>
  <c r="J34" i="5"/>
  <c r="F34" i="5"/>
  <c r="D34" i="5"/>
  <c r="C34" i="5"/>
  <c r="B34" i="5"/>
  <c r="R33" i="5"/>
  <c r="O33" i="5"/>
  <c r="L33" i="5"/>
  <c r="K33" i="5"/>
  <c r="J33" i="5"/>
  <c r="F33" i="5"/>
  <c r="D33" i="5"/>
  <c r="C33" i="5"/>
  <c r="B33" i="5"/>
  <c r="R32" i="5"/>
  <c r="O32" i="5"/>
  <c r="L32" i="5"/>
  <c r="K32" i="5"/>
  <c r="J32" i="5"/>
  <c r="G32" i="5"/>
  <c r="F32" i="5"/>
  <c r="D32" i="5"/>
  <c r="C32" i="5"/>
  <c r="B32" i="5"/>
  <c r="R31" i="5"/>
  <c r="O31" i="5"/>
  <c r="L31" i="5"/>
  <c r="K31" i="5"/>
  <c r="J31" i="5"/>
  <c r="G31" i="5"/>
  <c r="F31" i="5"/>
  <c r="D31" i="5"/>
  <c r="C31" i="5"/>
  <c r="B31" i="5"/>
  <c r="R30" i="5"/>
  <c r="O30" i="5"/>
  <c r="L30" i="5"/>
  <c r="K30" i="5"/>
  <c r="J30" i="5"/>
  <c r="H30" i="5"/>
  <c r="G30" i="5"/>
  <c r="F30" i="5"/>
  <c r="D30" i="5"/>
  <c r="C30" i="5"/>
  <c r="B30" i="5"/>
  <c r="R29" i="5"/>
  <c r="P29" i="5"/>
  <c r="O29" i="5"/>
  <c r="L29" i="5"/>
  <c r="K29" i="5"/>
  <c r="J29" i="5"/>
  <c r="I29" i="5"/>
  <c r="H29" i="5"/>
  <c r="G29" i="5"/>
  <c r="F29" i="5"/>
  <c r="D29" i="5"/>
  <c r="C29" i="5"/>
  <c r="B29" i="5"/>
  <c r="R28" i="5"/>
  <c r="P28" i="5"/>
  <c r="O28" i="5"/>
  <c r="L28" i="5"/>
  <c r="K28" i="5"/>
  <c r="J28" i="5"/>
  <c r="I28" i="5"/>
  <c r="H28" i="5"/>
  <c r="G28" i="5"/>
  <c r="F28" i="5"/>
  <c r="D28" i="5"/>
  <c r="C28" i="5"/>
  <c r="B28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R59" i="4"/>
  <c r="R58" i="4"/>
  <c r="R57" i="4"/>
  <c r="R56" i="4"/>
  <c r="R55" i="4"/>
  <c r="R54" i="4"/>
  <c r="R53" i="4"/>
  <c r="R52" i="4"/>
  <c r="R51" i="4"/>
  <c r="R50" i="4"/>
  <c r="R49" i="4"/>
  <c r="K49" i="4"/>
  <c r="R48" i="4"/>
  <c r="K48" i="4"/>
  <c r="R47" i="4"/>
  <c r="K47" i="4"/>
  <c r="R46" i="4"/>
  <c r="K46" i="4"/>
  <c r="R45" i="4"/>
  <c r="K45" i="4"/>
  <c r="R44" i="4"/>
  <c r="K44" i="4"/>
  <c r="R43" i="4"/>
  <c r="K43" i="4"/>
  <c r="R42" i="4"/>
  <c r="K42" i="4"/>
  <c r="B42" i="4"/>
  <c r="R41" i="4"/>
  <c r="K41" i="4"/>
  <c r="B41" i="4"/>
  <c r="R40" i="4"/>
  <c r="O40" i="4"/>
  <c r="K40" i="4"/>
  <c r="D40" i="4"/>
  <c r="B40" i="4"/>
  <c r="R39" i="4"/>
  <c r="O39" i="4"/>
  <c r="K39" i="4"/>
  <c r="J39" i="4"/>
  <c r="D39" i="4"/>
  <c r="B39" i="4"/>
  <c r="R38" i="4"/>
  <c r="O38" i="4"/>
  <c r="K38" i="4"/>
  <c r="J38" i="4"/>
  <c r="D38" i="4"/>
  <c r="C38" i="4"/>
  <c r="B38" i="4"/>
  <c r="R37" i="4"/>
  <c r="O37" i="4"/>
  <c r="K37" i="4"/>
  <c r="J37" i="4"/>
  <c r="D37" i="4"/>
  <c r="C37" i="4"/>
  <c r="B37" i="4"/>
  <c r="R36" i="4"/>
  <c r="K36" i="4"/>
  <c r="J36" i="4"/>
  <c r="D36" i="4"/>
  <c r="C36" i="4"/>
  <c r="B36" i="4"/>
  <c r="R35" i="4"/>
  <c r="O35" i="4"/>
  <c r="L35" i="4"/>
  <c r="K35" i="4"/>
  <c r="J35" i="4"/>
  <c r="F35" i="4"/>
  <c r="D35" i="4"/>
  <c r="C35" i="4"/>
  <c r="B35" i="4"/>
  <c r="R34" i="4"/>
  <c r="O34" i="4"/>
  <c r="L34" i="4"/>
  <c r="K34" i="4"/>
  <c r="J34" i="4"/>
  <c r="F34" i="4"/>
  <c r="D34" i="4"/>
  <c r="C34" i="4"/>
  <c r="B34" i="4"/>
  <c r="R33" i="4"/>
  <c r="O33" i="4"/>
  <c r="L33" i="4"/>
  <c r="K33" i="4"/>
  <c r="J33" i="4"/>
  <c r="F33" i="4"/>
  <c r="D33" i="4"/>
  <c r="C33" i="4"/>
  <c r="B33" i="4"/>
  <c r="R32" i="4"/>
  <c r="O32" i="4"/>
  <c r="L32" i="4"/>
  <c r="K32" i="4"/>
  <c r="J32" i="4"/>
  <c r="G32" i="4"/>
  <c r="F32" i="4"/>
  <c r="D32" i="4"/>
  <c r="C32" i="4"/>
  <c r="B32" i="4"/>
  <c r="R31" i="4"/>
  <c r="O31" i="4"/>
  <c r="L31" i="4"/>
  <c r="K31" i="4"/>
  <c r="J31" i="4"/>
  <c r="G31" i="4"/>
  <c r="F31" i="4"/>
  <c r="D31" i="4"/>
  <c r="C31" i="4"/>
  <c r="B31" i="4"/>
  <c r="R30" i="4"/>
  <c r="O30" i="4"/>
  <c r="L30" i="4"/>
  <c r="K30" i="4"/>
  <c r="J30" i="4"/>
  <c r="H30" i="4"/>
  <c r="G30" i="4"/>
  <c r="F30" i="4"/>
  <c r="D30" i="4"/>
  <c r="C30" i="4"/>
  <c r="B30" i="4"/>
  <c r="R29" i="4"/>
  <c r="P29" i="4"/>
  <c r="O29" i="4"/>
  <c r="L29" i="4"/>
  <c r="K29" i="4"/>
  <c r="J29" i="4"/>
  <c r="I29" i="4"/>
  <c r="H29" i="4"/>
  <c r="G29" i="4"/>
  <c r="F29" i="4"/>
  <c r="D29" i="4"/>
  <c r="C29" i="4"/>
  <c r="B29" i="4"/>
  <c r="R28" i="4"/>
  <c r="P28" i="4"/>
  <c r="O28" i="4"/>
  <c r="L28" i="4"/>
  <c r="K28" i="4"/>
  <c r="J28" i="4"/>
  <c r="I28" i="4"/>
  <c r="H28" i="4"/>
  <c r="G28" i="4"/>
  <c r="F28" i="4"/>
  <c r="D28" i="4"/>
  <c r="C28" i="4"/>
  <c r="B28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R59" i="3"/>
  <c r="R58" i="3"/>
  <c r="R57" i="3"/>
  <c r="R56" i="3"/>
  <c r="R55" i="3"/>
  <c r="R54" i="3"/>
  <c r="R53" i="3"/>
  <c r="R52" i="3"/>
  <c r="R51" i="3"/>
  <c r="R50" i="3"/>
  <c r="R49" i="3"/>
  <c r="K49" i="3"/>
  <c r="R48" i="3"/>
  <c r="K48" i="3"/>
  <c r="R47" i="3"/>
  <c r="K47" i="3"/>
  <c r="R46" i="3"/>
  <c r="K46" i="3"/>
  <c r="R45" i="3"/>
  <c r="K45" i="3"/>
  <c r="R44" i="3"/>
  <c r="K44" i="3"/>
  <c r="R43" i="3"/>
  <c r="K43" i="3"/>
  <c r="R42" i="3"/>
  <c r="K42" i="3"/>
  <c r="B42" i="3"/>
  <c r="R41" i="3"/>
  <c r="K41" i="3"/>
  <c r="B41" i="3"/>
  <c r="R40" i="3"/>
  <c r="O40" i="3"/>
  <c r="K40" i="3"/>
  <c r="D40" i="3"/>
  <c r="B40" i="3"/>
  <c r="R39" i="3"/>
  <c r="O39" i="3"/>
  <c r="K39" i="3"/>
  <c r="J39" i="3"/>
  <c r="D39" i="3"/>
  <c r="B39" i="3"/>
  <c r="R38" i="3"/>
  <c r="O38" i="3"/>
  <c r="K38" i="3"/>
  <c r="J38" i="3"/>
  <c r="D38" i="3"/>
  <c r="C38" i="3"/>
  <c r="B38" i="3"/>
  <c r="R37" i="3"/>
  <c r="O37" i="3"/>
  <c r="K37" i="3"/>
  <c r="J37" i="3"/>
  <c r="D37" i="3"/>
  <c r="C37" i="3"/>
  <c r="B37" i="3"/>
  <c r="R36" i="3"/>
  <c r="K36" i="3"/>
  <c r="J36" i="3"/>
  <c r="D36" i="3"/>
  <c r="C36" i="3"/>
  <c r="B36" i="3"/>
  <c r="R35" i="3"/>
  <c r="O35" i="3"/>
  <c r="L35" i="3"/>
  <c r="K35" i="3"/>
  <c r="J35" i="3"/>
  <c r="F35" i="3"/>
  <c r="D35" i="3"/>
  <c r="C35" i="3"/>
  <c r="B35" i="3"/>
  <c r="R34" i="3"/>
  <c r="O34" i="3"/>
  <c r="L34" i="3"/>
  <c r="K34" i="3"/>
  <c r="J34" i="3"/>
  <c r="F34" i="3"/>
  <c r="D34" i="3"/>
  <c r="C34" i="3"/>
  <c r="B34" i="3"/>
  <c r="R33" i="3"/>
  <c r="O33" i="3"/>
  <c r="L33" i="3"/>
  <c r="K33" i="3"/>
  <c r="J33" i="3"/>
  <c r="F33" i="3"/>
  <c r="D33" i="3"/>
  <c r="C33" i="3"/>
  <c r="B33" i="3"/>
  <c r="R32" i="3"/>
  <c r="O32" i="3"/>
  <c r="L32" i="3"/>
  <c r="K32" i="3"/>
  <c r="J32" i="3"/>
  <c r="G32" i="3"/>
  <c r="F32" i="3"/>
  <c r="D32" i="3"/>
  <c r="C32" i="3"/>
  <c r="B32" i="3"/>
  <c r="R31" i="3"/>
  <c r="O31" i="3"/>
  <c r="L31" i="3"/>
  <c r="K31" i="3"/>
  <c r="J31" i="3"/>
  <c r="G31" i="3"/>
  <c r="F31" i="3"/>
  <c r="D31" i="3"/>
  <c r="C31" i="3"/>
  <c r="B31" i="3"/>
  <c r="R30" i="3"/>
  <c r="O30" i="3"/>
  <c r="L30" i="3"/>
  <c r="K30" i="3"/>
  <c r="J30" i="3"/>
  <c r="H30" i="3"/>
  <c r="G30" i="3"/>
  <c r="F30" i="3"/>
  <c r="D30" i="3"/>
  <c r="C30" i="3"/>
  <c r="B30" i="3"/>
  <c r="R29" i="3"/>
  <c r="P29" i="3"/>
  <c r="O29" i="3"/>
  <c r="L29" i="3"/>
  <c r="K29" i="3"/>
  <c r="J29" i="3"/>
  <c r="I29" i="3"/>
  <c r="H29" i="3"/>
  <c r="G29" i="3"/>
  <c r="F29" i="3"/>
  <c r="D29" i="3"/>
  <c r="C29" i="3"/>
  <c r="B29" i="3"/>
  <c r="R28" i="3"/>
  <c r="P28" i="3"/>
  <c r="O28" i="3"/>
  <c r="L28" i="3"/>
  <c r="K28" i="3"/>
  <c r="J28" i="3"/>
  <c r="I28" i="3"/>
  <c r="H28" i="3"/>
  <c r="G28" i="3"/>
  <c r="F28" i="3"/>
  <c r="D28" i="3"/>
  <c r="C28" i="3"/>
  <c r="B28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R59" i="2"/>
  <c r="R58" i="2"/>
  <c r="R57" i="2"/>
  <c r="R56" i="2"/>
  <c r="R55" i="2"/>
  <c r="R54" i="2"/>
  <c r="R53" i="2"/>
  <c r="R52" i="2"/>
  <c r="R51" i="2"/>
  <c r="R50" i="2"/>
  <c r="R49" i="2"/>
  <c r="K49" i="2"/>
  <c r="R48" i="2"/>
  <c r="K48" i="2"/>
  <c r="R47" i="2"/>
  <c r="K47" i="2"/>
  <c r="R46" i="2"/>
  <c r="K46" i="2"/>
  <c r="R45" i="2"/>
  <c r="K45" i="2"/>
  <c r="R44" i="2"/>
  <c r="K44" i="2"/>
  <c r="R43" i="2"/>
  <c r="K43" i="2"/>
  <c r="R42" i="2"/>
  <c r="K42" i="2"/>
  <c r="B42" i="2"/>
  <c r="R41" i="2"/>
  <c r="K41" i="2"/>
  <c r="B41" i="2"/>
  <c r="R40" i="2"/>
  <c r="O40" i="2"/>
  <c r="K40" i="2"/>
  <c r="D40" i="2"/>
  <c r="B40" i="2"/>
  <c r="R39" i="2"/>
  <c r="O39" i="2"/>
  <c r="K39" i="2"/>
  <c r="J39" i="2"/>
  <c r="D39" i="2"/>
  <c r="B39" i="2"/>
  <c r="R38" i="2"/>
  <c r="O38" i="2"/>
  <c r="K38" i="2"/>
  <c r="J38" i="2"/>
  <c r="D38" i="2"/>
  <c r="C38" i="2"/>
  <c r="B38" i="2"/>
  <c r="R37" i="2"/>
  <c r="O37" i="2"/>
  <c r="K37" i="2"/>
  <c r="J37" i="2"/>
  <c r="D37" i="2"/>
  <c r="C37" i="2"/>
  <c r="B37" i="2"/>
  <c r="R36" i="2"/>
  <c r="K36" i="2"/>
  <c r="J36" i="2"/>
  <c r="D36" i="2"/>
  <c r="C36" i="2"/>
  <c r="B36" i="2"/>
  <c r="R35" i="2"/>
  <c r="O35" i="2"/>
  <c r="L35" i="2"/>
  <c r="K35" i="2"/>
  <c r="J35" i="2"/>
  <c r="F35" i="2"/>
  <c r="D35" i="2"/>
  <c r="C35" i="2"/>
  <c r="B35" i="2"/>
  <c r="R34" i="2"/>
  <c r="O34" i="2"/>
  <c r="L34" i="2"/>
  <c r="K34" i="2"/>
  <c r="J34" i="2"/>
  <c r="F34" i="2"/>
  <c r="D34" i="2"/>
  <c r="C34" i="2"/>
  <c r="B34" i="2"/>
  <c r="R33" i="2"/>
  <c r="O33" i="2"/>
  <c r="L33" i="2"/>
  <c r="K33" i="2"/>
  <c r="J33" i="2"/>
  <c r="F33" i="2"/>
  <c r="D33" i="2"/>
  <c r="C33" i="2"/>
  <c r="B33" i="2"/>
  <c r="R32" i="2"/>
  <c r="O32" i="2"/>
  <c r="L32" i="2"/>
  <c r="K32" i="2"/>
  <c r="J32" i="2"/>
  <c r="G32" i="2"/>
  <c r="F32" i="2"/>
  <c r="D32" i="2"/>
  <c r="C32" i="2"/>
  <c r="B32" i="2"/>
  <c r="R31" i="2"/>
  <c r="O31" i="2"/>
  <c r="L31" i="2"/>
  <c r="K31" i="2"/>
  <c r="J31" i="2"/>
  <c r="G31" i="2"/>
  <c r="F31" i="2"/>
  <c r="D31" i="2"/>
  <c r="C31" i="2"/>
  <c r="B31" i="2"/>
  <c r="R30" i="2"/>
  <c r="O30" i="2"/>
  <c r="L30" i="2"/>
  <c r="K30" i="2"/>
  <c r="J30" i="2"/>
  <c r="H30" i="2"/>
  <c r="G30" i="2"/>
  <c r="F30" i="2"/>
  <c r="D30" i="2"/>
  <c r="C30" i="2"/>
  <c r="B30" i="2"/>
  <c r="R29" i="2"/>
  <c r="P29" i="2"/>
  <c r="O29" i="2"/>
  <c r="L29" i="2"/>
  <c r="K29" i="2"/>
  <c r="J29" i="2"/>
  <c r="I29" i="2"/>
  <c r="H29" i="2"/>
  <c r="G29" i="2"/>
  <c r="F29" i="2"/>
  <c r="D29" i="2"/>
  <c r="C29" i="2"/>
  <c r="B29" i="2"/>
  <c r="R28" i="2"/>
  <c r="P28" i="2"/>
  <c r="O28" i="2"/>
  <c r="L28" i="2"/>
  <c r="K28" i="2"/>
  <c r="J28" i="2"/>
  <c r="I28" i="2"/>
  <c r="H28" i="2"/>
  <c r="G28" i="2"/>
  <c r="F28" i="2"/>
  <c r="D28" i="2"/>
  <c r="C28" i="2"/>
  <c r="B28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R59" i="1"/>
  <c r="R58" i="1"/>
  <c r="R57" i="1"/>
  <c r="R56" i="1"/>
  <c r="R55" i="1"/>
  <c r="R54" i="1"/>
  <c r="R53" i="1"/>
  <c r="R52" i="1"/>
  <c r="R51" i="1"/>
  <c r="R50" i="1"/>
  <c r="R49" i="1"/>
  <c r="K49" i="1"/>
  <c r="R48" i="1"/>
  <c r="K48" i="1"/>
  <c r="R47" i="1"/>
  <c r="K47" i="1"/>
  <c r="R46" i="1"/>
  <c r="K46" i="1"/>
  <c r="R45" i="1"/>
  <c r="K45" i="1"/>
  <c r="R44" i="1"/>
  <c r="K44" i="1"/>
  <c r="R43" i="1"/>
  <c r="K43" i="1"/>
  <c r="R42" i="1"/>
  <c r="K42" i="1"/>
  <c r="B42" i="1"/>
  <c r="R41" i="1"/>
  <c r="K41" i="1"/>
  <c r="B41" i="1"/>
  <c r="R40" i="1"/>
  <c r="O40" i="1"/>
  <c r="K40" i="1"/>
  <c r="D40" i="1"/>
  <c r="B40" i="1"/>
  <c r="R39" i="1"/>
  <c r="O39" i="1"/>
  <c r="K39" i="1"/>
  <c r="J39" i="1"/>
  <c r="D39" i="1"/>
  <c r="B39" i="1"/>
  <c r="R38" i="1"/>
  <c r="O38" i="1"/>
  <c r="K38" i="1"/>
  <c r="J38" i="1"/>
  <c r="D38" i="1"/>
  <c r="C38" i="1"/>
  <c r="B38" i="1"/>
  <c r="R37" i="1"/>
  <c r="O37" i="1"/>
  <c r="K37" i="1"/>
  <c r="J37" i="1"/>
  <c r="D37" i="1"/>
  <c r="C37" i="1"/>
  <c r="B37" i="1"/>
  <c r="R36" i="1"/>
  <c r="K36" i="1"/>
  <c r="J36" i="1"/>
  <c r="D36" i="1"/>
  <c r="C36" i="1"/>
  <c r="B36" i="1"/>
  <c r="R35" i="1"/>
  <c r="O35" i="1"/>
  <c r="L35" i="1"/>
  <c r="K35" i="1"/>
  <c r="J35" i="1"/>
  <c r="F35" i="1"/>
  <c r="D35" i="1"/>
  <c r="C35" i="1"/>
  <c r="B35" i="1"/>
  <c r="R34" i="1"/>
  <c r="O34" i="1"/>
  <c r="L34" i="1"/>
  <c r="K34" i="1"/>
  <c r="J34" i="1"/>
  <c r="F34" i="1"/>
  <c r="D34" i="1"/>
  <c r="C34" i="1"/>
  <c r="B34" i="1"/>
  <c r="R33" i="1"/>
  <c r="O33" i="1"/>
  <c r="L33" i="1"/>
  <c r="K33" i="1"/>
  <c r="J33" i="1"/>
  <c r="F33" i="1"/>
  <c r="D33" i="1"/>
  <c r="C33" i="1"/>
  <c r="B33" i="1"/>
  <c r="R32" i="1"/>
  <c r="O32" i="1"/>
  <c r="L32" i="1"/>
  <c r="K32" i="1"/>
  <c r="J32" i="1"/>
  <c r="G32" i="1"/>
  <c r="F32" i="1"/>
  <c r="D32" i="1"/>
  <c r="C32" i="1"/>
  <c r="B32" i="1"/>
  <c r="R31" i="1"/>
  <c r="O31" i="1"/>
  <c r="L31" i="1"/>
  <c r="K31" i="1"/>
  <c r="J31" i="1"/>
  <c r="G31" i="1"/>
  <c r="F31" i="1"/>
  <c r="D31" i="1"/>
  <c r="C31" i="1"/>
  <c r="B31" i="1"/>
  <c r="R30" i="1"/>
  <c r="O30" i="1"/>
  <c r="L30" i="1"/>
  <c r="K30" i="1"/>
  <c r="J30" i="1"/>
  <c r="H30" i="1"/>
  <c r="G30" i="1"/>
  <c r="F30" i="1"/>
  <c r="D30" i="1"/>
  <c r="C30" i="1"/>
  <c r="B30" i="1"/>
  <c r="R29" i="1"/>
  <c r="P29" i="1"/>
  <c r="O29" i="1"/>
  <c r="L29" i="1"/>
  <c r="K29" i="1"/>
  <c r="J29" i="1"/>
  <c r="I29" i="1"/>
  <c r="H29" i="1"/>
  <c r="G29" i="1"/>
  <c r="F29" i="1"/>
  <c r="D29" i="1"/>
  <c r="C29" i="1"/>
  <c r="B29" i="1"/>
  <c r="R28" i="1"/>
  <c r="P28" i="1"/>
  <c r="O28" i="1"/>
  <c r="L28" i="1"/>
  <c r="K28" i="1"/>
  <c r="J28" i="1"/>
  <c r="I28" i="1"/>
  <c r="H28" i="1"/>
  <c r="G28" i="1"/>
  <c r="F28" i="1"/>
  <c r="D28" i="1"/>
  <c r="C28" i="1"/>
  <c r="B28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<sst xmlns="http://schemas.openxmlformats.org/spreadsheetml/2006/main" count="904" uniqueCount="186">
  <si>
    <t>Time</t>
  </si>
  <si>
    <t>Andrew</t>
  </si>
  <si>
    <t>Azabenathi Pupuma</t>
  </si>
  <si>
    <t>Ben Brooker</t>
  </si>
  <si>
    <t>Flora Kundaeli</t>
  </si>
  <si>
    <t>Mark</t>
  </si>
  <si>
    <t>Michael Malia</t>
  </si>
  <si>
    <t>Muhammad Chothia</t>
  </si>
  <si>
    <t>Ntsako Mavuyangwa</t>
  </si>
  <si>
    <t>Palesa Maboeei</t>
  </si>
  <si>
    <t>Riyadh Leonard</t>
  </si>
  <si>
    <t>Robin April</t>
  </si>
  <si>
    <t>Ruan Vandermerwe</t>
  </si>
  <si>
    <t>Sandisiwe Manquma</t>
  </si>
  <si>
    <t>Suzanne Edlmann</t>
  </si>
  <si>
    <t>Thando Calana</t>
  </si>
  <si>
    <t>Thembani Faleni</t>
  </si>
  <si>
    <t>08:00</t>
  </si>
  <si>
    <t>Check emails and update timesheet</t>
  </si>
  <si>
    <t>Daily Admin, Prep Tasks and Communications</t>
  </si>
  <si>
    <t>No subject</t>
  </si>
  <si>
    <t>08:30</t>
  </si>
  <si>
    <t>Daily Stand Up, Reminder: Update and Submit Timesheets</t>
  </si>
  <si>
    <t>Daily Stand Up</t>
  </si>
  <si>
    <t>09:00</t>
  </si>
  <si>
    <t>Weekly sales meeting</t>
  </si>
  <si>
    <t>Wonga view : ApplicationOrigin</t>
  </si>
  <si>
    <t>One-One-Prep</t>
  </si>
  <si>
    <t>09:30</t>
  </si>
  <si>
    <t>Ongoing: Daily operational tasks DSY</t>
  </si>
  <si>
    <t>10:00</t>
  </si>
  <si>
    <t>Shoprite Analytics|| Cloud BI Daily Stand Up, Weekly sales meeting</t>
  </si>
  <si>
    <t>Shoprite Analytics|| Cloud BI Daily Stand Up</t>
  </si>
  <si>
    <t>Cura Testing, Fatca and Cura FRS</t>
  </si>
  <si>
    <t>Allocated Shoprite SLA - Alteryx , Canceled: Shoprite Analytics|| Cloud BI Daily Stand Up</t>
  </si>
  <si>
    <t>10:30</t>
  </si>
  <si>
    <t>Canceled: DSY DW - Daily standup</t>
  </si>
  <si>
    <t>DWH, Canceled: DSY DW - Daily standup</t>
  </si>
  <si>
    <t>[SLA - Shoprite - Tableau] Shoprite - Tableau - SLA</t>
  </si>
  <si>
    <t>DWH</t>
  </si>
  <si>
    <t xml:space="preserve">Allocated Shoprite SLA - Alteryx </t>
  </si>
  <si>
    <t>11:00</t>
  </si>
  <si>
    <t xml:space="preserve">Canceled: Shoprite SLA Internal Review </t>
  </si>
  <si>
    <t>Taquanta: Projects Internal Standup</t>
  </si>
  <si>
    <t>Canceled: Shoprite SLA Internal Review , Taquanta: Projects Internal Standup</t>
  </si>
  <si>
    <t>Snowflake PM Synch</t>
  </si>
  <si>
    <t xml:space="preserve">Snowflake PM Synch, [SLA - Shoprite - Tableau] Shoprite - Tableau - SLA, Canceled: Shoprite SLA Internal Review </t>
  </si>
  <si>
    <t xml:space="preserve">Allocated Shoprite SLA - Alteryx , Canceled: Shoprite SLA Internal Review </t>
  </si>
  <si>
    <t>11:30</t>
  </si>
  <si>
    <t xml:space="preserve">DSY DW - Daily Standup (moved for today), Canceled: Shoprite SLA Internal Review </t>
  </si>
  <si>
    <t>DSY DW - Daily Standup (moved for today)</t>
  </si>
  <si>
    <t>IP: SaaS - Asset Management progress update</t>
  </si>
  <si>
    <t xml:space="preserve">[SLA - Shoprite - Tableau] Shoprite - Tableau - SLA, Canceled: Shoprite SLA Internal Review </t>
  </si>
  <si>
    <t>12:00</t>
  </si>
  <si>
    <t>Aza &lt;&gt; Nate - 1:1</t>
  </si>
  <si>
    <t xml:space="preserve">Daily Standup (if in Office 3B07) </t>
  </si>
  <si>
    <t>Coffee chat, Internal Study time</t>
  </si>
  <si>
    <t>Masjid</t>
  </si>
  <si>
    <t>meeting</t>
  </si>
  <si>
    <t>12:30</t>
  </si>
  <si>
    <t>Discuss on CBR (online), Flora &lt;&gt; Nate - 1:1</t>
  </si>
  <si>
    <t>Internal Study time</t>
  </si>
  <si>
    <t>Lunch Break</t>
  </si>
  <si>
    <t xml:space="preserve">Shoprite Plan Update </t>
  </si>
  <si>
    <t>13:00</t>
  </si>
  <si>
    <t>Discovery: DWH Support Hours Final Review with Team</t>
  </si>
  <si>
    <t>Internal i-Talk Tableau demo prep</t>
  </si>
  <si>
    <t>Discovery: DWH Support Hours Final Review with Team, Discovery Plan Update + emails</t>
  </si>
  <si>
    <t>13:30</t>
  </si>
  <si>
    <t>PM Forum</t>
  </si>
  <si>
    <t>PM Forum, Mark &lt;&gt; Nate - 1:1</t>
  </si>
  <si>
    <t>Internal Projects - SLA Reporting Project, Tableau Server to Cloud Migration Work and other</t>
  </si>
  <si>
    <t>14:00</t>
  </si>
  <si>
    <t>Michael &lt;&gt; Nate - 1:1</t>
  </si>
  <si>
    <t>PM Forum, Tech team retrospective</t>
  </si>
  <si>
    <t>Slipstream - IPD - Internal Projects  ( Slipstream Data ) (Harvest Timesheets and Reports, ClickUp Tasks and Reports, Billing, Training, Emails, Documentation, Reports)</t>
  </si>
  <si>
    <t>14:30</t>
  </si>
  <si>
    <t>FW: FATCA/CRS CDC 3034</t>
  </si>
  <si>
    <t>Tech team retrospective</t>
  </si>
  <si>
    <t xml:space="preserve">Slipstream - IPD - Internal Projects  ( Slipstream Data ) (Harvest Timesheets and Reports, ClickUp Tasks and Reports, Billing, Training, Emails, Documentation, Reports), Wonga Plan Update </t>
  </si>
  <si>
    <t>15:00</t>
  </si>
  <si>
    <t>Wonga - DHW Project Budget update (If required), Snowflake Training Series</t>
  </si>
  <si>
    <t>Snowflake Training Series</t>
  </si>
  <si>
    <t>Snowflake Training Series, Tech team retrospective, Canceled: Tech team huddle</t>
  </si>
  <si>
    <t xml:space="preserve"> Snowflake Training Series</t>
  </si>
  <si>
    <t>Alteryx Issue - Python Tool, Snowflake Training Series</t>
  </si>
  <si>
    <t>Wonga - DHW Project Budget update (If required), Slipstream - IPD - Internal Projects  ( Slipstream Data ) (Harvest Timesheets and Reports, ClickUp Tasks and Reports, Billing, Training, Emails, Documentation, Reports)</t>
  </si>
  <si>
    <t>15:30</t>
  </si>
  <si>
    <t>Snowflake Training Series, Canceled: Tech team huddle</t>
  </si>
  <si>
    <t>16:00</t>
  </si>
  <si>
    <t>Snowflake Training Series, DSY DW - Daily standup</t>
  </si>
  <si>
    <t>Snowflake Training Series, Following: DSY DW - Daily standup</t>
  </si>
  <si>
    <t>DSY DW - Daily standup</t>
  </si>
  <si>
    <t>16:30</t>
  </si>
  <si>
    <t>Admin Work To wrap up the day</t>
  </si>
  <si>
    <t>SnowProPastExams</t>
  </si>
  <si>
    <t>Taquanta November report daily tasks update + emails</t>
  </si>
  <si>
    <t>17:00</t>
  </si>
  <si>
    <t>17:30</t>
  </si>
  <si>
    <t>Load %</t>
  </si>
  <si>
    <t>Tasks per Assignee</t>
  </si>
  <si>
    <t>Andrew Milner</t>
  </si>
  <si>
    <t>Mark Gelman</t>
  </si>
  <si>
    <t>Ruan Van der Merwe</t>
  </si>
  <si>
    <t>Unassigned</t>
  </si>
  <si>
    <t>Focus time</t>
  </si>
  <si>
    <t>Daily Stand Up, SS Tech Team Daily check-in</t>
  </si>
  <si>
    <t>Canceled: Daily Standup (if in Office 3B07) , S/Stream - EBU Cadence - Bi-Monthly</t>
  </si>
  <si>
    <t>S/Stream - EBU Cadence - Bi-Monthly</t>
  </si>
  <si>
    <t>Wonga: DWH development &amp; migration on Snowflake Project Daily Standup**With Client**</t>
  </si>
  <si>
    <t>Wonga : Fact Application Code Review</t>
  </si>
  <si>
    <t>Lookthru test results and changes</t>
  </si>
  <si>
    <t>Allocated Shoprite SLA - Alteryx , Shoprite Analytics|| Cloud BI Daily Stand Up</t>
  </si>
  <si>
    <t>Agentforce - Customer Success</t>
  </si>
  <si>
    <t>Alteryx Workflow run, Agentforce - Customer Success, Agentforce - Customer Success</t>
  </si>
  <si>
    <t>Resource Utilisation Review</t>
  </si>
  <si>
    <t>Taquanta planning</t>
  </si>
  <si>
    <t>Alteryx S3 Write Issue</t>
  </si>
  <si>
    <t>[SLA - Shoprite - Tableau] Shoprite - Tableau - SLA, Palesa &lt;&gt; Nate - 1:1</t>
  </si>
  <si>
    <t xml:space="preserve">Wonga Testing </t>
  </si>
  <si>
    <t xml:space="preserve">Wonga Plan Update </t>
  </si>
  <si>
    <t>Taquanta: Weekly SLA &amp; Projects update (Client meeting)</t>
  </si>
  <si>
    <t>Alteryx APIs check</t>
  </si>
  <si>
    <t>[SLA - Shoprite - Tableau] Shoprite - Tableau - SLA, Canceled: ShopRite SLA Report Monthly Prep (Tableau, Alteryx, B2B)</t>
  </si>
  <si>
    <t>DSY Data Model</t>
  </si>
  <si>
    <t>DSY Data Model, Taquanta: Weekly SLA &amp; Projects update (Client meeting)</t>
  </si>
  <si>
    <t>Wonga</t>
  </si>
  <si>
    <t>Wonga Analysis</t>
  </si>
  <si>
    <t>Canceled: Digital Automation Weekly Coffee</t>
  </si>
  <si>
    <t>Discovery Plan Update + emails</t>
  </si>
  <si>
    <t xml:space="preserve">Riyad &lt;&gt; Nate - 1:1 </t>
  </si>
  <si>
    <t>DDL meeting</t>
  </si>
  <si>
    <t>Internal Projects - SLA Reporting Project, Tableau Server to Cloud Migration Work and other, Robin &lt;&gt; Nate - 1:1</t>
  </si>
  <si>
    <t>DDL meeting, Ruan &lt;&gt; Nate - 1:1</t>
  </si>
  <si>
    <t>OM Cura Effort Anlaysis</t>
  </si>
  <si>
    <t>dsy credentials</t>
  </si>
  <si>
    <t>Resource scheduling task</t>
  </si>
  <si>
    <t>Following: DSY DW - Daily standup</t>
  </si>
  <si>
    <t>OM Cura Effort Anlaysis, SnowProPastExams</t>
  </si>
  <si>
    <t>Wonga: DWH Project Tech Team Weekly Various Topics Collaboration Session **Client Onsite Meeting**, Canceled: Wonga: DWH development &amp; migration on Snowflake Project Daily Standup**With Client**</t>
  </si>
  <si>
    <t>Wonga: DWH Project Tech Team Weekly Various Topics Collaboration Session **Client Onsite Meeting**</t>
  </si>
  <si>
    <t>Canceled: Wonga: DWH development &amp; migration on Snowflake Project Daily Standup**With Client**</t>
  </si>
  <si>
    <t>Wonga: DWH Project Tech Team Weekly Various Topics Collaboration Session **Client Onsite Meeting**, Shoprite Analytics|| Cloud BI Daily Stand Up</t>
  </si>
  <si>
    <t>Wonga: DWH Project Tech Team Weekly Various Topics Collaboration Session **Client Onsite Meeting**, Allocated Shoprite SLA - Alteryx , Shoprite Analytics|| Cloud BI Daily Stand Up</t>
  </si>
  <si>
    <t>Canceled: Cura Test Review (API)</t>
  </si>
  <si>
    <t>Weekly meeting</t>
  </si>
  <si>
    <t>Ben &lt;&gt; Nate - 1:1</t>
  </si>
  <si>
    <t>DWH, Canceled: Wonga: DWH development &amp; migration on Snowflake Project Weekly Check-In **Client Meeting**</t>
  </si>
  <si>
    <t xml:space="preserve">Investec PVT Bank 80 Hours Support Project Weekly Report </t>
  </si>
  <si>
    <t>Canceled: Suzanne &lt;&gt; Nate - 1:1</t>
  </si>
  <si>
    <t>Agentforce Innovations from Dreamforce</t>
  </si>
  <si>
    <t>BUILD 2025 - EMEA, [SLA - Shoprite - Tableau] Shoprite - Tableau - SLA</t>
  </si>
  <si>
    <t xml:space="preserve">Agentforce Innovations from Dreamforce, Slipstream Sanlam Catch Up </t>
  </si>
  <si>
    <t xml:space="preserve">Slipstream Sanlam Catch Up </t>
  </si>
  <si>
    <t>BUILD 2025 - EMEA</t>
  </si>
  <si>
    <t>Sandi &lt;&gt; Nate - 1:1</t>
  </si>
  <si>
    <t>Wonga: DWH Report Review , Slipstream - IPD - Internal Projects  ( Slipstream Data ) (Harvest Timesheets and Reports, ClickUp Tasks and Reports, Billing, Training, Emails, Documentation, Reports)</t>
  </si>
  <si>
    <t>Research review</t>
  </si>
  <si>
    <t>Data Cloud Implentation Questions, DSY DW - Daily standup</t>
  </si>
  <si>
    <t>Data Cloud Implentation Questions</t>
  </si>
  <si>
    <t>SnowProPastExams&amp;BookExam</t>
  </si>
  <si>
    <t>DSY DW - Daily standup, Strategy and solution Day</t>
  </si>
  <si>
    <t>Wonga: DWH development &amp; migration on Snowflake Project Daily Standup**With Client**, Strategy and solution Day</t>
  </si>
  <si>
    <t>Slipstream - IPD - Internal Projects  ( Slipstream Data ) (Harvest Timesheets and Reports, ClickUp Tasks and Reports, Billing, Training, Emails, Documentation, Reports), Wonga: DWH development &amp; migration on Snowflake Project Daily Standup**With Client**</t>
  </si>
  <si>
    <t>FW: Weekly Check-In: Tableau Progress, Shoprite Analytics|| Cloud BI Daily Stand Up, Strategy and solution Day</t>
  </si>
  <si>
    <t>Placeholder:  CURA Reg Change NON-Prod Review and Signoff</t>
  </si>
  <si>
    <t>FW: Weekly Check-In: Tableau Progress</t>
  </si>
  <si>
    <t>Investec | New financial reporting project - data &amp; scoping questions , Sanlam Weekly Check-in, Allocated Shoprite SLA - Alteryx , Shoprite Analytics|| Cloud BI Daily Stand Up</t>
  </si>
  <si>
    <t>Strategy and solution Day</t>
  </si>
  <si>
    <t>WhereScape catch up , Strategy and solution Day</t>
  </si>
  <si>
    <t xml:space="preserve">Monthly Tech Team Leave Discussion </t>
  </si>
  <si>
    <t>Wonga: DWH development &amp; migration on Snowflake Project Backlog Refinement Session, Strategy and solution Day</t>
  </si>
  <si>
    <t>Wonga: DWH development &amp; migration on Snowflake Project Backlog Refinement Session</t>
  </si>
  <si>
    <t>Internal Projects - SLA Reporting Project, Tableau Server to Cloud Migration Work and other, Monthly Client Support Reports Process Implementation - Feedback Sessions</t>
  </si>
  <si>
    <t>Wonga: DWH development &amp; migration on Snowflake Project Backlog Refinement Session, Monthly Client Support Reports Process Implementation - Feedback Sessions</t>
  </si>
  <si>
    <t>OPS Exec Updates, Strategy and solution Day</t>
  </si>
  <si>
    <t>INTERNAL Monthly Review - ShopRite SLA Reports , DSY DW - Daily standup</t>
  </si>
  <si>
    <t xml:space="preserve">INTERNAL Monthly Review - ShopRite SLA Reports </t>
  </si>
  <si>
    <t>Slipstream - IPD - Internal Projects  ( Slipstream Data ) (Harvest Timesheets and Reports, ClickUp Tasks and Reports, Billing, Training, Emails, Documentation, Reports), DSY DW - Daily standup</t>
  </si>
  <si>
    <t>Investec | Slipstream catch up , Shoprite Analytics|| Cloud BI Daily Stand Up</t>
  </si>
  <si>
    <t xml:space="preserve">Setup of CBR GIT REPO etc (online) </t>
  </si>
  <si>
    <t xml:space="preserve">Discovery Vitality | Alteryx POC | Session 1 </t>
  </si>
  <si>
    <t xml:space="preserve">Resource Utilisation Review </t>
  </si>
  <si>
    <t>Discovery Vitality | Alteryx POC | Session 1 , DW Project: Weekly round-up meeting</t>
  </si>
  <si>
    <t>DW Project: Weekly round-up meeting</t>
  </si>
  <si>
    <t>Tech Team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</si>
</sst>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/>
  </sheetViews>
  <sheetFormatPr defaultRowHeight="15" x14ac:dyDescent="0.25"/>
  <cols>
    <col min="1" max="1" width="20" customWidth="1"/>
    <col min="2" max="16" width="50" customWidth="1"/>
    <col min="17" max="17" width="35" customWidth="1"/>
    <col min="18" max="18" width="5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I2" t="s">
        <v>18</v>
      </c>
      <c r="L2" t="s">
        <v>19</v>
      </c>
      <c r="Q2" t="s">
        <v>20</v>
      </c>
    </row>
    <row r="3" spans="1:17" x14ac:dyDescent="0.25">
      <c r="A3" t="s">
        <v>21</v>
      </c>
      <c r="B3" t="s">
        <v>22</v>
      </c>
      <c r="C3" t="s">
        <v>23</v>
      </c>
      <c r="D3" t="s">
        <v>23</v>
      </c>
      <c r="E3" t="s">
        <v>22</v>
      </c>
      <c r="F3" t="s">
        <v>23</v>
      </c>
      <c r="G3" t="s">
        <v>22</v>
      </c>
      <c r="H3" t="s">
        <v>23</v>
      </c>
      <c r="I3" t="s">
        <v>22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20</v>
      </c>
    </row>
    <row r="4" spans="1:17" x14ac:dyDescent="0.25">
      <c r="A4" t="s">
        <v>24</v>
      </c>
      <c r="B4" t="s">
        <v>25</v>
      </c>
      <c r="D4" t="s">
        <v>26</v>
      </c>
      <c r="E4" t="s">
        <v>27</v>
      </c>
      <c r="F4" t="s">
        <v>25</v>
      </c>
      <c r="K4" t="s">
        <v>26</v>
      </c>
      <c r="N4" t="s">
        <v>25</v>
      </c>
      <c r="Q4" t="s">
        <v>20</v>
      </c>
    </row>
    <row r="5" spans="1:17" x14ac:dyDescent="0.25">
      <c r="A5" t="s">
        <v>28</v>
      </c>
      <c r="B5" t="s">
        <v>25</v>
      </c>
      <c r="F5" t="s">
        <v>25</v>
      </c>
      <c r="G5" t="s">
        <v>29</v>
      </c>
      <c r="N5" t="s">
        <v>25</v>
      </c>
      <c r="Q5" t="s">
        <v>20</v>
      </c>
    </row>
    <row r="6" spans="1:17" x14ac:dyDescent="0.25">
      <c r="A6" t="s">
        <v>30</v>
      </c>
      <c r="B6" t="s">
        <v>31</v>
      </c>
      <c r="D6" t="s">
        <v>32</v>
      </c>
      <c r="E6" t="s">
        <v>33</v>
      </c>
      <c r="F6" t="s">
        <v>25</v>
      </c>
      <c r="J6" t="s">
        <v>32</v>
      </c>
      <c r="L6" t="s">
        <v>34</v>
      </c>
      <c r="N6" t="s">
        <v>25</v>
      </c>
      <c r="Q6" t="s">
        <v>20</v>
      </c>
    </row>
    <row r="7" spans="1:17" x14ac:dyDescent="0.25">
      <c r="A7" t="s">
        <v>35</v>
      </c>
      <c r="B7" t="s">
        <v>36</v>
      </c>
      <c r="D7" t="s">
        <v>36</v>
      </c>
      <c r="E7" t="s">
        <v>33</v>
      </c>
      <c r="G7" t="s">
        <v>37</v>
      </c>
      <c r="J7" t="s">
        <v>38</v>
      </c>
      <c r="K7" t="s">
        <v>39</v>
      </c>
      <c r="L7" t="s">
        <v>40</v>
      </c>
      <c r="M7" t="s">
        <v>36</v>
      </c>
      <c r="Q7" t="s">
        <v>20</v>
      </c>
    </row>
    <row r="8" spans="1:17" x14ac:dyDescent="0.25">
      <c r="A8" t="s">
        <v>41</v>
      </c>
      <c r="B8" t="s">
        <v>42</v>
      </c>
      <c r="C8" t="s">
        <v>43</v>
      </c>
      <c r="D8" t="s">
        <v>44</v>
      </c>
      <c r="E8" t="s">
        <v>33</v>
      </c>
      <c r="F8" t="s">
        <v>45</v>
      </c>
      <c r="G8" t="s">
        <v>39</v>
      </c>
      <c r="I8" t="s">
        <v>43</v>
      </c>
      <c r="J8" t="s">
        <v>46</v>
      </c>
      <c r="K8" t="s">
        <v>39</v>
      </c>
      <c r="L8" t="s">
        <v>47</v>
      </c>
      <c r="M8" t="s">
        <v>43</v>
      </c>
      <c r="N8" t="s">
        <v>43</v>
      </c>
      <c r="Q8" t="s">
        <v>20</v>
      </c>
    </row>
    <row r="9" spans="1:17" x14ac:dyDescent="0.25">
      <c r="A9" t="s">
        <v>48</v>
      </c>
      <c r="B9" t="s">
        <v>42</v>
      </c>
      <c r="D9" t="s">
        <v>49</v>
      </c>
      <c r="E9" t="s">
        <v>33</v>
      </c>
      <c r="G9" t="s">
        <v>50</v>
      </c>
      <c r="I9" t="s">
        <v>51</v>
      </c>
      <c r="J9" t="s">
        <v>52</v>
      </c>
      <c r="K9" t="s">
        <v>50</v>
      </c>
      <c r="L9" t="s">
        <v>47</v>
      </c>
      <c r="M9" t="s">
        <v>50</v>
      </c>
      <c r="N9" t="s">
        <v>50</v>
      </c>
      <c r="Q9" t="s">
        <v>20</v>
      </c>
    </row>
    <row r="10" spans="1:17" x14ac:dyDescent="0.25">
      <c r="A10" t="s">
        <v>53</v>
      </c>
      <c r="C10" t="s">
        <v>54</v>
      </c>
      <c r="E10" t="s">
        <v>55</v>
      </c>
      <c r="G10" t="s">
        <v>56</v>
      </c>
      <c r="H10" t="s">
        <v>57</v>
      </c>
      <c r="J10" t="s">
        <v>38</v>
      </c>
      <c r="M10" t="s">
        <v>58</v>
      </c>
      <c r="Q10" t="s">
        <v>20</v>
      </c>
    </row>
    <row r="11" spans="1:17" x14ac:dyDescent="0.25">
      <c r="A11" t="s">
        <v>59</v>
      </c>
      <c r="E11" t="s">
        <v>60</v>
      </c>
      <c r="G11" t="s">
        <v>61</v>
      </c>
      <c r="H11" t="s">
        <v>57</v>
      </c>
      <c r="L11" t="s">
        <v>62</v>
      </c>
      <c r="N11" t="s">
        <v>63</v>
      </c>
      <c r="Q11" t="s">
        <v>20</v>
      </c>
    </row>
    <row r="12" spans="1:17" x14ac:dyDescent="0.25">
      <c r="A12" t="s">
        <v>64</v>
      </c>
      <c r="D12" t="s">
        <v>65</v>
      </c>
      <c r="E12" t="s">
        <v>66</v>
      </c>
      <c r="F12" t="s">
        <v>66</v>
      </c>
      <c r="G12" t="s">
        <v>65</v>
      </c>
      <c r="H12" t="s">
        <v>57</v>
      </c>
      <c r="K12" t="s">
        <v>65</v>
      </c>
      <c r="L12" t="s">
        <v>62</v>
      </c>
      <c r="M12" t="s">
        <v>65</v>
      </c>
      <c r="N12" t="s">
        <v>67</v>
      </c>
      <c r="Q12" t="s">
        <v>20</v>
      </c>
    </row>
    <row r="13" spans="1:17" x14ac:dyDescent="0.25">
      <c r="A13" t="s">
        <v>68</v>
      </c>
      <c r="D13" t="s">
        <v>69</v>
      </c>
      <c r="E13" t="s">
        <v>69</v>
      </c>
      <c r="F13" t="s">
        <v>70</v>
      </c>
      <c r="H13" t="s">
        <v>57</v>
      </c>
      <c r="I13" t="s">
        <v>69</v>
      </c>
      <c r="J13" t="s">
        <v>69</v>
      </c>
      <c r="L13" t="s">
        <v>71</v>
      </c>
      <c r="O13" t="s">
        <v>69</v>
      </c>
      <c r="Q13" t="s">
        <v>20</v>
      </c>
    </row>
    <row r="14" spans="1:17" x14ac:dyDescent="0.25">
      <c r="A14" t="s">
        <v>72</v>
      </c>
      <c r="D14" t="s">
        <v>69</v>
      </c>
      <c r="E14" t="s">
        <v>69</v>
      </c>
      <c r="F14" t="s">
        <v>69</v>
      </c>
      <c r="G14" t="s">
        <v>73</v>
      </c>
      <c r="I14" t="s">
        <v>74</v>
      </c>
      <c r="J14" t="s">
        <v>69</v>
      </c>
      <c r="L14" t="s">
        <v>71</v>
      </c>
      <c r="N14" t="s">
        <v>75</v>
      </c>
      <c r="O14" t="s">
        <v>69</v>
      </c>
      <c r="Q14" t="s">
        <v>20</v>
      </c>
    </row>
    <row r="15" spans="1:17" x14ac:dyDescent="0.25">
      <c r="A15" t="s">
        <v>76</v>
      </c>
      <c r="E15" t="s">
        <v>77</v>
      </c>
      <c r="I15" t="s">
        <v>78</v>
      </c>
      <c r="L15" t="s">
        <v>71</v>
      </c>
      <c r="N15" t="s">
        <v>79</v>
      </c>
      <c r="Q15" t="s">
        <v>20</v>
      </c>
    </row>
    <row r="16" spans="1:17" x14ac:dyDescent="0.25">
      <c r="A16" t="s">
        <v>80</v>
      </c>
      <c r="B16" t="s">
        <v>81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83</v>
      </c>
      <c r="J16" t="s">
        <v>84</v>
      </c>
      <c r="K16" t="s">
        <v>82</v>
      </c>
      <c r="L16" t="s">
        <v>85</v>
      </c>
      <c r="M16" t="s">
        <v>82</v>
      </c>
      <c r="N16" t="s">
        <v>86</v>
      </c>
      <c r="P16" t="s">
        <v>82</v>
      </c>
      <c r="Q16" t="s">
        <v>20</v>
      </c>
    </row>
    <row r="17" spans="1:18" x14ac:dyDescent="0.25">
      <c r="A17" t="s">
        <v>87</v>
      </c>
      <c r="B17" t="s">
        <v>82</v>
      </c>
      <c r="C17" t="s">
        <v>82</v>
      </c>
      <c r="D17" t="s">
        <v>82</v>
      </c>
      <c r="E17" t="s">
        <v>82</v>
      </c>
      <c r="F17" t="s">
        <v>82</v>
      </c>
      <c r="G17" t="s">
        <v>82</v>
      </c>
      <c r="H17" t="s">
        <v>82</v>
      </c>
      <c r="I17" t="s">
        <v>88</v>
      </c>
      <c r="J17" t="s">
        <v>84</v>
      </c>
      <c r="K17" t="s">
        <v>82</v>
      </c>
      <c r="L17" t="s">
        <v>85</v>
      </c>
      <c r="M17" t="s">
        <v>82</v>
      </c>
      <c r="N17" t="s">
        <v>75</v>
      </c>
      <c r="P17" t="s">
        <v>82</v>
      </c>
      <c r="Q17" t="s">
        <v>20</v>
      </c>
    </row>
    <row r="18" spans="1:18" x14ac:dyDescent="0.25">
      <c r="A18" t="s">
        <v>89</v>
      </c>
      <c r="B18" t="s">
        <v>90</v>
      </c>
      <c r="C18" t="s">
        <v>82</v>
      </c>
      <c r="D18" t="s">
        <v>90</v>
      </c>
      <c r="E18" t="s">
        <v>82</v>
      </c>
      <c r="F18" t="s">
        <v>82</v>
      </c>
      <c r="G18" t="s">
        <v>91</v>
      </c>
      <c r="H18" t="s">
        <v>82</v>
      </c>
      <c r="I18" t="s">
        <v>82</v>
      </c>
      <c r="J18" t="s">
        <v>84</v>
      </c>
      <c r="K18" t="s">
        <v>90</v>
      </c>
      <c r="L18" t="s">
        <v>82</v>
      </c>
      <c r="M18" t="s">
        <v>90</v>
      </c>
      <c r="N18" t="s">
        <v>92</v>
      </c>
      <c r="P18" t="s">
        <v>82</v>
      </c>
      <c r="Q18" t="s">
        <v>20</v>
      </c>
    </row>
    <row r="19" spans="1:18" x14ac:dyDescent="0.25">
      <c r="A19" t="s">
        <v>93</v>
      </c>
      <c r="C19" t="s">
        <v>94</v>
      </c>
      <c r="E19" t="s">
        <v>95</v>
      </c>
      <c r="N19" t="s">
        <v>96</v>
      </c>
      <c r="Q19" t="s">
        <v>20</v>
      </c>
    </row>
    <row r="20" spans="1:18" x14ac:dyDescent="0.25">
      <c r="A20" t="s">
        <v>97</v>
      </c>
      <c r="E20" t="s">
        <v>95</v>
      </c>
    </row>
    <row r="21" spans="1:18" x14ac:dyDescent="0.25">
      <c r="A21" t="s">
        <v>98</v>
      </c>
      <c r="E21" t="s">
        <v>95</v>
      </c>
    </row>
    <row r="24" spans="1:18" x14ac:dyDescent="0.25">
      <c r="A24" t="s">
        <v>99</v>
      </c>
      <c r="B24">
        <f t="shared" ref="B24:Q24" si="0">ROUND(COUNTIF(B2:B19,"&lt;&gt;")/18,4)</f>
        <v>0.55559999999999998</v>
      </c>
      <c r="C24">
        <f t="shared" si="0"/>
        <v>0.38890000000000002</v>
      </c>
      <c r="D24">
        <f t="shared" si="0"/>
        <v>0.66669999999999996</v>
      </c>
      <c r="E24">
        <f t="shared" si="0"/>
        <v>0.88890000000000002</v>
      </c>
      <c r="F24">
        <f t="shared" si="0"/>
        <v>0.61109999999999998</v>
      </c>
      <c r="G24">
        <f t="shared" si="0"/>
        <v>0.66669999999999996</v>
      </c>
      <c r="H24">
        <f t="shared" si="0"/>
        <v>0.44440000000000002</v>
      </c>
      <c r="I24">
        <f t="shared" si="0"/>
        <v>0.55559999999999998</v>
      </c>
      <c r="J24">
        <f t="shared" si="0"/>
        <v>0.61109999999999998</v>
      </c>
      <c r="K24">
        <f t="shared" si="0"/>
        <v>0.5</v>
      </c>
      <c r="L24">
        <f t="shared" si="0"/>
        <v>0.77780000000000005</v>
      </c>
      <c r="M24">
        <f t="shared" si="0"/>
        <v>0.5</v>
      </c>
      <c r="N24">
        <f t="shared" si="0"/>
        <v>0.77780000000000005</v>
      </c>
      <c r="O24">
        <f t="shared" si="0"/>
        <v>0.16669999999999999</v>
      </c>
      <c r="P24">
        <f t="shared" si="0"/>
        <v>0.22220000000000001</v>
      </c>
      <c r="Q24">
        <f t="shared" si="0"/>
        <v>1</v>
      </c>
    </row>
    <row r="27" spans="1:18" x14ac:dyDescent="0.25">
      <c r="A27" t="s">
        <v>100</v>
      </c>
      <c r="B27" t="s">
        <v>101</v>
      </c>
      <c r="C27" t="s">
        <v>2</v>
      </c>
      <c r="D27" t="s">
        <v>3</v>
      </c>
      <c r="E27" t="s">
        <v>4</v>
      </c>
      <c r="F27" t="s">
        <v>102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103</v>
      </c>
      <c r="N27" t="s">
        <v>13</v>
      </c>
      <c r="O27" t="s">
        <v>14</v>
      </c>
      <c r="P27" t="s">
        <v>15</v>
      </c>
      <c r="Q27" t="s">
        <v>16</v>
      </c>
      <c r="R27" t="s">
        <v>104</v>
      </c>
    </row>
    <row r="28" spans="1:18" x14ac:dyDescent="0.25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HYPERLINK("https://app.clickup.com/t/869474qb4", "[internal projects] Commit code to GitHub")</f>
        <v>[internal projects] Commit code to GitHub</v>
      </c>
      <c r="J28" t="str">
        <f>HYPERLINK("https://app.clickup.com/t/8696q3a3m", "[internal projects] Team Skills")</f>
        <v>[internal projects] Team Skills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29" spans="1:18" x14ac:dyDescent="0.25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HYPERLINK("https://app.clickup.com/t/8696twz3v", "[discovery invest - dw maintenance] Glue - code and data")</f>
        <v>[discovery invest - dw maintenance] Glue - code and data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9" t="str">
        <f>HYPERLINK("https://app.clickup.com/t/8696kqh8k", "[internal projects] Tableau server Microsoft Teams app set up")</f>
        <v>[internal projects] Tableau server Microsoft Teams app set up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29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0" spans="1:18" x14ac:dyDescent="0.25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HYPERLINK("https://app.clickup.com/t/8696twz3v", "[discovery invest - dw maintenance] Glue - code and data")</f>
        <v>[discovery invest - dw maintenance] Glue - code and data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HYPERLINK("https://app.clickup.com/t/8696twreb", "[discovery invest - dw maintenance] Solution Design Doc")</f>
        <v>[discovery invest - dw maintenance] Solution Design Doc</v>
      </c>
      <c r="H30" t="str">
        <f>HYPERLINK("https://app.clickup.com/t/86931cq82", "[certification] Alteryx")</f>
        <v>[certification] Alteryx</v>
      </c>
      <c r="J30" t="str">
        <f>HYPERLINK("https://app.clickup.com/t/869474qb4", "[internal projects] Commit code to GitHub")</f>
        <v>[internal projects] Commit code to GitHub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HYPERLINK("https://app.clickup.com/t/8698jrq3g", "[slipstream - data warehouse solution - git (productization)] Orchestration")</f>
        <v>[slipstream - data warehouse solution - git (productization)] Orchestration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1" spans="1:18" x14ac:dyDescent="0.25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HYPERLINK("https://app.clickup.com/t/8696twxhf", "[discovery invest - dw maintenance] Handover of All reports")</f>
        <v>[discovery invest - dw maintenance] Handover of All reports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HYPERLINK("https://app.clickup.com/t/8696twqcc", "[discovery invest - dw maintenance] Discovery OPS Doc")</f>
        <v>[discovery invest - dw maintenance] Discovery OPS Doc</v>
      </c>
      <c r="J31" t="str">
        <f>HYPERLINK("https://app.clickup.com/t/869b1u7qn", "[freshdesk] 1416 Unable to assign creator license keys to users")</f>
        <v>[freshdesk] 1416 Unable to assign creator license keys to users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HYPERLINK("https://app.clickup.com/t/869a5344p", "[freshdesk] Documentation")</f>
        <v>[freshdesk] Documentation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HYPERLINK("https://app.clickup.com/t/869ag79ab", "[internal projects] Test Framework UAT doc")</f>
        <v>[internal projects] Test Framework UAT doc</v>
      </c>
    </row>
    <row r="32" spans="1:18" x14ac:dyDescent="0.25">
      <c r="B32" t="str">
        <f>HYPERLINK("https://app.clickup.com/t/869ajmcbk", "[discovery invest - dw maintenance] Sessions")</f>
        <v>[discovery invest - dw maintenance] Sessions</v>
      </c>
      <c r="C32" t="str">
        <f>HYPERLINK("https://app.clickup.com/t/869b1u7qm", "[freshdesk] 1417 Import Bond curve for TB market valuations")</f>
        <v>[freshdesk] 1417 Import Bond curve for TB market valuations</v>
      </c>
      <c r="D32" t="str">
        <f>HYPERLINK("https://app.clickup.com/t/869auvubk", "[architecture refactor - python reports] Prod")</f>
        <v>[architecture refactor - python reports] Prod</v>
      </c>
      <c r="F32" t="str">
        <f>HYPERLINK("https://app.clickup.com/t/869474qb4", "[internal projects] Commit code to GitHub")</f>
        <v>[internal projects] Commit code to GitHub</v>
      </c>
      <c r="G32" t="str">
        <f>HYPERLINK("https://app.clickup.com/t/8696c93m9", "[discovery invest - dw maintenance] Change LAst_seed_Process = 2 for 7 tables")</f>
        <v>[discovery invest - dw maintenance] Change LAst_seed_Process = 2 for 7 tables</v>
      </c>
      <c r="J32" t="str">
        <f>HYPERLINK("https://app.clickup.com/t/869awubkk", "[freshdesk] 1412 AWS 2.0: Athena Native Connector Set up")</f>
        <v>[freshdesk] 1412 AWS 2.0: Athena Native Connector Set up</v>
      </c>
      <c r="K32" t="str">
        <f>HYPERLINK("https://app.clickup.com/t/869ajmcbk", "[discovery invest - dw maintenance] Sessions")</f>
        <v>[discovery invest - dw maintenance] Sessions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HYPERLINK("https://app.clickup.com/t/869a70f9p", "[internal projects] Billed VS Invoiced VS SLA")</f>
        <v>[internal projects] Billed VS Invoiced VS SLA</v>
      </c>
    </row>
    <row r="33" spans="2:18" x14ac:dyDescent="0.25">
      <c r="B33" t="str">
        <f>HYPERLINK("https://app.clickup.com/t/8698cw2xw", "[discovery invest - dw maintenance] Productionise")</f>
        <v>[discovery invest - dw maintenance] Productionise</v>
      </c>
      <c r="C33" t="str">
        <f>HYPERLINK("https://app.clickup.com/t/869ahmf7u", "[certification] Salesforce Certified Agentforce Specialist")</f>
        <v>[certification] Salesforce Certified Agentforce Specialist</v>
      </c>
      <c r="D33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3" t="str">
        <f>HYPERLINK("https://app.clickup.com/t/86931cq56", "[certification] Snowflake")</f>
        <v>[certification] Snowflake</v>
      </c>
      <c r="J33" t="str">
        <f>HYPERLINK("https://app.clickup.com/t/8698rmb2r", "[certification] AWS Certified Solutions Architect - Associate")</f>
        <v>[certification] AWS Certified Solutions Architect - Associate</v>
      </c>
      <c r="K33" t="str">
        <f>HYPERLINK("https://app.clickup.com/t/86971xvd4", "[discovery invest - dw maintenance] Run the file extracts")</f>
        <v>[discovery invest - dw maintenance] Run the file extracts</v>
      </c>
      <c r="L33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HYPERLINK("https://app.clickup.com/t/8697xudfa", "[internal projects] Income statement dashboard")</f>
        <v>[internal projects] Income statement dashboard</v>
      </c>
    </row>
    <row r="34" spans="2:18" x14ac:dyDescent="0.25">
      <c r="B34" t="str">
        <f>HYPERLINK("https://app.clickup.com/t/8698cw2xj", "[discovery invest - dw maintenance] Fix reports to desired state")</f>
        <v>[discovery invest - dw maintenance] Fix reports to desired state</v>
      </c>
      <c r="C34" t="str">
        <f>HYPERLINK("https://app.clickup.com/t/869ab1fx3", "[certification] AWS Data Engineer - Associate")</f>
        <v>[certification] AWS Data Engineer - Associate</v>
      </c>
      <c r="D34" t="str">
        <f>HYPERLINK("https://app.clickup.com/t/8698aqwqc", "[architecture refactor - python reports] Test complete process for scripts")</f>
        <v>[architecture refactor - python reports] Test complete process for scripts</v>
      </c>
      <c r="F34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J34" t="str">
        <f>HYPERLINK("https://app.clickup.com/t/869b23uw3", "[wonga: data warehouse development &amp; migration onto snowflake project] TransUnion Request")</f>
        <v>[wonga: data warehouse development &amp; migration onto snowflake project] TransUnion Request</v>
      </c>
      <c r="K34" t="str">
        <f>HYPERLINK("https://app.clickup.com/t/86971xv4x", "[discovery invest - dw maintenance] Validating the marts")</f>
        <v>[discovery invest - dw maintenance] Validating the marts</v>
      </c>
      <c r="L34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HYPERLINK("https://app.clickup.com/t/8697t8mu2", "[internal projects] Sales Dashboard Additional requirements")</f>
        <v>[internal projects] Sales Dashboard Additional requirements</v>
      </c>
    </row>
    <row r="35" spans="2:18" x14ac:dyDescent="0.25">
      <c r="B35" t="str">
        <f>HYPERLINK("https://app.clickup.com/t/8696twxyk", "[discovery invest - dw maintenance] Handover of All Documentation")</f>
        <v>[discovery invest - dw maintenance] Handover of All Documentation</v>
      </c>
      <c r="C35" t="str">
        <f>HYPERLINK("https://app.clickup.com/t/8694x2b1k", "[certification] Alteryx Designer Advanced")</f>
        <v>[certification] Alteryx Designer Advanced</v>
      </c>
      <c r="D35" t="str">
        <f>HYPERLINK("https://app.clickup.com/t/869894kbr", "[architecture refactor - python reports] Setup Winpython on dev and Prod Server")</f>
        <v>[architecture refactor - python reports] Setup Winpython on dev and Prod Server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5" t="str">
        <f>HYPERLINK("https://app.clickup.com/t/869b23t30", "[wonga: data warehouse development &amp; migration onto snowflake project] AHV Request Static")</f>
        <v>[wonga: data warehouse development &amp; migration onto snowflake project] AHV Request Static</v>
      </c>
      <c r="K35" t="str">
        <f>HYPERLINK("https://app.clickup.com/t/86971xv04", "[discovery invest - dw maintenance] Run mart code")</f>
        <v>[discovery invest - dw maintenance] Run mart code</v>
      </c>
      <c r="L35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HYPERLINK("https://app.clickup.com/t/8697my8gd", "[internal projects] Financial and Sales Dashboard enhancement")</f>
        <v>[internal projects] Financial and Sales Dashboard enhancement</v>
      </c>
    </row>
    <row r="36" spans="2:18" x14ac:dyDescent="0.25">
      <c r="B36" t="str">
        <f>HYPERLINK("https://app.clickup.com/t/8696twxhf", "[discovery invest - dw maintenance] Handover of All reports")</f>
        <v>[discovery invest - dw maintenance] Handover of All reports</v>
      </c>
      <c r="C36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D36" t="str">
        <f>HYPERLINK("https://app.clickup.com/t/869894fku", "[architecture refactor - python reports] Configure the GIT repository process")</f>
        <v>[architecture refactor - python reports] Configure the GIT repository process</v>
      </c>
      <c r="J36" t="str">
        <f>HYPERLINK("https://app.clickup.com/t/869b23rbj", "[wonga: data warehouse development &amp; migration onto snowflake project] SMS Message")</f>
        <v>[wonga: data warehouse development &amp; migration onto snowflake project] SMS Message</v>
      </c>
      <c r="K36" t="str">
        <f>HYPERLINK("https://app.clickup.com/t/86971xur8", "[discovery invest - dw maintenance] Run implied deletes code")</f>
        <v>[discovery invest - dw maintenance] Run implied deletes code</v>
      </c>
      <c r="R36" t="str">
        <f>HYPERLINK("https://app.clickup.com/t/8696yar98", "[internal projects] Resource Utilization Dashboard Refinements")</f>
        <v>[internal projects] Resource Utilization Dashboard Refinements</v>
      </c>
    </row>
    <row r="37" spans="2:18" x14ac:dyDescent="0.25">
      <c r="B37" t="str">
        <f>HYPERLINK("https://app.clickup.com/t/8696twreb", "[discovery invest - dw maintenance] Solution Design Doc")</f>
        <v>[discovery invest - dw maintenance] Solution Design Doc</v>
      </c>
      <c r="C37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D37" t="str">
        <f>HYPERLINK("https://app.clickup.com/t/869b1abzz", "[wonga: data warehouse development &amp; migration onto snowflake project] View - ApplicationOrigin")</f>
        <v>[wonga: data warehouse development &amp; migration onto snowflake project] View - ApplicationOrigin</v>
      </c>
      <c r="J37" t="str">
        <f>HYPERLINK("https://app.clickup.com/t/869b23qxv", "[wonga: data warehouse development &amp; migration onto snowflake project] Score Card Model Results")</f>
        <v>[wonga: data warehouse development &amp; migration onto snowflake project] Score Card Model Results</v>
      </c>
      <c r="K37" t="str">
        <f>HYPERLINK("https://app.clickup.com/t/86971xtt3", "[discovery invest - dw maintenance] Validating the DWH")</f>
        <v>[discovery invest - dw maintenance] Validating the DWH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HYPERLINK("https://app.clickup.com/t/8696u6wyy", "[internal projects] Alteryx Server SLA Report process")</f>
        <v>[internal projects] Alteryx Server SLA Report process</v>
      </c>
    </row>
    <row r="38" spans="2:18" x14ac:dyDescent="0.25">
      <c r="B38" t="str">
        <f>HYPERLINK("https://app.clickup.com/t/8696twqcc", "[discovery invest - dw maintenance] Discovery OPS Doc")</f>
        <v>[discovery invest - dw maintenance] Discovery OPS Doc</v>
      </c>
      <c r="C38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D38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J38" t="str">
        <f>HYPERLINK("https://app.clickup.com/t/869aq2vj8", "[wonga: data warehouse development &amp; migration onto snowflake project] Test run")</f>
        <v>[wonga: data warehouse development &amp; migration onto snowflake project] Test run</v>
      </c>
      <c r="K38" t="str">
        <f>HYPERLINK("https://app.clickup.com/t/8696twxyk", "[discovery invest - dw maintenance] Handover of All Documentation")</f>
        <v>[discovery invest - dw maintenance] Handover of All Documentation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HYPERLINK("https://app.clickup.com/t/8695mj63r", "[internal projects] Shoprite B2B SLA Document")</f>
        <v>[internal projects] Shoprite B2B SLA Document</v>
      </c>
    </row>
    <row r="39" spans="2:18" x14ac:dyDescent="0.25">
      <c r="B39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D39" t="str">
        <f>HYPERLINK("https://app.clickup.com/t/869abhe3r", "[wonga: data warehouse development &amp; migration onto snowflake project] Conform logging to audit structure")</f>
        <v>[wonga: data warehouse development &amp; migration onto snowflake project] Conform logging to audit structure</v>
      </c>
      <c r="J39" t="str">
        <f>HYPERLINK("https://app.clickup.com/t/869aq2udy", "[wonga: data warehouse development &amp; migration onto snowflake project] Historic data load into data lake")</f>
        <v>[wonga: data warehouse development &amp; migration onto snowflake project] Historic data load into data lake</v>
      </c>
      <c r="K39" t="str">
        <f>HYPERLINK("https://app.clickup.com/t/8696twrv7", "[discovery invest - dw maintenance] Extract Sign-Off Document")</f>
        <v>[discovery invest - dw maintenance] Extract Sign-Off Document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HYPERLINK("https://app.clickup.com/t/869474qb4", "[internal projects] Commit code to GitHub")</f>
        <v>[internal projects] Commit code to GitHub</v>
      </c>
    </row>
    <row r="40" spans="2:18" x14ac:dyDescent="0.25">
      <c r="B40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D40" t="str">
        <f>HYPERLINK("https://app.clickup.com/t/8699zp9n0", "[wonga: data warehouse development &amp; migration onto snowflake project] Productionizing process to move data from RAW to DATALAKE")</f>
        <v>[wonga: data warehouse development &amp; migration onto snowflake project] Productionizing process to move data from RAW to DATALAKE</v>
      </c>
      <c r="K40" t="str">
        <f>HYPERLINK("https://app.clickup.com/t/8696twreb", "[discovery invest - dw maintenance] Solution Design Doc")</f>
        <v>[discovery invest - dw maintenance] Solution Design Doc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HYPERLINK("https://app.clickup.com/t/869agp147", "[certification] Snowflake Sales Professional")</f>
        <v>[certification] Snowflake Sales Professional</v>
      </c>
    </row>
    <row r="41" spans="2:18" x14ac:dyDescent="0.25">
      <c r="B41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41" t="str">
        <f>HYPERLINK("https://app.clickup.com/t/8696twqcc", "[discovery invest - dw maintenance] Discovery OPS Doc")</f>
        <v>[discovery invest - dw maintenance] Discovery OPS Doc</v>
      </c>
      <c r="R41" t="str">
        <f>HYPERLINK("https://app.clickup.com/t/869agp0uz", "[certification] Snowflake Technical Sales Professional")</f>
        <v>[certification] Snowflake Technical Sales Professional</v>
      </c>
    </row>
    <row r="42" spans="2:18" x14ac:dyDescent="0.25">
      <c r="B4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2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R42" t="str">
        <f>HYPERLINK("https://app.clickup.com/t/869af829t", "[certification] Salesforce Certified Agentforce Specialist")</f>
        <v>[certification] Salesforce Certified Agentforce Specialist</v>
      </c>
    </row>
    <row r="43" spans="2:18" x14ac:dyDescent="0.25">
      <c r="K43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R43" t="str">
        <f>HYPERLINK("https://app.clickup.com/t/869af7qma", "[certification] SnowPro Core")</f>
        <v>[certification] SnowPro Core</v>
      </c>
    </row>
    <row r="44" spans="2:18" x14ac:dyDescent="0.25">
      <c r="K44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R44" t="str">
        <f>HYPERLINK("https://app.clickup.com/t/869af7nme", "[certification] AWS Certified Solutions Architect - Associate")</f>
        <v>[certification] AWS Certified Solutions Architect - Associate</v>
      </c>
    </row>
    <row r="45" spans="2:18" x14ac:dyDescent="0.25">
      <c r="K45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5" t="str">
        <f>HYPERLINK("https://app.clickup.com/t/869ab9g7u", "[certification] AWS Data Engineer - Associate")</f>
        <v>[certification] AWS Data Engineer - Associate</v>
      </c>
    </row>
    <row r="46" spans="2:18" x14ac:dyDescent="0.25">
      <c r="K46" t="str">
        <f>HYPERLINK("https://app.clickup.com/t/869a0c8wn", "[wonga: data warehouse development &amp; migration onto snowflake project] Finance report analysis for source field mappings")</f>
        <v>[wonga: data warehouse development &amp; migration onto snowflake project] Finance report analysis for source field mappings</v>
      </c>
      <c r="R46" t="str">
        <f>HYPERLINK("https://app.clickup.com/t/8698cw2xw", "[discovery invest - dw maintenance] Productionise")</f>
        <v>[discovery invest - dw maintenance] Productionise</v>
      </c>
    </row>
    <row r="47" spans="2:18" x14ac:dyDescent="0.25">
      <c r="K47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2:18" x14ac:dyDescent="0.25">
      <c r="K48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1:18" x14ac:dyDescent="0.25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1:18" x14ac:dyDescent="0.25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1:18" x14ac:dyDescent="0.25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1:18" x14ac:dyDescent="0.25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3" spans="11:18" x14ac:dyDescent="0.25">
      <c r="R53" t="str">
        <f>HYPERLINK("https://app.clickup.com/t/869b1x8cc", "[architecture refactor - python reports] Set up protection ruleset for dev")</f>
        <v>[architecture refactor - python reports] Set up protection ruleset for dev</v>
      </c>
    </row>
    <row r="54" spans="11:18" x14ac:dyDescent="0.25">
      <c r="R54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55" spans="11:18" x14ac:dyDescent="0.25">
      <c r="R55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</row>
    <row r="56" spans="11:18" x14ac:dyDescent="0.25">
      <c r="R56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</row>
    <row r="57" spans="11:18" x14ac:dyDescent="0.25">
      <c r="R57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58" spans="11:18" x14ac:dyDescent="0.25">
      <c r="R58" t="str">
        <f>HYPERLINK("https://app.clickup.com/t/869apxty7", "[wonga: data warehouse development &amp; migration onto snowflake project] Fact_Debt_Sale_Snapshot")</f>
        <v>[wonga: data warehouse development &amp; migration onto snowflake project] Fact_Debt_Sale_Snapshot</v>
      </c>
    </row>
    <row r="59" spans="11:18" x14ac:dyDescent="0.25">
      <c r="R5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9"/>
  <sheetViews>
    <sheetView workbookViewId="0"/>
  </sheetViews>
  <sheetFormatPr defaultRowHeight="15" x14ac:dyDescent="0.25"/>
  <cols>
    <col min="1" max="1" width="20" customWidth="1"/>
    <col min="2" max="16" width="50" customWidth="1"/>
    <col min="17" max="17" width="35" customWidth="1"/>
    <col min="18" max="18" width="5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E2" t="s">
        <v>105</v>
      </c>
      <c r="I2" t="s">
        <v>18</v>
      </c>
      <c r="L2" t="s">
        <v>19</v>
      </c>
    </row>
    <row r="3" spans="1:17" x14ac:dyDescent="0.25">
      <c r="A3" t="s">
        <v>21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106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</row>
    <row r="4" spans="1:17" x14ac:dyDescent="0.25">
      <c r="A4" t="s">
        <v>24</v>
      </c>
      <c r="B4" t="s">
        <v>92</v>
      </c>
      <c r="D4" t="s">
        <v>92</v>
      </c>
      <c r="E4" t="s">
        <v>107</v>
      </c>
      <c r="G4" t="s">
        <v>92</v>
      </c>
      <c r="K4" t="s">
        <v>92</v>
      </c>
      <c r="M4" t="s">
        <v>92</v>
      </c>
      <c r="N4" t="s">
        <v>92</v>
      </c>
      <c r="O4" t="s">
        <v>108</v>
      </c>
    </row>
    <row r="5" spans="1:17" x14ac:dyDescent="0.25">
      <c r="A5" t="s">
        <v>28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29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P5" t="s">
        <v>109</v>
      </c>
    </row>
    <row r="6" spans="1:17" x14ac:dyDescent="0.25">
      <c r="A6" t="s">
        <v>30</v>
      </c>
      <c r="B6" t="s">
        <v>32</v>
      </c>
      <c r="C6" t="s">
        <v>110</v>
      </c>
      <c r="D6" t="s">
        <v>32</v>
      </c>
      <c r="I6" t="s">
        <v>111</v>
      </c>
      <c r="J6" t="s">
        <v>32</v>
      </c>
      <c r="K6" t="s">
        <v>110</v>
      </c>
      <c r="L6" t="s">
        <v>112</v>
      </c>
    </row>
    <row r="7" spans="1:17" x14ac:dyDescent="0.25">
      <c r="A7" t="s">
        <v>35</v>
      </c>
      <c r="B7" t="s">
        <v>113</v>
      </c>
      <c r="E7" t="s">
        <v>114</v>
      </c>
      <c r="F7" t="s">
        <v>115</v>
      </c>
      <c r="G7" t="s">
        <v>39</v>
      </c>
      <c r="J7" t="s">
        <v>38</v>
      </c>
      <c r="K7" t="s">
        <v>39</v>
      </c>
      <c r="L7" t="s">
        <v>40</v>
      </c>
      <c r="N7" t="s">
        <v>115</v>
      </c>
      <c r="O7" t="s">
        <v>113</v>
      </c>
    </row>
    <row r="8" spans="1:17" x14ac:dyDescent="0.25">
      <c r="A8" t="s">
        <v>41</v>
      </c>
      <c r="B8" t="s">
        <v>113</v>
      </c>
      <c r="E8" t="s">
        <v>114</v>
      </c>
      <c r="G8" t="s">
        <v>39</v>
      </c>
      <c r="J8" t="s">
        <v>38</v>
      </c>
      <c r="K8" t="s">
        <v>39</v>
      </c>
      <c r="L8" t="s">
        <v>40</v>
      </c>
      <c r="O8" t="s">
        <v>113</v>
      </c>
    </row>
    <row r="9" spans="1:17" x14ac:dyDescent="0.25">
      <c r="A9" t="s">
        <v>48</v>
      </c>
      <c r="D9" t="s">
        <v>116</v>
      </c>
      <c r="E9" t="s">
        <v>117</v>
      </c>
      <c r="J9" t="s">
        <v>118</v>
      </c>
      <c r="K9" t="s">
        <v>119</v>
      </c>
      <c r="L9" t="s">
        <v>40</v>
      </c>
      <c r="M9" t="s">
        <v>116</v>
      </c>
      <c r="N9" t="s">
        <v>120</v>
      </c>
      <c r="P9" t="s">
        <v>119</v>
      </c>
    </row>
    <row r="10" spans="1:17" x14ac:dyDescent="0.25">
      <c r="A10" t="s">
        <v>53</v>
      </c>
      <c r="B10" t="s">
        <v>121</v>
      </c>
      <c r="C10" t="s">
        <v>121</v>
      </c>
      <c r="D10" t="s">
        <v>121</v>
      </c>
      <c r="E10" t="s">
        <v>122</v>
      </c>
      <c r="H10" t="s">
        <v>57</v>
      </c>
      <c r="I10" t="s">
        <v>121</v>
      </c>
      <c r="J10" t="s">
        <v>123</v>
      </c>
      <c r="K10" t="s">
        <v>124</v>
      </c>
      <c r="M10" t="s">
        <v>125</v>
      </c>
      <c r="N10" t="s">
        <v>121</v>
      </c>
    </row>
    <row r="11" spans="1:17" x14ac:dyDescent="0.25">
      <c r="A11" t="s">
        <v>59</v>
      </c>
      <c r="D11" t="s">
        <v>126</v>
      </c>
      <c r="E11" t="s">
        <v>122</v>
      </c>
      <c r="H11" t="s">
        <v>57</v>
      </c>
      <c r="K11" t="s">
        <v>127</v>
      </c>
      <c r="L11" t="s">
        <v>62</v>
      </c>
    </row>
    <row r="12" spans="1:17" x14ac:dyDescent="0.25">
      <c r="A12" t="s">
        <v>64</v>
      </c>
      <c r="D12" t="s">
        <v>126</v>
      </c>
      <c r="E12" t="s">
        <v>128</v>
      </c>
      <c r="H12" t="s">
        <v>57</v>
      </c>
      <c r="K12" t="s">
        <v>127</v>
      </c>
      <c r="L12" t="s">
        <v>62</v>
      </c>
      <c r="N12" t="s">
        <v>129</v>
      </c>
      <c r="O12" t="s">
        <v>128</v>
      </c>
    </row>
    <row r="13" spans="1:17" x14ac:dyDescent="0.25">
      <c r="A13" t="s">
        <v>68</v>
      </c>
      <c r="D13" t="s">
        <v>126</v>
      </c>
      <c r="E13" t="s">
        <v>128</v>
      </c>
      <c r="H13" t="s">
        <v>57</v>
      </c>
      <c r="K13" t="s">
        <v>130</v>
      </c>
      <c r="L13" t="s">
        <v>71</v>
      </c>
      <c r="N13" t="s">
        <v>63</v>
      </c>
      <c r="O13" t="s">
        <v>128</v>
      </c>
    </row>
    <row r="14" spans="1:17" x14ac:dyDescent="0.25">
      <c r="A14" t="s">
        <v>72</v>
      </c>
      <c r="D14" t="s">
        <v>126</v>
      </c>
      <c r="G14" t="s">
        <v>131</v>
      </c>
      <c r="K14" t="s">
        <v>127</v>
      </c>
      <c r="L14" t="s">
        <v>132</v>
      </c>
      <c r="M14" t="s">
        <v>131</v>
      </c>
      <c r="N14" t="s">
        <v>75</v>
      </c>
    </row>
    <row r="15" spans="1:17" x14ac:dyDescent="0.25">
      <c r="A15" t="s">
        <v>76</v>
      </c>
      <c r="D15" t="s">
        <v>126</v>
      </c>
      <c r="G15" t="s">
        <v>131</v>
      </c>
      <c r="K15" t="s">
        <v>127</v>
      </c>
      <c r="L15" t="s">
        <v>71</v>
      </c>
      <c r="M15" t="s">
        <v>133</v>
      </c>
      <c r="N15" t="s">
        <v>75</v>
      </c>
    </row>
    <row r="16" spans="1:17" x14ac:dyDescent="0.25">
      <c r="A16" t="s">
        <v>80</v>
      </c>
      <c r="D16" t="s">
        <v>126</v>
      </c>
      <c r="E16" t="s">
        <v>134</v>
      </c>
      <c r="K16" t="s">
        <v>127</v>
      </c>
      <c r="N16" t="s">
        <v>75</v>
      </c>
    </row>
    <row r="17" spans="1:18" x14ac:dyDescent="0.25">
      <c r="A17" t="s">
        <v>87</v>
      </c>
      <c r="D17" t="s">
        <v>135</v>
      </c>
      <c r="E17" t="s">
        <v>134</v>
      </c>
      <c r="K17" t="s">
        <v>127</v>
      </c>
      <c r="N17" t="s">
        <v>75</v>
      </c>
      <c r="P17" t="s">
        <v>136</v>
      </c>
    </row>
    <row r="18" spans="1:18" x14ac:dyDescent="0.25">
      <c r="A18" t="s">
        <v>89</v>
      </c>
      <c r="B18" t="s">
        <v>92</v>
      </c>
      <c r="D18" t="s">
        <v>92</v>
      </c>
      <c r="E18" t="s">
        <v>134</v>
      </c>
      <c r="G18" t="s">
        <v>137</v>
      </c>
      <c r="K18" t="s">
        <v>92</v>
      </c>
      <c r="M18" t="s">
        <v>92</v>
      </c>
      <c r="N18" t="s">
        <v>92</v>
      </c>
    </row>
    <row r="19" spans="1:18" x14ac:dyDescent="0.25">
      <c r="A19" t="s">
        <v>93</v>
      </c>
      <c r="C19" t="s">
        <v>94</v>
      </c>
      <c r="E19" t="s">
        <v>138</v>
      </c>
      <c r="N19" t="s">
        <v>96</v>
      </c>
    </row>
    <row r="20" spans="1:18" x14ac:dyDescent="0.25">
      <c r="A20" t="s">
        <v>97</v>
      </c>
      <c r="E20" t="s">
        <v>95</v>
      </c>
    </row>
    <row r="21" spans="1:18" x14ac:dyDescent="0.25">
      <c r="A21" t="s">
        <v>98</v>
      </c>
      <c r="E21" t="s">
        <v>95</v>
      </c>
    </row>
    <row r="24" spans="1:18" x14ac:dyDescent="0.25">
      <c r="A24" t="s">
        <v>99</v>
      </c>
      <c r="B24">
        <f t="shared" ref="B24:Q24" si="0">ROUND(COUNTIF(B2:B19,"&lt;&gt;")/18,4)</f>
        <v>0.44440000000000002</v>
      </c>
      <c r="C24">
        <f t="shared" si="0"/>
        <v>0.27779999999999999</v>
      </c>
      <c r="D24">
        <f t="shared" si="0"/>
        <v>0.77780000000000005</v>
      </c>
      <c r="E24">
        <f t="shared" si="0"/>
        <v>0.83330000000000004</v>
      </c>
      <c r="F24">
        <f t="shared" si="0"/>
        <v>0.16669999999999999</v>
      </c>
      <c r="G24">
        <f t="shared" si="0"/>
        <v>0.44440000000000002</v>
      </c>
      <c r="H24">
        <f t="shared" si="0"/>
        <v>0.27779999999999999</v>
      </c>
      <c r="I24">
        <f t="shared" si="0"/>
        <v>0.22220000000000001</v>
      </c>
      <c r="J24">
        <f t="shared" si="0"/>
        <v>0.38890000000000002</v>
      </c>
      <c r="K24">
        <f t="shared" si="0"/>
        <v>0.88890000000000002</v>
      </c>
      <c r="L24">
        <f t="shared" si="0"/>
        <v>0.66669999999999996</v>
      </c>
      <c r="M24">
        <f t="shared" si="0"/>
        <v>0.44440000000000002</v>
      </c>
      <c r="N24">
        <f t="shared" si="0"/>
        <v>0.77780000000000005</v>
      </c>
      <c r="O24">
        <f t="shared" si="0"/>
        <v>0.33329999999999999</v>
      </c>
      <c r="P24">
        <f t="shared" si="0"/>
        <v>0.22220000000000001</v>
      </c>
      <c r="Q24">
        <f t="shared" si="0"/>
        <v>0</v>
      </c>
    </row>
    <row r="27" spans="1:18" x14ac:dyDescent="0.25">
      <c r="A27" t="s">
        <v>100</v>
      </c>
      <c r="B27" t="s">
        <v>101</v>
      </c>
      <c r="C27" t="s">
        <v>2</v>
      </c>
      <c r="D27" t="s">
        <v>3</v>
      </c>
      <c r="E27" t="s">
        <v>4</v>
      </c>
      <c r="F27" t="s">
        <v>102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103</v>
      </c>
      <c r="N27" t="s">
        <v>13</v>
      </c>
      <c r="O27" t="s">
        <v>14</v>
      </c>
      <c r="P27" t="s">
        <v>15</v>
      </c>
      <c r="Q27" t="s">
        <v>16</v>
      </c>
      <c r="R27" t="s">
        <v>104</v>
      </c>
    </row>
    <row r="28" spans="1:18" x14ac:dyDescent="0.25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HYPERLINK("https://app.clickup.com/t/869474qb4", "[internal projects] Commit code to GitHub")</f>
        <v>[internal projects] Commit code to GitHub</v>
      </c>
      <c r="J28" t="str">
        <f>HYPERLINK("https://app.clickup.com/t/8696q3a3m", "[internal projects] Team Skills")</f>
        <v>[internal projects] Team Skills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29" spans="1:18" x14ac:dyDescent="0.25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HYPERLINK("https://app.clickup.com/t/8696twz3v", "[discovery invest - dw maintenance] Glue - code and data")</f>
        <v>[discovery invest - dw maintenance] Glue - code and data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9" t="str">
        <f>HYPERLINK("https://app.clickup.com/t/8696kqh8k", "[internal projects] Tableau server Microsoft Teams app set up")</f>
        <v>[internal projects] Tableau server Microsoft Teams app set up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29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0" spans="1:18" x14ac:dyDescent="0.25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HYPERLINK("https://app.clickup.com/t/8696twz3v", "[discovery invest - dw maintenance] Glue - code and data")</f>
        <v>[discovery invest - dw maintenance] Glue - code and data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HYPERLINK("https://app.clickup.com/t/8696twreb", "[discovery invest - dw maintenance] Solution Design Doc")</f>
        <v>[discovery invest - dw maintenance] Solution Design Doc</v>
      </c>
      <c r="H30" t="str">
        <f>HYPERLINK("https://app.clickup.com/t/86931cq82", "[certification] Alteryx")</f>
        <v>[certification] Alteryx</v>
      </c>
      <c r="J30" t="str">
        <f>HYPERLINK("https://app.clickup.com/t/869474qb4", "[internal projects] Commit code to GitHub")</f>
        <v>[internal projects] Commit code to GitHub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HYPERLINK("https://app.clickup.com/t/8698jrq3g", "[slipstream - data warehouse solution - git (productization)] Orchestration")</f>
        <v>[slipstream - data warehouse solution - git (productization)] Orchestration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1" spans="1:18" x14ac:dyDescent="0.25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HYPERLINK("https://app.clickup.com/t/8696twxhf", "[discovery invest - dw maintenance] Handover of All reports")</f>
        <v>[discovery invest - dw maintenance] Handover of All reports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HYPERLINK("https://app.clickup.com/t/8696twqcc", "[discovery invest - dw maintenance] Discovery OPS Doc")</f>
        <v>[discovery invest - dw maintenance] Discovery OPS Doc</v>
      </c>
      <c r="J31" t="str">
        <f>HYPERLINK("https://app.clickup.com/t/869b1u7qn", "[freshdesk] 1416 Unable to assign creator license keys to users")</f>
        <v>[freshdesk] 1416 Unable to assign creator license keys to users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HYPERLINK("https://app.clickup.com/t/869a5344p", "[freshdesk] Documentation")</f>
        <v>[freshdesk] Documentation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HYPERLINK("https://app.clickup.com/t/869ag79ab", "[internal projects] Test Framework UAT doc")</f>
        <v>[internal projects] Test Framework UAT doc</v>
      </c>
    </row>
    <row r="32" spans="1:18" x14ac:dyDescent="0.25">
      <c r="B32" t="str">
        <f>HYPERLINK("https://app.clickup.com/t/869ajmcbk", "[discovery invest - dw maintenance] Sessions")</f>
        <v>[discovery invest - dw maintenance] Sessions</v>
      </c>
      <c r="C32" t="str">
        <f>HYPERLINK("https://app.clickup.com/t/869b1u7qm", "[freshdesk] 1417 Import Bond curve for TB market valuations")</f>
        <v>[freshdesk] 1417 Import Bond curve for TB market valuations</v>
      </c>
      <c r="D32" t="str">
        <f>HYPERLINK("https://app.clickup.com/t/869auvubk", "[architecture refactor - python reports] Prod")</f>
        <v>[architecture refactor - python reports] Prod</v>
      </c>
      <c r="F32" t="str">
        <f>HYPERLINK("https://app.clickup.com/t/869474qb4", "[internal projects] Commit code to GitHub")</f>
        <v>[internal projects] Commit code to GitHub</v>
      </c>
      <c r="G32" t="str">
        <f>HYPERLINK("https://app.clickup.com/t/8696c93m9", "[discovery invest - dw maintenance] Change LAst_seed_Process = 2 for 7 tables")</f>
        <v>[discovery invest - dw maintenance] Change LAst_seed_Process = 2 for 7 tables</v>
      </c>
      <c r="J32" t="str">
        <f>HYPERLINK("https://app.clickup.com/t/869awubkk", "[freshdesk] 1412 AWS 2.0: Athena Native Connector Set up")</f>
        <v>[freshdesk] 1412 AWS 2.0: Athena Native Connector Set up</v>
      </c>
      <c r="K32" t="str">
        <f>HYPERLINK("https://app.clickup.com/t/869ajmcbk", "[discovery invest - dw maintenance] Sessions")</f>
        <v>[discovery invest - dw maintenance] Sessions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HYPERLINK("https://app.clickup.com/t/869a70f9p", "[internal projects] Billed VS Invoiced VS SLA")</f>
        <v>[internal projects] Billed VS Invoiced VS SLA</v>
      </c>
    </row>
    <row r="33" spans="2:18" x14ac:dyDescent="0.25">
      <c r="B33" t="str">
        <f>HYPERLINK("https://app.clickup.com/t/8698cw2xw", "[discovery invest - dw maintenance] Productionise")</f>
        <v>[discovery invest - dw maintenance] Productionise</v>
      </c>
      <c r="C33" t="str">
        <f>HYPERLINK("https://app.clickup.com/t/869ahmf7u", "[certification] Salesforce Certified Agentforce Specialist")</f>
        <v>[certification] Salesforce Certified Agentforce Specialist</v>
      </c>
      <c r="D33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3" t="str">
        <f>HYPERLINK("https://app.clickup.com/t/86931cq56", "[certification] Snowflake")</f>
        <v>[certification] Snowflake</v>
      </c>
      <c r="J33" t="str">
        <f>HYPERLINK("https://app.clickup.com/t/8698rmb2r", "[certification] AWS Certified Solutions Architect - Associate")</f>
        <v>[certification] AWS Certified Solutions Architect - Associate</v>
      </c>
      <c r="K33" t="str">
        <f>HYPERLINK("https://app.clickup.com/t/86971xvd4", "[discovery invest - dw maintenance] Run the file extracts")</f>
        <v>[discovery invest - dw maintenance] Run the file extracts</v>
      </c>
      <c r="L33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HYPERLINK("https://app.clickup.com/t/8697xudfa", "[internal projects] Income statement dashboard")</f>
        <v>[internal projects] Income statement dashboard</v>
      </c>
    </row>
    <row r="34" spans="2:18" x14ac:dyDescent="0.25">
      <c r="B34" t="str">
        <f>HYPERLINK("https://app.clickup.com/t/8698cw2xj", "[discovery invest - dw maintenance] Fix reports to desired state")</f>
        <v>[discovery invest - dw maintenance] Fix reports to desired state</v>
      </c>
      <c r="C34" t="str">
        <f>HYPERLINK("https://app.clickup.com/t/869ab1fx3", "[certification] AWS Data Engineer - Associate")</f>
        <v>[certification] AWS Data Engineer - Associate</v>
      </c>
      <c r="D34" t="str">
        <f>HYPERLINK("https://app.clickup.com/t/8698aqwqc", "[architecture refactor - python reports] Test complete process for scripts")</f>
        <v>[architecture refactor - python reports] Test complete process for scripts</v>
      </c>
      <c r="F34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J34" t="str">
        <f>HYPERLINK("https://app.clickup.com/t/869b23uw3", "[wonga: data warehouse development &amp; migration onto snowflake project] TransUnion Request")</f>
        <v>[wonga: data warehouse development &amp; migration onto snowflake project] TransUnion Request</v>
      </c>
      <c r="K34" t="str">
        <f>HYPERLINK("https://app.clickup.com/t/86971xv4x", "[discovery invest - dw maintenance] Validating the marts")</f>
        <v>[discovery invest - dw maintenance] Validating the marts</v>
      </c>
      <c r="L34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HYPERLINK("https://app.clickup.com/t/8697t8mu2", "[internal projects] Sales Dashboard Additional requirements")</f>
        <v>[internal projects] Sales Dashboard Additional requirements</v>
      </c>
    </row>
    <row r="35" spans="2:18" x14ac:dyDescent="0.25">
      <c r="B35" t="str">
        <f>HYPERLINK("https://app.clickup.com/t/8696twxyk", "[discovery invest - dw maintenance] Handover of All Documentation")</f>
        <v>[discovery invest - dw maintenance] Handover of All Documentation</v>
      </c>
      <c r="C35" t="str">
        <f>HYPERLINK("https://app.clickup.com/t/8694x2b1k", "[certification] Alteryx Designer Advanced")</f>
        <v>[certification] Alteryx Designer Advanced</v>
      </c>
      <c r="D35" t="str">
        <f>HYPERLINK("https://app.clickup.com/t/869894kbr", "[architecture refactor - python reports] Setup Winpython on dev and Prod Server")</f>
        <v>[architecture refactor - python reports] Setup Winpython on dev and Prod Server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5" t="str">
        <f>HYPERLINK("https://app.clickup.com/t/869b23t30", "[wonga: data warehouse development &amp; migration onto snowflake project] AHV Request Static")</f>
        <v>[wonga: data warehouse development &amp; migration onto snowflake project] AHV Request Static</v>
      </c>
      <c r="K35" t="str">
        <f>HYPERLINK("https://app.clickup.com/t/86971xv04", "[discovery invest - dw maintenance] Run mart code")</f>
        <v>[discovery invest - dw maintenance] Run mart code</v>
      </c>
      <c r="L35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HYPERLINK("https://app.clickup.com/t/8697my8gd", "[internal projects] Financial and Sales Dashboard enhancement")</f>
        <v>[internal projects] Financial and Sales Dashboard enhancement</v>
      </c>
    </row>
    <row r="36" spans="2:18" x14ac:dyDescent="0.25">
      <c r="B36" t="str">
        <f>HYPERLINK("https://app.clickup.com/t/8696twxhf", "[discovery invest - dw maintenance] Handover of All reports")</f>
        <v>[discovery invest - dw maintenance] Handover of All reports</v>
      </c>
      <c r="C36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D36" t="str">
        <f>HYPERLINK("https://app.clickup.com/t/869894fku", "[architecture refactor - python reports] Configure the GIT repository process")</f>
        <v>[architecture refactor - python reports] Configure the GIT repository process</v>
      </c>
      <c r="J36" t="str">
        <f>HYPERLINK("https://app.clickup.com/t/869b23rbj", "[wonga: data warehouse development &amp; migration onto snowflake project] SMS Message")</f>
        <v>[wonga: data warehouse development &amp; migration onto snowflake project] SMS Message</v>
      </c>
      <c r="K36" t="str">
        <f>HYPERLINK("https://app.clickup.com/t/86971xur8", "[discovery invest - dw maintenance] Run implied deletes code")</f>
        <v>[discovery invest - dw maintenance] Run implied deletes code</v>
      </c>
      <c r="R36" t="str">
        <f>HYPERLINK("https://app.clickup.com/t/8696yar98", "[internal projects] Resource Utilization Dashboard Refinements")</f>
        <v>[internal projects] Resource Utilization Dashboard Refinements</v>
      </c>
    </row>
    <row r="37" spans="2:18" x14ac:dyDescent="0.25">
      <c r="B37" t="str">
        <f>HYPERLINK("https://app.clickup.com/t/8696twreb", "[discovery invest - dw maintenance] Solution Design Doc")</f>
        <v>[discovery invest - dw maintenance] Solution Design Doc</v>
      </c>
      <c r="C37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D37" t="str">
        <f>HYPERLINK("https://app.clickup.com/t/869b1abzz", "[wonga: data warehouse development &amp; migration onto snowflake project] View - ApplicationOrigin")</f>
        <v>[wonga: data warehouse development &amp; migration onto snowflake project] View - ApplicationOrigin</v>
      </c>
      <c r="J37" t="str">
        <f>HYPERLINK("https://app.clickup.com/t/869b23qxv", "[wonga: data warehouse development &amp; migration onto snowflake project] Score Card Model Results")</f>
        <v>[wonga: data warehouse development &amp; migration onto snowflake project] Score Card Model Results</v>
      </c>
      <c r="K37" t="str">
        <f>HYPERLINK("https://app.clickup.com/t/86971xtt3", "[discovery invest - dw maintenance] Validating the DWH")</f>
        <v>[discovery invest - dw maintenance] Validating the DWH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HYPERLINK("https://app.clickup.com/t/8696u6wyy", "[internal projects] Alteryx Server SLA Report process")</f>
        <v>[internal projects] Alteryx Server SLA Report process</v>
      </c>
    </row>
    <row r="38" spans="2:18" x14ac:dyDescent="0.25">
      <c r="B38" t="str">
        <f>HYPERLINK("https://app.clickup.com/t/8696twqcc", "[discovery invest - dw maintenance] Discovery OPS Doc")</f>
        <v>[discovery invest - dw maintenance] Discovery OPS Doc</v>
      </c>
      <c r="C38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D38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J38" t="str">
        <f>HYPERLINK("https://app.clickup.com/t/869aq2vj8", "[wonga: data warehouse development &amp; migration onto snowflake project] Test run")</f>
        <v>[wonga: data warehouse development &amp; migration onto snowflake project] Test run</v>
      </c>
      <c r="K38" t="str">
        <f>HYPERLINK("https://app.clickup.com/t/8696twxyk", "[discovery invest - dw maintenance] Handover of All Documentation")</f>
        <v>[discovery invest - dw maintenance] Handover of All Documentation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HYPERLINK("https://app.clickup.com/t/8695mj63r", "[internal projects] Shoprite B2B SLA Document")</f>
        <v>[internal projects] Shoprite B2B SLA Document</v>
      </c>
    </row>
    <row r="39" spans="2:18" x14ac:dyDescent="0.25">
      <c r="B39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D39" t="str">
        <f>HYPERLINK("https://app.clickup.com/t/869abhe3r", "[wonga: data warehouse development &amp; migration onto snowflake project] Conform logging to audit structure")</f>
        <v>[wonga: data warehouse development &amp; migration onto snowflake project] Conform logging to audit structure</v>
      </c>
      <c r="J39" t="str">
        <f>HYPERLINK("https://app.clickup.com/t/869aq2udy", "[wonga: data warehouse development &amp; migration onto snowflake project] Historic data load into data lake")</f>
        <v>[wonga: data warehouse development &amp; migration onto snowflake project] Historic data load into data lake</v>
      </c>
      <c r="K39" t="str">
        <f>HYPERLINK("https://app.clickup.com/t/8696twrv7", "[discovery invest - dw maintenance] Extract Sign-Off Document")</f>
        <v>[discovery invest - dw maintenance] Extract Sign-Off Document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HYPERLINK("https://app.clickup.com/t/869474qb4", "[internal projects] Commit code to GitHub")</f>
        <v>[internal projects] Commit code to GitHub</v>
      </c>
    </row>
    <row r="40" spans="2:18" x14ac:dyDescent="0.25">
      <c r="B40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D40" t="str">
        <f>HYPERLINK("https://app.clickup.com/t/8699zp9n0", "[wonga: data warehouse development &amp; migration onto snowflake project] Productionizing process to move data from RAW to DATALAKE")</f>
        <v>[wonga: data warehouse development &amp; migration onto snowflake project] Productionizing process to move data from RAW to DATALAKE</v>
      </c>
      <c r="K40" t="str">
        <f>HYPERLINK("https://app.clickup.com/t/8696twreb", "[discovery invest - dw maintenance] Solution Design Doc")</f>
        <v>[discovery invest - dw maintenance] Solution Design Doc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HYPERLINK("https://app.clickup.com/t/869agp147", "[certification] Snowflake Sales Professional")</f>
        <v>[certification] Snowflake Sales Professional</v>
      </c>
    </row>
    <row r="41" spans="2:18" x14ac:dyDescent="0.25">
      <c r="B41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41" t="str">
        <f>HYPERLINK("https://app.clickup.com/t/8696twqcc", "[discovery invest - dw maintenance] Discovery OPS Doc")</f>
        <v>[discovery invest - dw maintenance] Discovery OPS Doc</v>
      </c>
      <c r="R41" t="str">
        <f>HYPERLINK("https://app.clickup.com/t/869agp0uz", "[certification] Snowflake Technical Sales Professional")</f>
        <v>[certification] Snowflake Technical Sales Professional</v>
      </c>
    </row>
    <row r="42" spans="2:18" x14ac:dyDescent="0.25">
      <c r="B4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2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R42" t="str">
        <f>HYPERLINK("https://app.clickup.com/t/869af829t", "[certification] Salesforce Certified Agentforce Specialist")</f>
        <v>[certification] Salesforce Certified Agentforce Specialist</v>
      </c>
    </row>
    <row r="43" spans="2:18" x14ac:dyDescent="0.25">
      <c r="K43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R43" t="str">
        <f>HYPERLINK("https://app.clickup.com/t/869af7qma", "[certification] SnowPro Core")</f>
        <v>[certification] SnowPro Core</v>
      </c>
    </row>
    <row r="44" spans="2:18" x14ac:dyDescent="0.25">
      <c r="K44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R44" t="str">
        <f>HYPERLINK("https://app.clickup.com/t/869af7nme", "[certification] AWS Certified Solutions Architect - Associate")</f>
        <v>[certification] AWS Certified Solutions Architect - Associate</v>
      </c>
    </row>
    <row r="45" spans="2:18" x14ac:dyDescent="0.25">
      <c r="K45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5" t="str">
        <f>HYPERLINK("https://app.clickup.com/t/869ab9g7u", "[certification] AWS Data Engineer - Associate")</f>
        <v>[certification] AWS Data Engineer - Associate</v>
      </c>
    </row>
    <row r="46" spans="2:18" x14ac:dyDescent="0.25">
      <c r="K46" t="str">
        <f>HYPERLINK("https://app.clickup.com/t/869a0c8wn", "[wonga: data warehouse development &amp; migration onto snowflake project] Finance report analysis for source field mappings")</f>
        <v>[wonga: data warehouse development &amp; migration onto snowflake project] Finance report analysis for source field mappings</v>
      </c>
      <c r="R46" t="str">
        <f>HYPERLINK("https://app.clickup.com/t/8698cw2xw", "[discovery invest - dw maintenance] Productionise")</f>
        <v>[discovery invest - dw maintenance] Productionise</v>
      </c>
    </row>
    <row r="47" spans="2:18" x14ac:dyDescent="0.25">
      <c r="K47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2:18" x14ac:dyDescent="0.25">
      <c r="K48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1:18" x14ac:dyDescent="0.25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1:18" x14ac:dyDescent="0.25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1:18" x14ac:dyDescent="0.25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1:18" x14ac:dyDescent="0.25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3" spans="11:18" x14ac:dyDescent="0.25">
      <c r="R53" t="str">
        <f>HYPERLINK("https://app.clickup.com/t/869b1x8cc", "[architecture refactor - python reports] Set up protection ruleset for dev")</f>
        <v>[architecture refactor - python reports] Set up protection ruleset for dev</v>
      </c>
    </row>
    <row r="54" spans="11:18" x14ac:dyDescent="0.25">
      <c r="R54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55" spans="11:18" x14ac:dyDescent="0.25">
      <c r="R55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</row>
    <row r="56" spans="11:18" x14ac:dyDescent="0.25">
      <c r="R56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</row>
    <row r="57" spans="11:18" x14ac:dyDescent="0.25">
      <c r="R57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58" spans="11:18" x14ac:dyDescent="0.25">
      <c r="R58" t="str">
        <f>HYPERLINK("https://app.clickup.com/t/869apxty7", "[wonga: data warehouse development &amp; migration onto snowflake project] Fact_Debt_Sale_Snapshot")</f>
        <v>[wonga: data warehouse development &amp; migration onto snowflake project] Fact_Debt_Sale_Snapshot</v>
      </c>
    </row>
    <row r="59" spans="11:18" x14ac:dyDescent="0.25">
      <c r="R5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workbookViewId="0"/>
  </sheetViews>
  <sheetFormatPr defaultRowHeight="15" x14ac:dyDescent="0.25"/>
  <cols>
    <col min="1" max="1" width="20" customWidth="1"/>
    <col min="2" max="18" width="5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E2" t="s">
        <v>105</v>
      </c>
      <c r="I2" t="s">
        <v>18</v>
      </c>
      <c r="L2" t="s">
        <v>19</v>
      </c>
    </row>
    <row r="3" spans="1:17" x14ac:dyDescent="0.25">
      <c r="A3" t="s">
        <v>21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106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</row>
    <row r="4" spans="1:17" x14ac:dyDescent="0.25">
      <c r="A4" t="s">
        <v>24</v>
      </c>
      <c r="B4" t="s">
        <v>92</v>
      </c>
      <c r="D4" t="s">
        <v>92</v>
      </c>
      <c r="E4" t="s">
        <v>55</v>
      </c>
      <c r="G4" t="s">
        <v>92</v>
      </c>
      <c r="K4" t="s">
        <v>92</v>
      </c>
      <c r="M4" t="s">
        <v>92</v>
      </c>
      <c r="N4" t="s">
        <v>92</v>
      </c>
    </row>
    <row r="5" spans="1:17" x14ac:dyDescent="0.25">
      <c r="A5" t="s">
        <v>28</v>
      </c>
      <c r="B5" t="s">
        <v>139</v>
      </c>
      <c r="C5" t="s">
        <v>139</v>
      </c>
      <c r="D5" t="s">
        <v>139</v>
      </c>
      <c r="E5" t="s">
        <v>139</v>
      </c>
      <c r="F5" t="s">
        <v>140</v>
      </c>
      <c r="G5" t="s">
        <v>29</v>
      </c>
      <c r="J5" t="s">
        <v>139</v>
      </c>
      <c r="K5" t="s">
        <v>140</v>
      </c>
      <c r="L5" t="s">
        <v>139</v>
      </c>
      <c r="M5" t="s">
        <v>141</v>
      </c>
      <c r="N5" t="s">
        <v>140</v>
      </c>
      <c r="P5" t="s">
        <v>139</v>
      </c>
      <c r="Q5" t="s">
        <v>141</v>
      </c>
    </row>
    <row r="6" spans="1:17" x14ac:dyDescent="0.25">
      <c r="A6" t="s">
        <v>30</v>
      </c>
      <c r="B6" t="s">
        <v>142</v>
      </c>
      <c r="C6" t="s">
        <v>140</v>
      </c>
      <c r="D6" t="s">
        <v>142</v>
      </c>
      <c r="E6" t="s">
        <v>140</v>
      </c>
      <c r="F6" t="s">
        <v>140</v>
      </c>
      <c r="J6" t="s">
        <v>142</v>
      </c>
      <c r="K6" t="s">
        <v>140</v>
      </c>
      <c r="L6" t="s">
        <v>143</v>
      </c>
      <c r="N6" t="s">
        <v>140</v>
      </c>
      <c r="P6" t="s">
        <v>140</v>
      </c>
    </row>
    <row r="7" spans="1:17" x14ac:dyDescent="0.25">
      <c r="A7" t="s">
        <v>35</v>
      </c>
      <c r="E7" t="s">
        <v>144</v>
      </c>
      <c r="F7" t="s">
        <v>145</v>
      </c>
      <c r="G7" t="s">
        <v>39</v>
      </c>
      <c r="J7" t="s">
        <v>38</v>
      </c>
      <c r="K7" t="s">
        <v>39</v>
      </c>
      <c r="L7" t="s">
        <v>40</v>
      </c>
    </row>
    <row r="8" spans="1:17" x14ac:dyDescent="0.25">
      <c r="A8" t="s">
        <v>41</v>
      </c>
      <c r="D8" t="s">
        <v>146</v>
      </c>
      <c r="E8" t="s">
        <v>144</v>
      </c>
      <c r="F8" t="s">
        <v>145</v>
      </c>
      <c r="G8" t="s">
        <v>39</v>
      </c>
      <c r="J8" t="s">
        <v>38</v>
      </c>
      <c r="K8" t="s">
        <v>147</v>
      </c>
      <c r="L8" t="s">
        <v>40</v>
      </c>
      <c r="N8" t="s">
        <v>148</v>
      </c>
    </row>
    <row r="9" spans="1:17" x14ac:dyDescent="0.25">
      <c r="A9" t="s">
        <v>48</v>
      </c>
      <c r="J9" t="s">
        <v>38</v>
      </c>
      <c r="L9" t="s">
        <v>40</v>
      </c>
      <c r="N9" t="s">
        <v>120</v>
      </c>
      <c r="O9" t="s">
        <v>149</v>
      </c>
    </row>
    <row r="10" spans="1:17" x14ac:dyDescent="0.25">
      <c r="A10" t="s">
        <v>53</v>
      </c>
      <c r="B10" t="s">
        <v>150</v>
      </c>
      <c r="H10" t="s">
        <v>57</v>
      </c>
      <c r="J10" t="s">
        <v>151</v>
      </c>
      <c r="O10" t="s">
        <v>150</v>
      </c>
    </row>
    <row r="11" spans="1:17" x14ac:dyDescent="0.25">
      <c r="A11" t="s">
        <v>59</v>
      </c>
      <c r="B11" t="s">
        <v>152</v>
      </c>
      <c r="F11" t="s">
        <v>153</v>
      </c>
      <c r="H11" t="s">
        <v>57</v>
      </c>
      <c r="J11" t="s">
        <v>154</v>
      </c>
      <c r="L11" t="s">
        <v>62</v>
      </c>
      <c r="N11" t="s">
        <v>129</v>
      </c>
      <c r="O11" t="s">
        <v>150</v>
      </c>
    </row>
    <row r="12" spans="1:17" x14ac:dyDescent="0.25">
      <c r="A12" t="s">
        <v>64</v>
      </c>
      <c r="B12" t="s">
        <v>153</v>
      </c>
      <c r="F12" t="s">
        <v>153</v>
      </c>
      <c r="H12" t="s">
        <v>57</v>
      </c>
      <c r="J12" t="s">
        <v>154</v>
      </c>
      <c r="L12" t="s">
        <v>62</v>
      </c>
      <c r="N12" t="s">
        <v>63</v>
      </c>
    </row>
    <row r="13" spans="1:17" x14ac:dyDescent="0.25">
      <c r="A13" t="s">
        <v>68</v>
      </c>
      <c r="H13" t="s">
        <v>57</v>
      </c>
      <c r="J13" t="s">
        <v>154</v>
      </c>
      <c r="L13" t="s">
        <v>71</v>
      </c>
      <c r="N13" t="s">
        <v>155</v>
      </c>
    </row>
    <row r="14" spans="1:17" x14ac:dyDescent="0.25">
      <c r="A14" t="s">
        <v>72</v>
      </c>
      <c r="J14" t="s">
        <v>154</v>
      </c>
      <c r="L14" t="s">
        <v>71</v>
      </c>
      <c r="N14" t="s">
        <v>75</v>
      </c>
    </row>
    <row r="15" spans="1:17" x14ac:dyDescent="0.25">
      <c r="A15" t="s">
        <v>76</v>
      </c>
      <c r="J15" t="s">
        <v>154</v>
      </c>
      <c r="L15" t="s">
        <v>71</v>
      </c>
      <c r="N15" t="s">
        <v>75</v>
      </c>
    </row>
    <row r="16" spans="1:17" x14ac:dyDescent="0.25">
      <c r="A16" t="s">
        <v>80</v>
      </c>
      <c r="J16" t="s">
        <v>154</v>
      </c>
      <c r="N16" t="s">
        <v>156</v>
      </c>
    </row>
    <row r="17" spans="1:18" x14ac:dyDescent="0.25">
      <c r="A17" t="s">
        <v>87</v>
      </c>
      <c r="J17" t="s">
        <v>154</v>
      </c>
      <c r="N17" t="s">
        <v>75</v>
      </c>
      <c r="P17" t="s">
        <v>157</v>
      </c>
    </row>
    <row r="18" spans="1:18" x14ac:dyDescent="0.25">
      <c r="A18" t="s">
        <v>89</v>
      </c>
      <c r="B18" t="s">
        <v>158</v>
      </c>
      <c r="D18" t="s">
        <v>92</v>
      </c>
      <c r="G18" t="s">
        <v>137</v>
      </c>
      <c r="J18" t="s">
        <v>154</v>
      </c>
      <c r="K18" t="s">
        <v>92</v>
      </c>
      <c r="M18" t="s">
        <v>92</v>
      </c>
      <c r="N18" t="s">
        <v>92</v>
      </c>
      <c r="O18" t="s">
        <v>159</v>
      </c>
    </row>
    <row r="19" spans="1:18" x14ac:dyDescent="0.25">
      <c r="A19" t="s">
        <v>93</v>
      </c>
      <c r="B19" t="s">
        <v>159</v>
      </c>
      <c r="C19" t="s">
        <v>94</v>
      </c>
      <c r="E19" t="s">
        <v>160</v>
      </c>
      <c r="J19" t="s">
        <v>154</v>
      </c>
      <c r="N19" t="s">
        <v>96</v>
      </c>
      <c r="O19" t="s">
        <v>159</v>
      </c>
    </row>
    <row r="20" spans="1:18" x14ac:dyDescent="0.25">
      <c r="A20" t="s">
        <v>97</v>
      </c>
      <c r="E20" t="s">
        <v>160</v>
      </c>
      <c r="J20" t="s">
        <v>154</v>
      </c>
    </row>
    <row r="21" spans="1:18" x14ac:dyDescent="0.25">
      <c r="A21" t="s">
        <v>98</v>
      </c>
      <c r="E21" t="s">
        <v>160</v>
      </c>
      <c r="J21" t="s">
        <v>154</v>
      </c>
    </row>
    <row r="24" spans="1:18" x14ac:dyDescent="0.25">
      <c r="A24" t="s">
        <v>99</v>
      </c>
      <c r="B24">
        <f t="shared" ref="B24:Q24" si="0">ROUND(COUNTIF(B2:B19,"&lt;&gt;")/18,4)</f>
        <v>0.5</v>
      </c>
      <c r="C24">
        <f t="shared" si="0"/>
        <v>0.22220000000000001</v>
      </c>
      <c r="D24">
        <f t="shared" si="0"/>
        <v>0.33329999999999999</v>
      </c>
      <c r="E24">
        <f t="shared" si="0"/>
        <v>0.44440000000000002</v>
      </c>
      <c r="F24">
        <f t="shared" si="0"/>
        <v>0.38890000000000002</v>
      </c>
      <c r="G24">
        <f t="shared" si="0"/>
        <v>0.33329999999999999</v>
      </c>
      <c r="H24">
        <f t="shared" si="0"/>
        <v>0.27779999999999999</v>
      </c>
      <c r="I24">
        <f t="shared" si="0"/>
        <v>0.1111</v>
      </c>
      <c r="J24">
        <f t="shared" si="0"/>
        <v>0.88890000000000002</v>
      </c>
      <c r="K24">
        <f t="shared" si="0"/>
        <v>0.38890000000000002</v>
      </c>
      <c r="L24">
        <f t="shared" si="0"/>
        <v>0.66669999999999996</v>
      </c>
      <c r="M24">
        <f t="shared" si="0"/>
        <v>0.22220000000000001</v>
      </c>
      <c r="N24">
        <f t="shared" si="0"/>
        <v>0.83330000000000004</v>
      </c>
      <c r="O24">
        <f t="shared" si="0"/>
        <v>0.33329999999999999</v>
      </c>
      <c r="P24">
        <f t="shared" si="0"/>
        <v>0.22220000000000001</v>
      </c>
      <c r="Q24">
        <f t="shared" si="0"/>
        <v>5.5599999999999997E-2</v>
      </c>
    </row>
    <row r="27" spans="1:18" x14ac:dyDescent="0.25">
      <c r="A27" t="s">
        <v>100</v>
      </c>
      <c r="B27" t="s">
        <v>101</v>
      </c>
      <c r="C27" t="s">
        <v>2</v>
      </c>
      <c r="D27" t="s">
        <v>3</v>
      </c>
      <c r="E27" t="s">
        <v>4</v>
      </c>
      <c r="F27" t="s">
        <v>102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103</v>
      </c>
      <c r="N27" t="s">
        <v>13</v>
      </c>
      <c r="O27" t="s">
        <v>14</v>
      </c>
      <c r="P27" t="s">
        <v>15</v>
      </c>
      <c r="Q27" t="s">
        <v>16</v>
      </c>
      <c r="R27" t="s">
        <v>104</v>
      </c>
    </row>
    <row r="28" spans="1:18" x14ac:dyDescent="0.25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HYPERLINK("https://app.clickup.com/t/869474qb4", "[internal projects] Commit code to GitHub")</f>
        <v>[internal projects] Commit code to GitHub</v>
      </c>
      <c r="J28" t="str">
        <f>HYPERLINK("https://app.clickup.com/t/8696q3a3m", "[internal projects] Team Skills")</f>
        <v>[internal projects] Team Skills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29" spans="1:18" x14ac:dyDescent="0.25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HYPERLINK("https://app.clickup.com/t/8696twz3v", "[discovery invest - dw maintenance] Glue - code and data")</f>
        <v>[discovery invest - dw maintenance] Glue - code and data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9" t="str">
        <f>HYPERLINK("https://app.clickup.com/t/8696kqh8k", "[internal projects] Tableau server Microsoft Teams app set up")</f>
        <v>[internal projects] Tableau server Microsoft Teams app set up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29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0" spans="1:18" x14ac:dyDescent="0.25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HYPERLINK("https://app.clickup.com/t/8696twz3v", "[discovery invest - dw maintenance] Glue - code and data")</f>
        <v>[discovery invest - dw maintenance] Glue - code and data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HYPERLINK("https://app.clickup.com/t/8696twreb", "[discovery invest - dw maintenance] Solution Design Doc")</f>
        <v>[discovery invest - dw maintenance] Solution Design Doc</v>
      </c>
      <c r="H30" t="str">
        <f>HYPERLINK("https://app.clickup.com/t/86931cq82", "[certification] Alteryx")</f>
        <v>[certification] Alteryx</v>
      </c>
      <c r="J30" t="str">
        <f>HYPERLINK("https://app.clickup.com/t/869474qb4", "[internal projects] Commit code to GitHub")</f>
        <v>[internal projects] Commit code to GitHub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HYPERLINK("https://app.clickup.com/t/8698jrq3g", "[slipstream - data warehouse solution - git (productization)] Orchestration")</f>
        <v>[slipstream - data warehouse solution - git (productization)] Orchestration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1" spans="1:18" x14ac:dyDescent="0.25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HYPERLINK("https://app.clickup.com/t/8696twxhf", "[discovery invest - dw maintenance] Handover of All reports")</f>
        <v>[discovery invest - dw maintenance] Handover of All reports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HYPERLINK("https://app.clickup.com/t/8696twqcc", "[discovery invest - dw maintenance] Discovery OPS Doc")</f>
        <v>[discovery invest - dw maintenance] Discovery OPS Doc</v>
      </c>
      <c r="J31" t="str">
        <f>HYPERLINK("https://app.clickup.com/t/869b1u7qn", "[freshdesk] 1416 Unable to assign creator license keys to users")</f>
        <v>[freshdesk] 1416 Unable to assign creator license keys to users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HYPERLINK("https://app.clickup.com/t/869a5344p", "[freshdesk] Documentation")</f>
        <v>[freshdesk] Documentation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HYPERLINK("https://app.clickup.com/t/869ag79ab", "[internal projects] Test Framework UAT doc")</f>
        <v>[internal projects] Test Framework UAT doc</v>
      </c>
    </row>
    <row r="32" spans="1:18" x14ac:dyDescent="0.25">
      <c r="B32" t="str">
        <f>HYPERLINK("https://app.clickup.com/t/869ajmcbk", "[discovery invest - dw maintenance] Sessions")</f>
        <v>[discovery invest - dw maintenance] Sessions</v>
      </c>
      <c r="C32" t="str">
        <f>HYPERLINK("https://app.clickup.com/t/869b1u7qm", "[freshdesk] 1417 Import Bond curve for TB market valuations")</f>
        <v>[freshdesk] 1417 Import Bond curve for TB market valuations</v>
      </c>
      <c r="D32" t="str">
        <f>HYPERLINK("https://app.clickup.com/t/869auvubk", "[architecture refactor - python reports] Prod")</f>
        <v>[architecture refactor - python reports] Prod</v>
      </c>
      <c r="F32" t="str">
        <f>HYPERLINK("https://app.clickup.com/t/869474qb4", "[internal projects] Commit code to GitHub")</f>
        <v>[internal projects] Commit code to GitHub</v>
      </c>
      <c r="G32" t="str">
        <f>HYPERLINK("https://app.clickup.com/t/8696c93m9", "[discovery invest - dw maintenance] Change LAst_seed_Process = 2 for 7 tables")</f>
        <v>[discovery invest - dw maintenance] Change LAst_seed_Process = 2 for 7 tables</v>
      </c>
      <c r="J32" t="str">
        <f>HYPERLINK("https://app.clickup.com/t/869awubkk", "[freshdesk] 1412 AWS 2.0: Athena Native Connector Set up")</f>
        <v>[freshdesk] 1412 AWS 2.0: Athena Native Connector Set up</v>
      </c>
      <c r="K32" t="str">
        <f>HYPERLINK("https://app.clickup.com/t/869ajmcbk", "[discovery invest - dw maintenance] Sessions")</f>
        <v>[discovery invest - dw maintenance] Sessions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HYPERLINK("https://app.clickup.com/t/869a70f9p", "[internal projects] Billed VS Invoiced VS SLA")</f>
        <v>[internal projects] Billed VS Invoiced VS SLA</v>
      </c>
    </row>
    <row r="33" spans="2:18" x14ac:dyDescent="0.25">
      <c r="B33" t="str">
        <f>HYPERLINK("https://app.clickup.com/t/8698cw2xw", "[discovery invest - dw maintenance] Productionise")</f>
        <v>[discovery invest - dw maintenance] Productionise</v>
      </c>
      <c r="C33" t="str">
        <f>HYPERLINK("https://app.clickup.com/t/869ahmf7u", "[certification] Salesforce Certified Agentforce Specialist")</f>
        <v>[certification] Salesforce Certified Agentforce Specialist</v>
      </c>
      <c r="D33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3" t="str">
        <f>HYPERLINK("https://app.clickup.com/t/86931cq56", "[certification] Snowflake")</f>
        <v>[certification] Snowflake</v>
      </c>
      <c r="J33" t="str">
        <f>HYPERLINK("https://app.clickup.com/t/8698rmb2r", "[certification] AWS Certified Solutions Architect - Associate")</f>
        <v>[certification] AWS Certified Solutions Architect - Associate</v>
      </c>
      <c r="K33" t="str">
        <f>HYPERLINK("https://app.clickup.com/t/86971xvd4", "[discovery invest - dw maintenance] Run the file extracts")</f>
        <v>[discovery invest - dw maintenance] Run the file extracts</v>
      </c>
      <c r="L33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HYPERLINK("https://app.clickup.com/t/8697xudfa", "[internal projects] Income statement dashboard")</f>
        <v>[internal projects] Income statement dashboard</v>
      </c>
    </row>
    <row r="34" spans="2:18" x14ac:dyDescent="0.25">
      <c r="B34" t="str">
        <f>HYPERLINK("https://app.clickup.com/t/8698cw2xj", "[discovery invest - dw maintenance] Fix reports to desired state")</f>
        <v>[discovery invest - dw maintenance] Fix reports to desired state</v>
      </c>
      <c r="C34" t="str">
        <f>HYPERLINK("https://app.clickup.com/t/869ab1fx3", "[certification] AWS Data Engineer - Associate")</f>
        <v>[certification] AWS Data Engineer - Associate</v>
      </c>
      <c r="D34" t="str">
        <f>HYPERLINK("https://app.clickup.com/t/8698aqwqc", "[architecture refactor - python reports] Test complete process for scripts")</f>
        <v>[architecture refactor - python reports] Test complete process for scripts</v>
      </c>
      <c r="F34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J34" t="str">
        <f>HYPERLINK("https://app.clickup.com/t/869b23uw3", "[wonga: data warehouse development &amp; migration onto snowflake project] TransUnion Request")</f>
        <v>[wonga: data warehouse development &amp; migration onto snowflake project] TransUnion Request</v>
      </c>
      <c r="K34" t="str">
        <f>HYPERLINK("https://app.clickup.com/t/86971xv4x", "[discovery invest - dw maintenance] Validating the marts")</f>
        <v>[discovery invest - dw maintenance] Validating the marts</v>
      </c>
      <c r="L34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HYPERLINK("https://app.clickup.com/t/8697t8mu2", "[internal projects] Sales Dashboard Additional requirements")</f>
        <v>[internal projects] Sales Dashboard Additional requirements</v>
      </c>
    </row>
    <row r="35" spans="2:18" x14ac:dyDescent="0.25">
      <c r="B35" t="str">
        <f>HYPERLINK("https://app.clickup.com/t/8696twxyk", "[discovery invest - dw maintenance] Handover of All Documentation")</f>
        <v>[discovery invest - dw maintenance] Handover of All Documentation</v>
      </c>
      <c r="C35" t="str">
        <f>HYPERLINK("https://app.clickup.com/t/8694x2b1k", "[certification] Alteryx Designer Advanced")</f>
        <v>[certification] Alteryx Designer Advanced</v>
      </c>
      <c r="D35" t="str">
        <f>HYPERLINK("https://app.clickup.com/t/869894kbr", "[architecture refactor - python reports] Setup Winpython on dev and Prod Server")</f>
        <v>[architecture refactor - python reports] Setup Winpython on dev and Prod Server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5" t="str">
        <f>HYPERLINK("https://app.clickup.com/t/869b23t30", "[wonga: data warehouse development &amp; migration onto snowflake project] AHV Request Static")</f>
        <v>[wonga: data warehouse development &amp; migration onto snowflake project] AHV Request Static</v>
      </c>
      <c r="K35" t="str">
        <f>HYPERLINK("https://app.clickup.com/t/86971xv04", "[discovery invest - dw maintenance] Run mart code")</f>
        <v>[discovery invest - dw maintenance] Run mart code</v>
      </c>
      <c r="L35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HYPERLINK("https://app.clickup.com/t/8697my8gd", "[internal projects] Financial and Sales Dashboard enhancement")</f>
        <v>[internal projects] Financial and Sales Dashboard enhancement</v>
      </c>
    </row>
    <row r="36" spans="2:18" x14ac:dyDescent="0.25">
      <c r="B36" t="str">
        <f>HYPERLINK("https://app.clickup.com/t/8696twxhf", "[discovery invest - dw maintenance] Handover of All reports")</f>
        <v>[discovery invest - dw maintenance] Handover of All reports</v>
      </c>
      <c r="C36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D36" t="str">
        <f>HYPERLINK("https://app.clickup.com/t/869894fku", "[architecture refactor - python reports] Configure the GIT repository process")</f>
        <v>[architecture refactor - python reports] Configure the GIT repository process</v>
      </c>
      <c r="J36" t="str">
        <f>HYPERLINK("https://app.clickup.com/t/869b23rbj", "[wonga: data warehouse development &amp; migration onto snowflake project] SMS Message")</f>
        <v>[wonga: data warehouse development &amp; migration onto snowflake project] SMS Message</v>
      </c>
      <c r="K36" t="str">
        <f>HYPERLINK("https://app.clickup.com/t/86971xur8", "[discovery invest - dw maintenance] Run implied deletes code")</f>
        <v>[discovery invest - dw maintenance] Run implied deletes code</v>
      </c>
      <c r="R36" t="str">
        <f>HYPERLINK("https://app.clickup.com/t/8696yar98", "[internal projects] Resource Utilization Dashboard Refinements")</f>
        <v>[internal projects] Resource Utilization Dashboard Refinements</v>
      </c>
    </row>
    <row r="37" spans="2:18" x14ac:dyDescent="0.25">
      <c r="B37" t="str">
        <f>HYPERLINK("https://app.clickup.com/t/8696twreb", "[discovery invest - dw maintenance] Solution Design Doc")</f>
        <v>[discovery invest - dw maintenance] Solution Design Doc</v>
      </c>
      <c r="C37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D37" t="str">
        <f>HYPERLINK("https://app.clickup.com/t/869b1abzz", "[wonga: data warehouse development &amp; migration onto snowflake project] View - ApplicationOrigin")</f>
        <v>[wonga: data warehouse development &amp; migration onto snowflake project] View - ApplicationOrigin</v>
      </c>
      <c r="J37" t="str">
        <f>HYPERLINK("https://app.clickup.com/t/869b23qxv", "[wonga: data warehouse development &amp; migration onto snowflake project] Score Card Model Results")</f>
        <v>[wonga: data warehouse development &amp; migration onto snowflake project] Score Card Model Results</v>
      </c>
      <c r="K37" t="str">
        <f>HYPERLINK("https://app.clickup.com/t/86971xtt3", "[discovery invest - dw maintenance] Validating the DWH")</f>
        <v>[discovery invest - dw maintenance] Validating the DWH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HYPERLINK("https://app.clickup.com/t/8696u6wyy", "[internal projects] Alteryx Server SLA Report process")</f>
        <v>[internal projects] Alteryx Server SLA Report process</v>
      </c>
    </row>
    <row r="38" spans="2:18" x14ac:dyDescent="0.25">
      <c r="B38" t="str">
        <f>HYPERLINK("https://app.clickup.com/t/8696twqcc", "[discovery invest - dw maintenance] Discovery OPS Doc")</f>
        <v>[discovery invest - dw maintenance] Discovery OPS Doc</v>
      </c>
      <c r="C38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D38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J38" t="str">
        <f>HYPERLINK("https://app.clickup.com/t/869aq2vj8", "[wonga: data warehouse development &amp; migration onto snowflake project] Test run")</f>
        <v>[wonga: data warehouse development &amp; migration onto snowflake project] Test run</v>
      </c>
      <c r="K38" t="str">
        <f>HYPERLINK("https://app.clickup.com/t/8696twxyk", "[discovery invest - dw maintenance] Handover of All Documentation")</f>
        <v>[discovery invest - dw maintenance] Handover of All Documentation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HYPERLINK("https://app.clickup.com/t/8695mj63r", "[internal projects] Shoprite B2B SLA Document")</f>
        <v>[internal projects] Shoprite B2B SLA Document</v>
      </c>
    </row>
    <row r="39" spans="2:18" x14ac:dyDescent="0.25">
      <c r="B39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D39" t="str">
        <f>HYPERLINK("https://app.clickup.com/t/869abhe3r", "[wonga: data warehouse development &amp; migration onto snowflake project] Conform logging to audit structure")</f>
        <v>[wonga: data warehouse development &amp; migration onto snowflake project] Conform logging to audit structure</v>
      </c>
      <c r="J39" t="str">
        <f>HYPERLINK("https://app.clickup.com/t/869aq2udy", "[wonga: data warehouse development &amp; migration onto snowflake project] Historic data load into data lake")</f>
        <v>[wonga: data warehouse development &amp; migration onto snowflake project] Historic data load into data lake</v>
      </c>
      <c r="K39" t="str">
        <f>HYPERLINK("https://app.clickup.com/t/8696twrv7", "[discovery invest - dw maintenance] Extract Sign-Off Document")</f>
        <v>[discovery invest - dw maintenance] Extract Sign-Off Document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HYPERLINK("https://app.clickup.com/t/869474qb4", "[internal projects] Commit code to GitHub")</f>
        <v>[internal projects] Commit code to GitHub</v>
      </c>
    </row>
    <row r="40" spans="2:18" x14ac:dyDescent="0.25">
      <c r="B40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D40" t="str">
        <f>HYPERLINK("https://app.clickup.com/t/8699zp9n0", "[wonga: data warehouse development &amp; migration onto snowflake project] Productionizing process to move data from RAW to DATALAKE")</f>
        <v>[wonga: data warehouse development &amp; migration onto snowflake project] Productionizing process to move data from RAW to DATALAKE</v>
      </c>
      <c r="K40" t="str">
        <f>HYPERLINK("https://app.clickup.com/t/8696twreb", "[discovery invest - dw maintenance] Solution Design Doc")</f>
        <v>[discovery invest - dw maintenance] Solution Design Doc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HYPERLINK("https://app.clickup.com/t/869agp147", "[certification] Snowflake Sales Professional")</f>
        <v>[certification] Snowflake Sales Professional</v>
      </c>
    </row>
    <row r="41" spans="2:18" x14ac:dyDescent="0.25">
      <c r="B41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41" t="str">
        <f>HYPERLINK("https://app.clickup.com/t/8696twqcc", "[discovery invest - dw maintenance] Discovery OPS Doc")</f>
        <v>[discovery invest - dw maintenance] Discovery OPS Doc</v>
      </c>
      <c r="R41" t="str">
        <f>HYPERLINK("https://app.clickup.com/t/869agp0uz", "[certification] Snowflake Technical Sales Professional")</f>
        <v>[certification] Snowflake Technical Sales Professional</v>
      </c>
    </row>
    <row r="42" spans="2:18" x14ac:dyDescent="0.25">
      <c r="B4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2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R42" t="str">
        <f>HYPERLINK("https://app.clickup.com/t/869af829t", "[certification] Salesforce Certified Agentforce Specialist")</f>
        <v>[certification] Salesforce Certified Agentforce Specialist</v>
      </c>
    </row>
    <row r="43" spans="2:18" x14ac:dyDescent="0.25">
      <c r="K43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R43" t="str">
        <f>HYPERLINK("https://app.clickup.com/t/869af7qma", "[certification] SnowPro Core")</f>
        <v>[certification] SnowPro Core</v>
      </c>
    </row>
    <row r="44" spans="2:18" x14ac:dyDescent="0.25">
      <c r="K44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R44" t="str">
        <f>HYPERLINK("https://app.clickup.com/t/869af7nme", "[certification] AWS Certified Solutions Architect - Associate")</f>
        <v>[certification] AWS Certified Solutions Architect - Associate</v>
      </c>
    </row>
    <row r="45" spans="2:18" x14ac:dyDescent="0.25">
      <c r="K45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5" t="str">
        <f>HYPERLINK("https://app.clickup.com/t/869ab9g7u", "[certification] AWS Data Engineer - Associate")</f>
        <v>[certification] AWS Data Engineer - Associate</v>
      </c>
    </row>
    <row r="46" spans="2:18" x14ac:dyDescent="0.25">
      <c r="K46" t="str">
        <f>HYPERLINK("https://app.clickup.com/t/869a0c8wn", "[wonga: data warehouse development &amp; migration onto snowflake project] Finance report analysis for source field mappings")</f>
        <v>[wonga: data warehouse development &amp; migration onto snowflake project] Finance report analysis for source field mappings</v>
      </c>
      <c r="R46" t="str">
        <f>HYPERLINK("https://app.clickup.com/t/8698cw2xw", "[discovery invest - dw maintenance] Productionise")</f>
        <v>[discovery invest - dw maintenance] Productionise</v>
      </c>
    </row>
    <row r="47" spans="2:18" x14ac:dyDescent="0.25">
      <c r="K47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2:18" x14ac:dyDescent="0.25">
      <c r="K48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1:18" x14ac:dyDescent="0.25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1:18" x14ac:dyDescent="0.25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1:18" x14ac:dyDescent="0.25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1:18" x14ac:dyDescent="0.25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3" spans="11:18" x14ac:dyDescent="0.25">
      <c r="R53" t="str">
        <f>HYPERLINK("https://app.clickup.com/t/869b1x8cc", "[architecture refactor - python reports] Set up protection ruleset for dev")</f>
        <v>[architecture refactor - python reports] Set up protection ruleset for dev</v>
      </c>
    </row>
    <row r="54" spans="11:18" x14ac:dyDescent="0.25">
      <c r="R54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55" spans="11:18" x14ac:dyDescent="0.25">
      <c r="R55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</row>
    <row r="56" spans="11:18" x14ac:dyDescent="0.25">
      <c r="R56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</row>
    <row r="57" spans="11:18" x14ac:dyDescent="0.25">
      <c r="R57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58" spans="11:18" x14ac:dyDescent="0.25">
      <c r="R58" t="str">
        <f>HYPERLINK("https://app.clickup.com/t/869apxty7", "[wonga: data warehouse development &amp; migration onto snowflake project] Fact_Debt_Sale_Snapshot")</f>
        <v>[wonga: data warehouse development &amp; migration onto snowflake project] Fact_Debt_Sale_Snapshot</v>
      </c>
    </row>
    <row r="59" spans="11:18" x14ac:dyDescent="0.25">
      <c r="R5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9"/>
  <sheetViews>
    <sheetView workbookViewId="0"/>
  </sheetViews>
  <sheetFormatPr defaultRowHeight="15" x14ac:dyDescent="0.25"/>
  <cols>
    <col min="1" max="1" width="20" customWidth="1"/>
    <col min="2" max="16" width="50" customWidth="1"/>
    <col min="17" max="17" width="35" customWidth="1"/>
    <col min="18" max="18" width="5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E2" t="s">
        <v>105</v>
      </c>
      <c r="I2" t="s">
        <v>18</v>
      </c>
      <c r="L2" t="s">
        <v>19</v>
      </c>
    </row>
    <row r="3" spans="1:17" x14ac:dyDescent="0.25">
      <c r="A3" t="s">
        <v>21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106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</row>
    <row r="4" spans="1:17" x14ac:dyDescent="0.25">
      <c r="A4" t="s">
        <v>24</v>
      </c>
      <c r="B4" t="s">
        <v>161</v>
      </c>
      <c r="D4" t="s">
        <v>92</v>
      </c>
      <c r="E4" t="s">
        <v>55</v>
      </c>
      <c r="G4" t="s">
        <v>92</v>
      </c>
      <c r="K4" t="s">
        <v>92</v>
      </c>
      <c r="M4" t="s">
        <v>92</v>
      </c>
      <c r="N4" t="s">
        <v>92</v>
      </c>
    </row>
    <row r="5" spans="1:17" x14ac:dyDescent="0.25">
      <c r="A5" t="s">
        <v>28</v>
      </c>
      <c r="B5" t="s">
        <v>162</v>
      </c>
      <c r="C5" t="s">
        <v>109</v>
      </c>
      <c r="D5" t="s">
        <v>109</v>
      </c>
      <c r="E5" t="s">
        <v>109</v>
      </c>
      <c r="F5" t="s">
        <v>109</v>
      </c>
      <c r="G5" t="s">
        <v>29</v>
      </c>
      <c r="J5" t="s">
        <v>109</v>
      </c>
      <c r="K5" t="s">
        <v>109</v>
      </c>
      <c r="L5" t="s">
        <v>109</v>
      </c>
      <c r="M5" t="s">
        <v>109</v>
      </c>
      <c r="N5" t="s">
        <v>163</v>
      </c>
      <c r="P5" t="s">
        <v>109</v>
      </c>
    </row>
    <row r="6" spans="1:17" x14ac:dyDescent="0.25">
      <c r="A6" t="s">
        <v>30</v>
      </c>
      <c r="B6" t="s">
        <v>164</v>
      </c>
      <c r="D6" t="s">
        <v>32</v>
      </c>
      <c r="E6" t="s">
        <v>165</v>
      </c>
      <c r="F6" t="s">
        <v>166</v>
      </c>
      <c r="J6" t="s">
        <v>32</v>
      </c>
      <c r="L6" t="s">
        <v>167</v>
      </c>
      <c r="N6" t="s">
        <v>75</v>
      </c>
    </row>
    <row r="7" spans="1:17" x14ac:dyDescent="0.25">
      <c r="A7" t="s">
        <v>35</v>
      </c>
      <c r="B7" t="s">
        <v>168</v>
      </c>
      <c r="E7" t="s">
        <v>165</v>
      </c>
      <c r="G7" t="s">
        <v>39</v>
      </c>
      <c r="J7" t="s">
        <v>38</v>
      </c>
      <c r="K7" t="s">
        <v>39</v>
      </c>
      <c r="L7" t="s">
        <v>40</v>
      </c>
      <c r="N7" t="s">
        <v>75</v>
      </c>
    </row>
    <row r="8" spans="1:17" x14ac:dyDescent="0.25">
      <c r="A8" t="s">
        <v>41</v>
      </c>
      <c r="B8" t="s">
        <v>168</v>
      </c>
      <c r="G8" t="s">
        <v>39</v>
      </c>
      <c r="J8" t="s">
        <v>38</v>
      </c>
      <c r="K8" t="s">
        <v>39</v>
      </c>
      <c r="L8" t="s">
        <v>40</v>
      </c>
      <c r="N8" t="s">
        <v>75</v>
      </c>
    </row>
    <row r="9" spans="1:17" x14ac:dyDescent="0.25">
      <c r="A9" t="s">
        <v>48</v>
      </c>
      <c r="B9" t="s">
        <v>169</v>
      </c>
      <c r="J9" t="s">
        <v>38</v>
      </c>
      <c r="L9" t="s">
        <v>40</v>
      </c>
      <c r="N9" t="s">
        <v>120</v>
      </c>
    </row>
    <row r="10" spans="1:17" x14ac:dyDescent="0.25">
      <c r="A10" t="s">
        <v>53</v>
      </c>
      <c r="B10" t="s">
        <v>168</v>
      </c>
      <c r="H10" t="s">
        <v>57</v>
      </c>
      <c r="J10" t="s">
        <v>38</v>
      </c>
      <c r="N10" t="s">
        <v>170</v>
      </c>
    </row>
    <row r="11" spans="1:17" x14ac:dyDescent="0.25">
      <c r="A11" t="s">
        <v>59</v>
      </c>
      <c r="B11" t="s">
        <v>168</v>
      </c>
      <c r="H11" t="s">
        <v>57</v>
      </c>
      <c r="L11" t="s">
        <v>62</v>
      </c>
    </row>
    <row r="12" spans="1:17" x14ac:dyDescent="0.25">
      <c r="A12" t="s">
        <v>64</v>
      </c>
      <c r="B12" t="s">
        <v>168</v>
      </c>
      <c r="H12" t="s">
        <v>57</v>
      </c>
      <c r="L12" t="s">
        <v>62</v>
      </c>
      <c r="N12" t="s">
        <v>129</v>
      </c>
    </row>
    <row r="13" spans="1:17" x14ac:dyDescent="0.25">
      <c r="A13" t="s">
        <v>68</v>
      </c>
      <c r="B13" t="s">
        <v>171</v>
      </c>
      <c r="F13" t="s">
        <v>172</v>
      </c>
      <c r="H13" t="s">
        <v>57</v>
      </c>
      <c r="K13" t="s">
        <v>172</v>
      </c>
      <c r="L13" t="s">
        <v>71</v>
      </c>
      <c r="N13" t="s">
        <v>172</v>
      </c>
    </row>
    <row r="14" spans="1:17" x14ac:dyDescent="0.25">
      <c r="A14" t="s">
        <v>72</v>
      </c>
      <c r="B14" t="s">
        <v>171</v>
      </c>
      <c r="F14" t="s">
        <v>172</v>
      </c>
      <c r="K14" t="s">
        <v>172</v>
      </c>
      <c r="L14" t="s">
        <v>173</v>
      </c>
      <c r="N14" t="s">
        <v>174</v>
      </c>
    </row>
    <row r="15" spans="1:17" x14ac:dyDescent="0.25">
      <c r="A15" t="s">
        <v>76</v>
      </c>
      <c r="B15" t="s">
        <v>168</v>
      </c>
      <c r="L15" t="s">
        <v>71</v>
      </c>
      <c r="N15" t="s">
        <v>63</v>
      </c>
    </row>
    <row r="16" spans="1:17" x14ac:dyDescent="0.25">
      <c r="A16" t="s">
        <v>80</v>
      </c>
      <c r="B16" t="s">
        <v>175</v>
      </c>
    </row>
    <row r="17" spans="1:18" x14ac:dyDescent="0.25">
      <c r="A17" t="s">
        <v>87</v>
      </c>
      <c r="B17" t="s">
        <v>168</v>
      </c>
    </row>
    <row r="18" spans="1:18" x14ac:dyDescent="0.25">
      <c r="A18" t="s">
        <v>89</v>
      </c>
      <c r="B18" t="s">
        <v>176</v>
      </c>
      <c r="C18" t="s">
        <v>177</v>
      </c>
      <c r="D18" t="s">
        <v>176</v>
      </c>
      <c r="F18" t="s">
        <v>177</v>
      </c>
      <c r="G18" t="s">
        <v>137</v>
      </c>
      <c r="J18" t="s">
        <v>177</v>
      </c>
      <c r="K18" t="s">
        <v>92</v>
      </c>
      <c r="L18" t="s">
        <v>177</v>
      </c>
      <c r="M18" t="s">
        <v>92</v>
      </c>
      <c r="N18" t="s">
        <v>92</v>
      </c>
    </row>
    <row r="19" spans="1:18" x14ac:dyDescent="0.25">
      <c r="A19" t="s">
        <v>93</v>
      </c>
      <c r="C19" t="s">
        <v>94</v>
      </c>
      <c r="E19" t="s">
        <v>95</v>
      </c>
      <c r="N19" t="s">
        <v>96</v>
      </c>
    </row>
    <row r="20" spans="1:18" x14ac:dyDescent="0.25">
      <c r="A20" t="s">
        <v>97</v>
      </c>
      <c r="E20" t="s">
        <v>95</v>
      </c>
    </row>
    <row r="21" spans="1:18" x14ac:dyDescent="0.25">
      <c r="A21" t="s">
        <v>98</v>
      </c>
      <c r="E21" t="s">
        <v>95</v>
      </c>
    </row>
    <row r="24" spans="1:18" x14ac:dyDescent="0.25">
      <c r="A24" t="s">
        <v>99</v>
      </c>
      <c r="B24">
        <f t="shared" ref="B24:Q24" si="0">ROUND(COUNTIF(B2:B19,"&lt;&gt;")/18,4)</f>
        <v>0.88890000000000002</v>
      </c>
      <c r="C24">
        <f t="shared" si="0"/>
        <v>0.22220000000000001</v>
      </c>
      <c r="D24">
        <f t="shared" si="0"/>
        <v>0.27779999999999999</v>
      </c>
      <c r="E24">
        <f t="shared" si="0"/>
        <v>0.38890000000000002</v>
      </c>
      <c r="F24">
        <f t="shared" si="0"/>
        <v>0.33329999999999999</v>
      </c>
      <c r="G24">
        <f t="shared" si="0"/>
        <v>0.33329999999999999</v>
      </c>
      <c r="H24">
        <f t="shared" si="0"/>
        <v>0.27779999999999999</v>
      </c>
      <c r="I24">
        <f t="shared" si="0"/>
        <v>0.1111</v>
      </c>
      <c r="J24">
        <f t="shared" si="0"/>
        <v>0.44440000000000002</v>
      </c>
      <c r="K24">
        <f t="shared" si="0"/>
        <v>0.44440000000000002</v>
      </c>
      <c r="L24">
        <f t="shared" si="0"/>
        <v>0.72219999999999995</v>
      </c>
      <c r="M24">
        <f t="shared" si="0"/>
        <v>0.22220000000000001</v>
      </c>
      <c r="N24">
        <f t="shared" si="0"/>
        <v>0.77780000000000005</v>
      </c>
      <c r="O24">
        <f t="shared" si="0"/>
        <v>5.5599999999999997E-2</v>
      </c>
      <c r="P24">
        <f t="shared" si="0"/>
        <v>0.1111</v>
      </c>
      <c r="Q24">
        <f t="shared" si="0"/>
        <v>0</v>
      </c>
    </row>
    <row r="27" spans="1:18" x14ac:dyDescent="0.25">
      <c r="A27" t="s">
        <v>100</v>
      </c>
      <c r="B27" t="s">
        <v>101</v>
      </c>
      <c r="C27" t="s">
        <v>2</v>
      </c>
      <c r="D27" t="s">
        <v>3</v>
      </c>
      <c r="E27" t="s">
        <v>4</v>
      </c>
      <c r="F27" t="s">
        <v>102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103</v>
      </c>
      <c r="N27" t="s">
        <v>13</v>
      </c>
      <c r="O27" t="s">
        <v>14</v>
      </c>
      <c r="P27" t="s">
        <v>15</v>
      </c>
      <c r="Q27" t="s">
        <v>16</v>
      </c>
      <c r="R27" t="s">
        <v>104</v>
      </c>
    </row>
    <row r="28" spans="1:18" x14ac:dyDescent="0.25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HYPERLINK("https://app.clickup.com/t/869474qb4", "[internal projects] Commit code to GitHub")</f>
        <v>[internal projects] Commit code to GitHub</v>
      </c>
      <c r="J28" t="str">
        <f>HYPERLINK("https://app.clickup.com/t/8696q3a3m", "[internal projects] Team Skills")</f>
        <v>[internal projects] Team Skills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29" spans="1:18" x14ac:dyDescent="0.25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HYPERLINK("https://app.clickup.com/t/8696twz3v", "[discovery invest - dw maintenance] Glue - code and data")</f>
        <v>[discovery invest - dw maintenance] Glue - code and data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9" t="str">
        <f>HYPERLINK("https://app.clickup.com/t/8696kqh8k", "[internal projects] Tableau server Microsoft Teams app set up")</f>
        <v>[internal projects] Tableau server Microsoft Teams app set up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29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0" spans="1:18" x14ac:dyDescent="0.25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HYPERLINK("https://app.clickup.com/t/8696twz3v", "[discovery invest - dw maintenance] Glue - code and data")</f>
        <v>[discovery invest - dw maintenance] Glue - code and data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HYPERLINK("https://app.clickup.com/t/8696twreb", "[discovery invest - dw maintenance] Solution Design Doc")</f>
        <v>[discovery invest - dw maintenance] Solution Design Doc</v>
      </c>
      <c r="H30" t="str">
        <f>HYPERLINK("https://app.clickup.com/t/86931cq82", "[certification] Alteryx")</f>
        <v>[certification] Alteryx</v>
      </c>
      <c r="J30" t="str">
        <f>HYPERLINK("https://app.clickup.com/t/869474qb4", "[internal projects] Commit code to GitHub")</f>
        <v>[internal projects] Commit code to GitHub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HYPERLINK("https://app.clickup.com/t/8698jrq3g", "[slipstream - data warehouse solution - git (productization)] Orchestration")</f>
        <v>[slipstream - data warehouse solution - git (productization)] Orchestration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1" spans="1:18" x14ac:dyDescent="0.25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HYPERLINK("https://app.clickup.com/t/8696twxhf", "[discovery invest - dw maintenance] Handover of All reports")</f>
        <v>[discovery invest - dw maintenance] Handover of All reports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HYPERLINK("https://app.clickup.com/t/8696twqcc", "[discovery invest - dw maintenance] Discovery OPS Doc")</f>
        <v>[discovery invest - dw maintenance] Discovery OPS Doc</v>
      </c>
      <c r="J31" t="str">
        <f>HYPERLINK("https://app.clickup.com/t/869b1u7qn", "[freshdesk] 1416 Unable to assign creator license keys to users")</f>
        <v>[freshdesk] 1416 Unable to assign creator license keys to users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HYPERLINK("https://app.clickup.com/t/869a5344p", "[freshdesk] Documentation")</f>
        <v>[freshdesk] Documentation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HYPERLINK("https://app.clickup.com/t/869ag79ab", "[internal projects] Test Framework UAT doc")</f>
        <v>[internal projects] Test Framework UAT doc</v>
      </c>
    </row>
    <row r="32" spans="1:18" x14ac:dyDescent="0.25">
      <c r="B32" t="str">
        <f>HYPERLINK("https://app.clickup.com/t/869ajmcbk", "[discovery invest - dw maintenance] Sessions")</f>
        <v>[discovery invest - dw maintenance] Sessions</v>
      </c>
      <c r="C32" t="str">
        <f>HYPERLINK("https://app.clickup.com/t/869b1u7qm", "[freshdesk] 1417 Import Bond curve for TB market valuations")</f>
        <v>[freshdesk] 1417 Import Bond curve for TB market valuations</v>
      </c>
      <c r="D32" t="str">
        <f>HYPERLINK("https://app.clickup.com/t/869auvubk", "[architecture refactor - python reports] Prod")</f>
        <v>[architecture refactor - python reports] Prod</v>
      </c>
      <c r="F32" t="str">
        <f>HYPERLINK("https://app.clickup.com/t/869474qb4", "[internal projects] Commit code to GitHub")</f>
        <v>[internal projects] Commit code to GitHub</v>
      </c>
      <c r="G32" t="str">
        <f>HYPERLINK("https://app.clickup.com/t/8696c93m9", "[discovery invest - dw maintenance] Change LAst_seed_Process = 2 for 7 tables")</f>
        <v>[discovery invest - dw maintenance] Change LAst_seed_Process = 2 for 7 tables</v>
      </c>
      <c r="J32" t="str">
        <f>HYPERLINK("https://app.clickup.com/t/869awubkk", "[freshdesk] 1412 AWS 2.0: Athena Native Connector Set up")</f>
        <v>[freshdesk] 1412 AWS 2.0: Athena Native Connector Set up</v>
      </c>
      <c r="K32" t="str">
        <f>HYPERLINK("https://app.clickup.com/t/869ajmcbk", "[discovery invest - dw maintenance] Sessions")</f>
        <v>[discovery invest - dw maintenance] Sessions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HYPERLINK("https://app.clickup.com/t/869a70f9p", "[internal projects] Billed VS Invoiced VS SLA")</f>
        <v>[internal projects] Billed VS Invoiced VS SLA</v>
      </c>
    </row>
    <row r="33" spans="2:18" x14ac:dyDescent="0.25">
      <c r="B33" t="str">
        <f>HYPERLINK("https://app.clickup.com/t/8698cw2xw", "[discovery invest - dw maintenance] Productionise")</f>
        <v>[discovery invest - dw maintenance] Productionise</v>
      </c>
      <c r="C33" t="str">
        <f>HYPERLINK("https://app.clickup.com/t/869ahmf7u", "[certification] Salesforce Certified Agentforce Specialist")</f>
        <v>[certification] Salesforce Certified Agentforce Specialist</v>
      </c>
      <c r="D33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3" t="str">
        <f>HYPERLINK("https://app.clickup.com/t/86931cq56", "[certification] Snowflake")</f>
        <v>[certification] Snowflake</v>
      </c>
      <c r="J33" t="str">
        <f>HYPERLINK("https://app.clickup.com/t/8698rmb2r", "[certification] AWS Certified Solutions Architect - Associate")</f>
        <v>[certification] AWS Certified Solutions Architect - Associate</v>
      </c>
      <c r="K33" t="str">
        <f>HYPERLINK("https://app.clickup.com/t/86971xvd4", "[discovery invest - dw maintenance] Run the file extracts")</f>
        <v>[discovery invest - dw maintenance] Run the file extracts</v>
      </c>
      <c r="L33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HYPERLINK("https://app.clickup.com/t/8697xudfa", "[internal projects] Income statement dashboard")</f>
        <v>[internal projects] Income statement dashboard</v>
      </c>
    </row>
    <row r="34" spans="2:18" x14ac:dyDescent="0.25">
      <c r="B34" t="str">
        <f>HYPERLINK("https://app.clickup.com/t/8698cw2xj", "[discovery invest - dw maintenance] Fix reports to desired state")</f>
        <v>[discovery invest - dw maintenance] Fix reports to desired state</v>
      </c>
      <c r="C34" t="str">
        <f>HYPERLINK("https://app.clickup.com/t/869ab1fx3", "[certification] AWS Data Engineer - Associate")</f>
        <v>[certification] AWS Data Engineer - Associate</v>
      </c>
      <c r="D34" t="str">
        <f>HYPERLINK("https://app.clickup.com/t/8698aqwqc", "[architecture refactor - python reports] Test complete process for scripts")</f>
        <v>[architecture refactor - python reports] Test complete process for scripts</v>
      </c>
      <c r="F34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J34" t="str">
        <f>HYPERLINK("https://app.clickup.com/t/869b23uw3", "[wonga: data warehouse development &amp; migration onto snowflake project] TransUnion Request")</f>
        <v>[wonga: data warehouse development &amp; migration onto snowflake project] TransUnion Request</v>
      </c>
      <c r="K34" t="str">
        <f>HYPERLINK("https://app.clickup.com/t/86971xv4x", "[discovery invest - dw maintenance] Validating the marts")</f>
        <v>[discovery invest - dw maintenance] Validating the marts</v>
      </c>
      <c r="L34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HYPERLINK("https://app.clickup.com/t/8697t8mu2", "[internal projects] Sales Dashboard Additional requirements")</f>
        <v>[internal projects] Sales Dashboard Additional requirements</v>
      </c>
    </row>
    <row r="35" spans="2:18" x14ac:dyDescent="0.25">
      <c r="B35" t="str">
        <f>HYPERLINK("https://app.clickup.com/t/8696twxyk", "[discovery invest - dw maintenance] Handover of All Documentation")</f>
        <v>[discovery invest - dw maintenance] Handover of All Documentation</v>
      </c>
      <c r="C35" t="str">
        <f>HYPERLINK("https://app.clickup.com/t/8694x2b1k", "[certification] Alteryx Designer Advanced")</f>
        <v>[certification] Alteryx Designer Advanced</v>
      </c>
      <c r="D35" t="str">
        <f>HYPERLINK("https://app.clickup.com/t/869894kbr", "[architecture refactor - python reports] Setup Winpython on dev and Prod Server")</f>
        <v>[architecture refactor - python reports] Setup Winpython on dev and Prod Server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5" t="str">
        <f>HYPERLINK("https://app.clickup.com/t/869b23t30", "[wonga: data warehouse development &amp; migration onto snowflake project] AHV Request Static")</f>
        <v>[wonga: data warehouse development &amp; migration onto snowflake project] AHV Request Static</v>
      </c>
      <c r="K35" t="str">
        <f>HYPERLINK("https://app.clickup.com/t/86971xv04", "[discovery invest - dw maintenance] Run mart code")</f>
        <v>[discovery invest - dw maintenance] Run mart code</v>
      </c>
      <c r="L35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HYPERLINK("https://app.clickup.com/t/8697my8gd", "[internal projects] Financial and Sales Dashboard enhancement")</f>
        <v>[internal projects] Financial and Sales Dashboard enhancement</v>
      </c>
    </row>
    <row r="36" spans="2:18" x14ac:dyDescent="0.25">
      <c r="B36" t="str">
        <f>HYPERLINK("https://app.clickup.com/t/8696twxhf", "[discovery invest - dw maintenance] Handover of All reports")</f>
        <v>[discovery invest - dw maintenance] Handover of All reports</v>
      </c>
      <c r="C36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D36" t="str">
        <f>HYPERLINK("https://app.clickup.com/t/869894fku", "[architecture refactor - python reports] Configure the GIT repository process")</f>
        <v>[architecture refactor - python reports] Configure the GIT repository process</v>
      </c>
      <c r="J36" t="str">
        <f>HYPERLINK("https://app.clickup.com/t/869b23rbj", "[wonga: data warehouse development &amp; migration onto snowflake project] SMS Message")</f>
        <v>[wonga: data warehouse development &amp; migration onto snowflake project] SMS Message</v>
      </c>
      <c r="K36" t="str">
        <f>HYPERLINK("https://app.clickup.com/t/86971xur8", "[discovery invest - dw maintenance] Run implied deletes code")</f>
        <v>[discovery invest - dw maintenance] Run implied deletes code</v>
      </c>
      <c r="R36" t="str">
        <f>HYPERLINK("https://app.clickup.com/t/8696yar98", "[internal projects] Resource Utilization Dashboard Refinements")</f>
        <v>[internal projects] Resource Utilization Dashboard Refinements</v>
      </c>
    </row>
    <row r="37" spans="2:18" x14ac:dyDescent="0.25">
      <c r="B37" t="str">
        <f>HYPERLINK("https://app.clickup.com/t/8696twreb", "[discovery invest - dw maintenance] Solution Design Doc")</f>
        <v>[discovery invest - dw maintenance] Solution Design Doc</v>
      </c>
      <c r="C37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D37" t="str">
        <f>HYPERLINK("https://app.clickup.com/t/869b1abzz", "[wonga: data warehouse development &amp; migration onto snowflake project] View - ApplicationOrigin")</f>
        <v>[wonga: data warehouse development &amp; migration onto snowflake project] View - ApplicationOrigin</v>
      </c>
      <c r="J37" t="str">
        <f>HYPERLINK("https://app.clickup.com/t/869b23qxv", "[wonga: data warehouse development &amp; migration onto snowflake project] Score Card Model Results")</f>
        <v>[wonga: data warehouse development &amp; migration onto snowflake project] Score Card Model Results</v>
      </c>
      <c r="K37" t="str">
        <f>HYPERLINK("https://app.clickup.com/t/86971xtt3", "[discovery invest - dw maintenance] Validating the DWH")</f>
        <v>[discovery invest - dw maintenance] Validating the DWH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HYPERLINK("https://app.clickup.com/t/8696u6wyy", "[internal projects] Alteryx Server SLA Report process")</f>
        <v>[internal projects] Alteryx Server SLA Report process</v>
      </c>
    </row>
    <row r="38" spans="2:18" x14ac:dyDescent="0.25">
      <c r="B38" t="str">
        <f>HYPERLINK("https://app.clickup.com/t/8696twqcc", "[discovery invest - dw maintenance] Discovery OPS Doc")</f>
        <v>[discovery invest - dw maintenance] Discovery OPS Doc</v>
      </c>
      <c r="C38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D38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J38" t="str">
        <f>HYPERLINK("https://app.clickup.com/t/869aq2vj8", "[wonga: data warehouse development &amp; migration onto snowflake project] Test run")</f>
        <v>[wonga: data warehouse development &amp; migration onto snowflake project] Test run</v>
      </c>
      <c r="K38" t="str">
        <f>HYPERLINK("https://app.clickup.com/t/8696twxyk", "[discovery invest - dw maintenance] Handover of All Documentation")</f>
        <v>[discovery invest - dw maintenance] Handover of All Documentation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HYPERLINK("https://app.clickup.com/t/8695mj63r", "[internal projects] Shoprite B2B SLA Document")</f>
        <v>[internal projects] Shoprite B2B SLA Document</v>
      </c>
    </row>
    <row r="39" spans="2:18" x14ac:dyDescent="0.25">
      <c r="B39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D39" t="str">
        <f>HYPERLINK("https://app.clickup.com/t/869abhe3r", "[wonga: data warehouse development &amp; migration onto snowflake project] Conform logging to audit structure")</f>
        <v>[wonga: data warehouse development &amp; migration onto snowflake project] Conform logging to audit structure</v>
      </c>
      <c r="J39" t="str">
        <f>HYPERLINK("https://app.clickup.com/t/869aq2udy", "[wonga: data warehouse development &amp; migration onto snowflake project] Historic data load into data lake")</f>
        <v>[wonga: data warehouse development &amp; migration onto snowflake project] Historic data load into data lake</v>
      </c>
      <c r="K39" t="str">
        <f>HYPERLINK("https://app.clickup.com/t/8696twrv7", "[discovery invest - dw maintenance] Extract Sign-Off Document")</f>
        <v>[discovery invest - dw maintenance] Extract Sign-Off Document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HYPERLINK("https://app.clickup.com/t/869474qb4", "[internal projects] Commit code to GitHub")</f>
        <v>[internal projects] Commit code to GitHub</v>
      </c>
    </row>
    <row r="40" spans="2:18" x14ac:dyDescent="0.25">
      <c r="B40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D40" t="str">
        <f>HYPERLINK("https://app.clickup.com/t/8699zp9n0", "[wonga: data warehouse development &amp; migration onto snowflake project] Productionizing process to move data from RAW to DATALAKE")</f>
        <v>[wonga: data warehouse development &amp; migration onto snowflake project] Productionizing process to move data from RAW to DATALAKE</v>
      </c>
      <c r="K40" t="str">
        <f>HYPERLINK("https://app.clickup.com/t/8696twreb", "[discovery invest - dw maintenance] Solution Design Doc")</f>
        <v>[discovery invest - dw maintenance] Solution Design Doc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HYPERLINK("https://app.clickup.com/t/869agp147", "[certification] Snowflake Sales Professional")</f>
        <v>[certification] Snowflake Sales Professional</v>
      </c>
    </row>
    <row r="41" spans="2:18" x14ac:dyDescent="0.25">
      <c r="B41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41" t="str">
        <f>HYPERLINK("https://app.clickup.com/t/8696twqcc", "[discovery invest - dw maintenance] Discovery OPS Doc")</f>
        <v>[discovery invest - dw maintenance] Discovery OPS Doc</v>
      </c>
      <c r="R41" t="str">
        <f>HYPERLINK("https://app.clickup.com/t/869agp0uz", "[certification] Snowflake Technical Sales Professional")</f>
        <v>[certification] Snowflake Technical Sales Professional</v>
      </c>
    </row>
    <row r="42" spans="2:18" x14ac:dyDescent="0.25">
      <c r="B4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2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R42" t="str">
        <f>HYPERLINK("https://app.clickup.com/t/869af829t", "[certification] Salesforce Certified Agentforce Specialist")</f>
        <v>[certification] Salesforce Certified Agentforce Specialist</v>
      </c>
    </row>
    <row r="43" spans="2:18" x14ac:dyDescent="0.25">
      <c r="K43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R43" t="str">
        <f>HYPERLINK("https://app.clickup.com/t/869af7qma", "[certification] SnowPro Core")</f>
        <v>[certification] SnowPro Core</v>
      </c>
    </row>
    <row r="44" spans="2:18" x14ac:dyDescent="0.25">
      <c r="K44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R44" t="str">
        <f>HYPERLINK("https://app.clickup.com/t/869af7nme", "[certification] AWS Certified Solutions Architect - Associate")</f>
        <v>[certification] AWS Certified Solutions Architect - Associate</v>
      </c>
    </row>
    <row r="45" spans="2:18" x14ac:dyDescent="0.25">
      <c r="K45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5" t="str">
        <f>HYPERLINK("https://app.clickup.com/t/869ab9g7u", "[certification] AWS Data Engineer - Associate")</f>
        <v>[certification] AWS Data Engineer - Associate</v>
      </c>
    </row>
    <row r="46" spans="2:18" x14ac:dyDescent="0.25">
      <c r="K46" t="str">
        <f>HYPERLINK("https://app.clickup.com/t/869a0c8wn", "[wonga: data warehouse development &amp; migration onto snowflake project] Finance report analysis for source field mappings")</f>
        <v>[wonga: data warehouse development &amp; migration onto snowflake project] Finance report analysis for source field mappings</v>
      </c>
      <c r="R46" t="str">
        <f>HYPERLINK("https://app.clickup.com/t/8698cw2xw", "[discovery invest - dw maintenance] Productionise")</f>
        <v>[discovery invest - dw maintenance] Productionise</v>
      </c>
    </row>
    <row r="47" spans="2:18" x14ac:dyDescent="0.25">
      <c r="K47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2:18" x14ac:dyDescent="0.25">
      <c r="K48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1:18" x14ac:dyDescent="0.25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1:18" x14ac:dyDescent="0.25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1:18" x14ac:dyDescent="0.25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1:18" x14ac:dyDescent="0.25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3" spans="11:18" x14ac:dyDescent="0.25">
      <c r="R53" t="str">
        <f>HYPERLINK("https://app.clickup.com/t/869b1x8cc", "[architecture refactor - python reports] Set up protection ruleset for dev")</f>
        <v>[architecture refactor - python reports] Set up protection ruleset for dev</v>
      </c>
    </row>
    <row r="54" spans="11:18" x14ac:dyDescent="0.25">
      <c r="R54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55" spans="11:18" x14ac:dyDescent="0.25">
      <c r="R55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</row>
    <row r="56" spans="11:18" x14ac:dyDescent="0.25">
      <c r="R56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</row>
    <row r="57" spans="11:18" x14ac:dyDescent="0.25">
      <c r="R57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58" spans="11:18" x14ac:dyDescent="0.25">
      <c r="R58" t="str">
        <f>HYPERLINK("https://app.clickup.com/t/869apxty7", "[wonga: data warehouse development &amp; migration onto snowflake project] Fact_Debt_Sale_Snapshot")</f>
        <v>[wonga: data warehouse development &amp; migration onto snowflake project] Fact_Debt_Sale_Snapshot</v>
      </c>
    </row>
    <row r="59" spans="11:18" x14ac:dyDescent="0.25">
      <c r="R5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9"/>
  <sheetViews>
    <sheetView workbookViewId="0"/>
  </sheetViews>
  <sheetFormatPr defaultRowHeight="15" x14ac:dyDescent="0.25"/>
  <cols>
    <col min="1" max="1" width="20" customWidth="1"/>
    <col min="2" max="4" width="50" customWidth="1"/>
    <col min="5" max="5" width="37" customWidth="1"/>
    <col min="6" max="12" width="50" customWidth="1"/>
    <col min="13" max="13" width="35" customWidth="1"/>
    <col min="14" max="16" width="50" customWidth="1"/>
    <col min="17" max="17" width="35" customWidth="1"/>
    <col min="18" max="18" width="5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E2" t="s">
        <v>105</v>
      </c>
      <c r="I2" t="s">
        <v>18</v>
      </c>
      <c r="L2" t="s">
        <v>19</v>
      </c>
    </row>
    <row r="3" spans="1:17" x14ac:dyDescent="0.25">
      <c r="A3" t="s">
        <v>21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</row>
    <row r="4" spans="1:17" x14ac:dyDescent="0.25">
      <c r="A4" t="s">
        <v>24</v>
      </c>
      <c r="B4" t="s">
        <v>92</v>
      </c>
      <c r="D4" t="s">
        <v>92</v>
      </c>
      <c r="E4" t="s">
        <v>55</v>
      </c>
      <c r="G4" t="s">
        <v>92</v>
      </c>
      <c r="K4" t="s">
        <v>92</v>
      </c>
      <c r="M4" t="s">
        <v>92</v>
      </c>
      <c r="N4" t="s">
        <v>178</v>
      </c>
    </row>
    <row r="5" spans="1:17" x14ac:dyDescent="0.25">
      <c r="A5" t="s">
        <v>28</v>
      </c>
      <c r="G5" t="s">
        <v>29</v>
      </c>
      <c r="N5" t="s">
        <v>75</v>
      </c>
    </row>
    <row r="6" spans="1:17" x14ac:dyDescent="0.25">
      <c r="A6" t="s">
        <v>30</v>
      </c>
      <c r="B6" t="s">
        <v>179</v>
      </c>
      <c r="D6" t="s">
        <v>32</v>
      </c>
      <c r="E6" t="s">
        <v>180</v>
      </c>
      <c r="J6" t="s">
        <v>32</v>
      </c>
      <c r="L6" t="s">
        <v>112</v>
      </c>
      <c r="N6" t="s">
        <v>75</v>
      </c>
    </row>
    <row r="7" spans="1:17" x14ac:dyDescent="0.25">
      <c r="A7" t="s">
        <v>35</v>
      </c>
      <c r="E7" t="s">
        <v>180</v>
      </c>
      <c r="J7" t="s">
        <v>38</v>
      </c>
      <c r="L7" t="s">
        <v>40</v>
      </c>
      <c r="N7" t="s">
        <v>75</v>
      </c>
    </row>
    <row r="8" spans="1:17" x14ac:dyDescent="0.25">
      <c r="A8" t="s">
        <v>41</v>
      </c>
      <c r="B8" t="s">
        <v>181</v>
      </c>
      <c r="D8" t="s">
        <v>181</v>
      </c>
      <c r="J8" t="s">
        <v>38</v>
      </c>
      <c r="L8" t="s">
        <v>40</v>
      </c>
      <c r="N8" t="s">
        <v>182</v>
      </c>
    </row>
    <row r="9" spans="1:17" x14ac:dyDescent="0.25">
      <c r="A9" t="s">
        <v>48</v>
      </c>
      <c r="B9" t="s">
        <v>181</v>
      </c>
      <c r="D9" t="s">
        <v>181</v>
      </c>
      <c r="J9" t="s">
        <v>38</v>
      </c>
      <c r="L9" t="s">
        <v>40</v>
      </c>
    </row>
    <row r="10" spans="1:17" x14ac:dyDescent="0.25">
      <c r="A10" t="s">
        <v>53</v>
      </c>
      <c r="B10" t="s">
        <v>183</v>
      </c>
      <c r="D10" t="s">
        <v>181</v>
      </c>
      <c r="G10" t="s">
        <v>184</v>
      </c>
      <c r="H10" t="s">
        <v>57</v>
      </c>
      <c r="J10" t="s">
        <v>38</v>
      </c>
      <c r="K10" t="s">
        <v>184</v>
      </c>
      <c r="N10" t="s">
        <v>184</v>
      </c>
    </row>
    <row r="11" spans="1:17" x14ac:dyDescent="0.25">
      <c r="A11" t="s">
        <v>59</v>
      </c>
      <c r="B11" t="s">
        <v>181</v>
      </c>
      <c r="D11" t="s">
        <v>181</v>
      </c>
      <c r="H11" t="s">
        <v>57</v>
      </c>
      <c r="L11" t="s">
        <v>62</v>
      </c>
    </row>
    <row r="12" spans="1:17" x14ac:dyDescent="0.25">
      <c r="A12" t="s">
        <v>64</v>
      </c>
      <c r="H12" t="s">
        <v>57</v>
      </c>
      <c r="L12" t="s">
        <v>62</v>
      </c>
      <c r="N12" t="s">
        <v>129</v>
      </c>
    </row>
    <row r="13" spans="1:17" x14ac:dyDescent="0.25">
      <c r="A13" t="s">
        <v>68</v>
      </c>
      <c r="H13" t="s">
        <v>57</v>
      </c>
      <c r="L13" t="s">
        <v>71</v>
      </c>
      <c r="N13" t="s">
        <v>63</v>
      </c>
    </row>
    <row r="14" spans="1:17" x14ac:dyDescent="0.25">
      <c r="A14" t="s">
        <v>72</v>
      </c>
      <c r="L14" t="s">
        <v>71</v>
      </c>
      <c r="N14" t="s">
        <v>120</v>
      </c>
    </row>
    <row r="15" spans="1:17" x14ac:dyDescent="0.25">
      <c r="A15" t="s">
        <v>76</v>
      </c>
      <c r="L15" t="s">
        <v>71</v>
      </c>
    </row>
    <row r="16" spans="1:17" x14ac:dyDescent="0.25">
      <c r="A16" t="s">
        <v>80</v>
      </c>
      <c r="B16" t="s">
        <v>185</v>
      </c>
      <c r="C16" t="s">
        <v>185</v>
      </c>
      <c r="D16" t="s">
        <v>185</v>
      </c>
      <c r="E16" t="s">
        <v>185</v>
      </c>
      <c r="F16" t="s">
        <v>185</v>
      </c>
      <c r="G16" t="s">
        <v>185</v>
      </c>
      <c r="H16" t="s">
        <v>185</v>
      </c>
      <c r="I16" t="s">
        <v>185</v>
      </c>
      <c r="J16" t="s">
        <v>185</v>
      </c>
      <c r="K16" t="s">
        <v>185</v>
      </c>
      <c r="L16" t="s">
        <v>185</v>
      </c>
      <c r="M16" t="s">
        <v>185</v>
      </c>
      <c r="N16" t="s">
        <v>185</v>
      </c>
      <c r="O16" t="s">
        <v>185</v>
      </c>
      <c r="P16" t="s">
        <v>185</v>
      </c>
    </row>
    <row r="17" spans="1:18" x14ac:dyDescent="0.25">
      <c r="A17" t="s">
        <v>87</v>
      </c>
      <c r="B17" t="s">
        <v>185</v>
      </c>
      <c r="C17" t="s">
        <v>185</v>
      </c>
      <c r="D17" t="s">
        <v>185</v>
      </c>
      <c r="E17" t="s">
        <v>185</v>
      </c>
      <c r="F17" t="s">
        <v>185</v>
      </c>
      <c r="G17" t="s">
        <v>185</v>
      </c>
      <c r="H17" t="s">
        <v>185</v>
      </c>
      <c r="I17" t="s">
        <v>185</v>
      </c>
      <c r="J17" t="s">
        <v>185</v>
      </c>
      <c r="K17" t="s">
        <v>185</v>
      </c>
      <c r="L17" t="s">
        <v>185</v>
      </c>
      <c r="M17" t="s">
        <v>185</v>
      </c>
      <c r="N17" t="s">
        <v>185</v>
      </c>
      <c r="O17" t="s">
        <v>185</v>
      </c>
      <c r="P17" t="s">
        <v>185</v>
      </c>
    </row>
    <row r="18" spans="1:18" x14ac:dyDescent="0.25">
      <c r="A18" t="s">
        <v>89</v>
      </c>
      <c r="B18" t="s">
        <v>92</v>
      </c>
      <c r="D18" t="s">
        <v>92</v>
      </c>
      <c r="G18" t="s">
        <v>137</v>
      </c>
      <c r="K18" t="s">
        <v>92</v>
      </c>
      <c r="M18" t="s">
        <v>92</v>
      </c>
      <c r="N18" t="s">
        <v>92</v>
      </c>
    </row>
    <row r="19" spans="1:18" x14ac:dyDescent="0.25">
      <c r="A19" t="s">
        <v>93</v>
      </c>
      <c r="C19" t="s">
        <v>94</v>
      </c>
      <c r="N19" t="s">
        <v>96</v>
      </c>
    </row>
    <row r="20" spans="1:18" x14ac:dyDescent="0.25">
      <c r="A20" t="s">
        <v>97</v>
      </c>
    </row>
    <row r="21" spans="1:18" x14ac:dyDescent="0.25">
      <c r="A21" t="s">
        <v>98</v>
      </c>
    </row>
    <row r="24" spans="1:18" x14ac:dyDescent="0.25">
      <c r="A24" t="s">
        <v>99</v>
      </c>
      <c r="B24">
        <f t="shared" ref="B24:Q24" si="0">ROUND(COUNTIF(B2:B19,"&lt;&gt;")/18,4)</f>
        <v>0.55559999999999998</v>
      </c>
      <c r="C24">
        <f t="shared" si="0"/>
        <v>0.22220000000000001</v>
      </c>
      <c r="D24">
        <f t="shared" si="0"/>
        <v>0.55559999999999998</v>
      </c>
      <c r="E24">
        <f t="shared" si="0"/>
        <v>0.38890000000000002</v>
      </c>
      <c r="F24">
        <f t="shared" si="0"/>
        <v>0.16669999999999999</v>
      </c>
      <c r="G24">
        <f t="shared" si="0"/>
        <v>0.38890000000000002</v>
      </c>
      <c r="H24">
        <f t="shared" si="0"/>
        <v>0.38890000000000002</v>
      </c>
      <c r="I24">
        <f t="shared" si="0"/>
        <v>0.22220000000000001</v>
      </c>
      <c r="J24">
        <f t="shared" si="0"/>
        <v>0.44440000000000002</v>
      </c>
      <c r="K24">
        <f t="shared" si="0"/>
        <v>0.33329999999999999</v>
      </c>
      <c r="L24">
        <f t="shared" si="0"/>
        <v>0.72219999999999995</v>
      </c>
      <c r="M24">
        <f t="shared" si="0"/>
        <v>0.27779999999999999</v>
      </c>
      <c r="N24">
        <f t="shared" si="0"/>
        <v>0.77780000000000005</v>
      </c>
      <c r="O24">
        <f t="shared" si="0"/>
        <v>0.16669999999999999</v>
      </c>
      <c r="P24">
        <f t="shared" si="0"/>
        <v>0.16669999999999999</v>
      </c>
      <c r="Q24">
        <f t="shared" si="0"/>
        <v>0</v>
      </c>
    </row>
    <row r="27" spans="1:18" x14ac:dyDescent="0.25">
      <c r="A27" t="s">
        <v>100</v>
      </c>
      <c r="B27" t="s">
        <v>101</v>
      </c>
      <c r="C27" t="s">
        <v>2</v>
      </c>
      <c r="D27" t="s">
        <v>3</v>
      </c>
      <c r="E27" t="s">
        <v>4</v>
      </c>
      <c r="F27" t="s">
        <v>102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103</v>
      </c>
      <c r="N27" t="s">
        <v>13</v>
      </c>
      <c r="O27" t="s">
        <v>14</v>
      </c>
      <c r="P27" t="s">
        <v>15</v>
      </c>
      <c r="Q27" t="s">
        <v>16</v>
      </c>
      <c r="R27" t="s">
        <v>104</v>
      </c>
    </row>
    <row r="28" spans="1:18" x14ac:dyDescent="0.25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HYPERLINK("https://app.clickup.com/t/869474qb4", "[internal projects] Commit code to GitHub")</f>
        <v>[internal projects] Commit code to GitHub</v>
      </c>
      <c r="J28" t="str">
        <f>HYPERLINK("https://app.clickup.com/t/8696q3a3m", "[internal projects] Team Skills")</f>
        <v>[internal projects] Team Skills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29" spans="1:18" x14ac:dyDescent="0.25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HYPERLINK("https://app.clickup.com/t/8696twz3v", "[discovery invest - dw maintenance] Glue - code and data")</f>
        <v>[discovery invest - dw maintenance] Glue - code and data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9" t="str">
        <f>HYPERLINK("https://app.clickup.com/t/8696kqh8k", "[internal projects] Tableau server Microsoft Teams app set up")</f>
        <v>[internal projects] Tableau server Microsoft Teams app set up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29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0" spans="1:18" x14ac:dyDescent="0.25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HYPERLINK("https://app.clickup.com/t/8696twz3v", "[discovery invest - dw maintenance] Glue - code and data")</f>
        <v>[discovery invest - dw maintenance] Glue - code and data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HYPERLINK("https://app.clickup.com/t/8696twreb", "[discovery invest - dw maintenance] Solution Design Doc")</f>
        <v>[discovery invest - dw maintenance] Solution Design Doc</v>
      </c>
      <c r="H30" t="str">
        <f>HYPERLINK("https://app.clickup.com/t/86931cq82", "[certification] Alteryx")</f>
        <v>[certification] Alteryx</v>
      </c>
      <c r="J30" t="str">
        <f>HYPERLINK("https://app.clickup.com/t/869474qb4", "[internal projects] Commit code to GitHub")</f>
        <v>[internal projects] Commit code to GitHub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HYPERLINK("https://app.clickup.com/t/8698jrq3g", "[slipstream - data warehouse solution - git (productization)] Orchestration")</f>
        <v>[slipstream - data warehouse solution - git (productization)] Orchestration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1" spans="1:18" x14ac:dyDescent="0.25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HYPERLINK("https://app.clickup.com/t/8696twxhf", "[discovery invest - dw maintenance] Handover of All reports")</f>
        <v>[discovery invest - dw maintenance] Handover of All reports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HYPERLINK("https://app.clickup.com/t/8696twqcc", "[discovery invest - dw maintenance] Discovery OPS Doc")</f>
        <v>[discovery invest - dw maintenance] Discovery OPS Doc</v>
      </c>
      <c r="J31" t="str">
        <f>HYPERLINK("https://app.clickup.com/t/869b1u7qn", "[freshdesk] 1416 Unable to assign creator license keys to users")</f>
        <v>[freshdesk] 1416 Unable to assign creator license keys to users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HYPERLINK("https://app.clickup.com/t/869a5344p", "[freshdesk] Documentation")</f>
        <v>[freshdesk] Documentation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HYPERLINK("https://app.clickup.com/t/869ag79ab", "[internal projects] Test Framework UAT doc")</f>
        <v>[internal projects] Test Framework UAT doc</v>
      </c>
    </row>
    <row r="32" spans="1:18" x14ac:dyDescent="0.25">
      <c r="B32" t="str">
        <f>HYPERLINK("https://app.clickup.com/t/869ajmcbk", "[discovery invest - dw maintenance] Sessions")</f>
        <v>[discovery invest - dw maintenance] Sessions</v>
      </c>
      <c r="C32" t="str">
        <f>HYPERLINK("https://app.clickup.com/t/869b1u7qm", "[freshdesk] 1417 Import Bond curve for TB market valuations")</f>
        <v>[freshdesk] 1417 Import Bond curve for TB market valuations</v>
      </c>
      <c r="D32" t="str">
        <f>HYPERLINK("https://app.clickup.com/t/869auvubk", "[architecture refactor - python reports] Prod")</f>
        <v>[architecture refactor - python reports] Prod</v>
      </c>
      <c r="F32" t="str">
        <f>HYPERLINK("https://app.clickup.com/t/869474qb4", "[internal projects] Commit code to GitHub")</f>
        <v>[internal projects] Commit code to GitHub</v>
      </c>
      <c r="G32" t="str">
        <f>HYPERLINK("https://app.clickup.com/t/8696c93m9", "[discovery invest - dw maintenance] Change LAst_seed_Process = 2 for 7 tables")</f>
        <v>[discovery invest - dw maintenance] Change LAst_seed_Process = 2 for 7 tables</v>
      </c>
      <c r="J32" t="str">
        <f>HYPERLINK("https://app.clickup.com/t/869awubkk", "[freshdesk] 1412 AWS 2.0: Athena Native Connector Set up")</f>
        <v>[freshdesk] 1412 AWS 2.0: Athena Native Connector Set up</v>
      </c>
      <c r="K32" t="str">
        <f>HYPERLINK("https://app.clickup.com/t/869ajmcbk", "[discovery invest - dw maintenance] Sessions")</f>
        <v>[discovery invest - dw maintenance] Sessions</v>
      </c>
      <c r="L32" t="str">
        <f>HYPERLINK("https://app.clickup.com/t/869aafmh1", "[certification] AWS Data Engineer - Associate")</f>
        <v>[certification] AWS Data Engineer - Associate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HYPERLINK("https://app.clickup.com/t/869a70f9p", "[internal projects] Billed VS Invoiced VS SLA")</f>
        <v>[internal projects] Billed VS Invoiced VS SLA</v>
      </c>
    </row>
    <row r="33" spans="2:18" x14ac:dyDescent="0.25">
      <c r="B33" t="str">
        <f>HYPERLINK("https://app.clickup.com/t/8698cw2xw", "[discovery invest - dw maintenance] Productionise")</f>
        <v>[discovery invest - dw maintenance] Productionise</v>
      </c>
      <c r="C33" t="str">
        <f>HYPERLINK("https://app.clickup.com/t/869ahmf7u", "[certification] Salesforce Certified Agentforce Specialist")</f>
        <v>[certification] Salesforce Certified Agentforce Specialist</v>
      </c>
      <c r="D33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3" t="str">
        <f>HYPERLINK("https://app.clickup.com/t/86931cq56", "[certification] Snowflake")</f>
        <v>[certification] Snowflake</v>
      </c>
      <c r="J33" t="str">
        <f>HYPERLINK("https://app.clickup.com/t/8698rmb2r", "[certification] AWS Certified Solutions Architect - Associate")</f>
        <v>[certification] AWS Certified Solutions Architect - Associate</v>
      </c>
      <c r="K33" t="str">
        <f>HYPERLINK("https://app.clickup.com/t/86971xvd4", "[discovery invest - dw maintenance] Run the file extracts")</f>
        <v>[discovery invest - dw maintenance] Run the file extracts</v>
      </c>
      <c r="L33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HYPERLINK("https://app.clickup.com/t/8697xudfa", "[internal projects] Income statement dashboard")</f>
        <v>[internal projects] Income statement dashboard</v>
      </c>
    </row>
    <row r="34" spans="2:18" x14ac:dyDescent="0.25">
      <c r="B34" t="str">
        <f>HYPERLINK("https://app.clickup.com/t/8698cw2xj", "[discovery invest - dw maintenance] Fix reports to desired state")</f>
        <v>[discovery invest - dw maintenance] Fix reports to desired state</v>
      </c>
      <c r="C34" t="str">
        <f>HYPERLINK("https://app.clickup.com/t/869ab1fx3", "[certification] AWS Data Engineer - Associate")</f>
        <v>[certification] AWS Data Engineer - Associate</v>
      </c>
      <c r="D34" t="str">
        <f>HYPERLINK("https://app.clickup.com/t/8698aqwqc", "[architecture refactor - python reports] Test complete process for scripts")</f>
        <v>[architecture refactor - python reports] Test complete process for scripts</v>
      </c>
      <c r="F34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J34" t="str">
        <f>HYPERLINK("https://app.clickup.com/t/869b23uw3", "[wonga: data warehouse development &amp; migration onto snowflake project] TransUnion Request")</f>
        <v>[wonga: data warehouse development &amp; migration onto snowflake project] TransUnion Request</v>
      </c>
      <c r="K34" t="str">
        <f>HYPERLINK("https://app.clickup.com/t/86971xv4x", "[discovery invest - dw maintenance] Validating the marts")</f>
        <v>[discovery invest - dw maintenance] Validating the marts</v>
      </c>
      <c r="L34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HYPERLINK("https://app.clickup.com/t/8697t8mu2", "[internal projects] Sales Dashboard Additional requirements")</f>
        <v>[internal projects] Sales Dashboard Additional requirements</v>
      </c>
    </row>
    <row r="35" spans="2:18" x14ac:dyDescent="0.25">
      <c r="B35" t="str">
        <f>HYPERLINK("https://app.clickup.com/t/8696twxyk", "[discovery invest - dw maintenance] Handover of All Documentation")</f>
        <v>[discovery invest - dw maintenance] Handover of All Documentation</v>
      </c>
      <c r="C35" t="str">
        <f>HYPERLINK("https://app.clickup.com/t/8694x2b1k", "[certification] Alteryx Designer Advanced")</f>
        <v>[certification] Alteryx Designer Advanced</v>
      </c>
      <c r="D35" t="str">
        <f>HYPERLINK("https://app.clickup.com/t/869894kbr", "[architecture refactor - python reports] Setup Winpython on dev and Prod Server")</f>
        <v>[architecture refactor - python reports] Setup Winpython on dev and Prod Server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J35" t="str">
        <f>HYPERLINK("https://app.clickup.com/t/869b23t30", "[wonga: data warehouse development &amp; migration onto snowflake project] AHV Request Static")</f>
        <v>[wonga: data warehouse development &amp; migration onto snowflake project] AHV Request Static</v>
      </c>
      <c r="K35" t="str">
        <f>HYPERLINK("https://app.clickup.com/t/86971xv04", "[discovery invest - dw maintenance] Run mart code")</f>
        <v>[discovery invest - dw maintenance] Run mart code</v>
      </c>
      <c r="L35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HYPERLINK("https://app.clickup.com/t/8697my8gd", "[internal projects] Financial and Sales Dashboard enhancement")</f>
        <v>[internal projects] Financial and Sales Dashboard enhancement</v>
      </c>
    </row>
    <row r="36" spans="2:18" x14ac:dyDescent="0.25">
      <c r="B36" t="str">
        <f>HYPERLINK("https://app.clickup.com/t/8696twxhf", "[discovery invest - dw maintenance] Handover of All reports")</f>
        <v>[discovery invest - dw maintenance] Handover of All reports</v>
      </c>
      <c r="C36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D36" t="str">
        <f>HYPERLINK("https://app.clickup.com/t/869894fku", "[architecture refactor - python reports] Configure the GIT repository process")</f>
        <v>[architecture refactor - python reports] Configure the GIT repository process</v>
      </c>
      <c r="J36" t="str">
        <f>HYPERLINK("https://app.clickup.com/t/869b23rbj", "[wonga: data warehouse development &amp; migration onto snowflake project] SMS Message")</f>
        <v>[wonga: data warehouse development &amp; migration onto snowflake project] SMS Message</v>
      </c>
      <c r="K36" t="str">
        <f>HYPERLINK("https://app.clickup.com/t/86971xur8", "[discovery invest - dw maintenance] Run implied deletes code")</f>
        <v>[discovery invest - dw maintenance] Run implied deletes code</v>
      </c>
      <c r="R36" t="str">
        <f>HYPERLINK("https://app.clickup.com/t/8696yar98", "[internal projects] Resource Utilization Dashboard Refinements")</f>
        <v>[internal projects] Resource Utilization Dashboard Refinements</v>
      </c>
    </row>
    <row r="37" spans="2:18" x14ac:dyDescent="0.25">
      <c r="B37" t="str">
        <f>HYPERLINK("https://app.clickup.com/t/8696twreb", "[discovery invest - dw maintenance] Solution Design Doc")</f>
        <v>[discovery invest - dw maintenance] Solution Design Doc</v>
      </c>
      <c r="C37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D37" t="str">
        <f>HYPERLINK("https://app.clickup.com/t/869b1abzz", "[wonga: data warehouse development &amp; migration onto snowflake project] View - ApplicationOrigin")</f>
        <v>[wonga: data warehouse development &amp; migration onto snowflake project] View - ApplicationOrigin</v>
      </c>
      <c r="J37" t="str">
        <f>HYPERLINK("https://app.clickup.com/t/869b23qxv", "[wonga: data warehouse development &amp; migration onto snowflake project] Score Card Model Results")</f>
        <v>[wonga: data warehouse development &amp; migration onto snowflake project] Score Card Model Results</v>
      </c>
      <c r="K37" t="str">
        <f>HYPERLINK("https://app.clickup.com/t/86971xtt3", "[discovery invest - dw maintenance] Validating the DWH")</f>
        <v>[discovery invest - dw maintenance] Validating the DWH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HYPERLINK("https://app.clickup.com/t/8696u6wyy", "[internal projects] Alteryx Server SLA Report process")</f>
        <v>[internal projects] Alteryx Server SLA Report process</v>
      </c>
    </row>
    <row r="38" spans="2:18" x14ac:dyDescent="0.25">
      <c r="B38" t="str">
        <f>HYPERLINK("https://app.clickup.com/t/8696twqcc", "[discovery invest - dw maintenance] Discovery OPS Doc")</f>
        <v>[discovery invest - dw maintenance] Discovery OPS Doc</v>
      </c>
      <c r="C38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D38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J38" t="str">
        <f>HYPERLINK("https://app.clickup.com/t/869aq2vj8", "[wonga: data warehouse development &amp; migration onto snowflake project] Test run")</f>
        <v>[wonga: data warehouse development &amp; migration onto snowflake project] Test run</v>
      </c>
      <c r="K38" t="str">
        <f>HYPERLINK("https://app.clickup.com/t/8696twxyk", "[discovery invest - dw maintenance] Handover of All Documentation")</f>
        <v>[discovery invest - dw maintenance] Handover of All Documentation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HYPERLINK("https://app.clickup.com/t/8695mj63r", "[internal projects] Shoprite B2B SLA Document")</f>
        <v>[internal projects] Shoprite B2B SLA Document</v>
      </c>
    </row>
    <row r="39" spans="2:18" x14ac:dyDescent="0.25">
      <c r="B39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D39" t="str">
        <f>HYPERLINK("https://app.clickup.com/t/869abhe3r", "[wonga: data warehouse development &amp; migration onto snowflake project] Conform logging to audit structure")</f>
        <v>[wonga: data warehouse development &amp; migration onto snowflake project] Conform logging to audit structure</v>
      </c>
      <c r="J39" t="str">
        <f>HYPERLINK("https://app.clickup.com/t/869aq2udy", "[wonga: data warehouse development &amp; migration onto snowflake project] Historic data load into data lake")</f>
        <v>[wonga: data warehouse development &amp; migration onto snowflake project] Historic data load into data lake</v>
      </c>
      <c r="K39" t="str">
        <f>HYPERLINK("https://app.clickup.com/t/8696twrv7", "[discovery invest - dw maintenance] Extract Sign-Off Document")</f>
        <v>[discovery invest - dw maintenance] Extract Sign-Off Document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HYPERLINK("https://app.clickup.com/t/869474qb4", "[internal projects] Commit code to GitHub")</f>
        <v>[internal projects] Commit code to GitHub</v>
      </c>
    </row>
    <row r="40" spans="2:18" x14ac:dyDescent="0.25">
      <c r="B40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D40" t="str">
        <f>HYPERLINK("https://app.clickup.com/t/8699zp9n0", "[wonga: data warehouse development &amp; migration onto snowflake project] Productionizing process to move data from RAW to DATALAKE")</f>
        <v>[wonga: data warehouse development &amp; migration onto snowflake project] Productionizing process to move data from RAW to DATALAKE</v>
      </c>
      <c r="K40" t="str">
        <f>HYPERLINK("https://app.clickup.com/t/8696twreb", "[discovery invest - dw maintenance] Solution Design Doc")</f>
        <v>[discovery invest - dw maintenance] Solution Design Doc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HYPERLINK("https://app.clickup.com/t/869agp147", "[certification] Snowflake Sales Professional")</f>
        <v>[certification] Snowflake Sales Professional</v>
      </c>
    </row>
    <row r="41" spans="2:18" x14ac:dyDescent="0.25">
      <c r="B41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41" t="str">
        <f>HYPERLINK("https://app.clickup.com/t/8696twqcc", "[discovery invest - dw maintenance] Discovery OPS Doc")</f>
        <v>[discovery invest - dw maintenance] Discovery OPS Doc</v>
      </c>
      <c r="R41" t="str">
        <f>HYPERLINK("https://app.clickup.com/t/869agp0uz", "[certification] Snowflake Technical Sales Professional")</f>
        <v>[certification] Snowflake Technical Sales Professional</v>
      </c>
    </row>
    <row r="42" spans="2:18" x14ac:dyDescent="0.25">
      <c r="B42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2" t="str">
        <f>HYPERLINK("https://app.clickup.com/t/869ag7fnj", "[wonga: data warehouse development &amp; migration onto snowflake project] Fact Loan Installment")</f>
        <v>[wonga: data warehouse development &amp; migration onto snowflake project] Fact Loan Installment</v>
      </c>
      <c r="R42" t="str">
        <f>HYPERLINK("https://app.clickup.com/t/869af829t", "[certification] Salesforce Certified Agentforce Specialist")</f>
        <v>[certification] Salesforce Certified Agentforce Specialist</v>
      </c>
    </row>
    <row r="43" spans="2:18" x14ac:dyDescent="0.25">
      <c r="K43" t="str">
        <f>HYPERLINK("https://app.clickup.com/t/869ag7fjf", "[wonga: data warehouse development &amp; migration onto snowflake project] Fact Loan Balance Movement")</f>
        <v>[wonga: data warehouse development &amp; migration onto snowflake project] Fact Loan Balance Movement</v>
      </c>
      <c r="R43" t="str">
        <f>HYPERLINK("https://app.clickup.com/t/869af7qma", "[certification] SnowPro Core")</f>
        <v>[certification] SnowPro Core</v>
      </c>
    </row>
    <row r="44" spans="2:18" x14ac:dyDescent="0.25">
      <c r="K44" t="str">
        <f>HYPERLINK("https://app.clickup.com/t/869ag7fgh", "[wonga: data warehouse development &amp; migration onto snowflake project] Fact Application")</f>
        <v>[wonga: data warehouse development &amp; migration onto snowflake project] Fact Application</v>
      </c>
      <c r="R44" t="str">
        <f>HYPERLINK("https://app.clickup.com/t/869af7nme", "[certification] AWS Certified Solutions Architect - Associate")</f>
        <v>[certification] AWS Certified Solutions Architect - Associate</v>
      </c>
    </row>
    <row r="45" spans="2:18" x14ac:dyDescent="0.25">
      <c r="K45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5" t="str">
        <f>HYPERLINK("https://app.clickup.com/t/869ab9g7u", "[certification] AWS Data Engineer - Associate")</f>
        <v>[certification] AWS Data Engineer - Associate</v>
      </c>
    </row>
    <row r="46" spans="2:18" x14ac:dyDescent="0.25">
      <c r="K46" t="str">
        <f>HYPERLINK("https://app.clickup.com/t/869a0c8wn", "[wonga: data warehouse development &amp; migration onto snowflake project] Finance report analysis for source field mappings")</f>
        <v>[wonga: data warehouse development &amp; migration onto snowflake project] Finance report analysis for source field mappings</v>
      </c>
      <c r="R46" t="str">
        <f>HYPERLINK("https://app.clickup.com/t/8698cw2xw", "[discovery invest - dw maintenance] Productionise")</f>
        <v>[discovery invest - dw maintenance] Productionise</v>
      </c>
    </row>
    <row r="47" spans="2:18" x14ac:dyDescent="0.25">
      <c r="K47" t="str">
        <f>HYPERLINK("https://app.clickup.com/t/869a0bt86", "[wonga: data warehouse development &amp; migration onto snowflake project] Modification for physical model")</f>
        <v>[wonga: data warehouse development &amp; migration onto snowflake project] Modification for physical model</v>
      </c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2:18" x14ac:dyDescent="0.25">
      <c r="K48" t="str">
        <f>HYPERLINK("https://app.clickup.com/t/869a0bqez", "[wonga: data warehouse development &amp; migration onto snowflake project] Physical model design")</f>
        <v>[wonga: data warehouse development &amp; migration onto snowflake project] Physical model design</v>
      </c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1:18" x14ac:dyDescent="0.25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1:18" x14ac:dyDescent="0.25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1:18" x14ac:dyDescent="0.25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1:18" x14ac:dyDescent="0.25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3" spans="11:18" x14ac:dyDescent="0.25">
      <c r="R53" t="str">
        <f>HYPERLINK("https://app.clickup.com/t/869b1x8cc", "[architecture refactor - python reports] Set up protection ruleset for dev")</f>
        <v>[architecture refactor - python reports] Set up protection ruleset for dev</v>
      </c>
    </row>
    <row r="54" spans="11:18" x14ac:dyDescent="0.25">
      <c r="R54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55" spans="11:18" x14ac:dyDescent="0.25">
      <c r="R55" t="str">
        <f>HYPERLINK("https://app.clickup.com/t/869av96fn", "[wonga: data warehouse development &amp; migration onto snowflake project] 4 - Development of ODS using DBT")</f>
        <v>[wonga: data warehouse development &amp; migration onto snowflake project] 4 - Development of ODS using DBT</v>
      </c>
    </row>
    <row r="56" spans="11:18" x14ac:dyDescent="0.25">
      <c r="R56" t="str">
        <f>HYPERLINK("https://app.clickup.com/t/869aq4wtv", "[wonga: data warehouse development &amp; migration onto snowflake project] 3 - Assessment of Existing Reports &amp; Stored Procs")</f>
        <v>[wonga: data warehouse development &amp; migration onto snowflake project] 3 - Assessment of Existing Reports &amp; Stored Procs</v>
      </c>
    </row>
    <row r="57" spans="11:18" x14ac:dyDescent="0.25">
      <c r="R57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58" spans="11:18" x14ac:dyDescent="0.25">
      <c r="R58" t="str">
        <f>HYPERLINK("https://app.clickup.com/t/869apxty7", "[wonga: data warehouse development &amp; migration onto snowflake project] Fact_Debt_Sale_Snapshot")</f>
        <v>[wonga: data warehouse development &amp; migration onto snowflake project] Fact_Debt_Sale_Snapshot</v>
      </c>
    </row>
    <row r="59" spans="11:18" x14ac:dyDescent="0.25">
      <c r="R5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 2025-11-03</vt:lpstr>
      <vt:lpstr>Tuesday 2025-11-04</vt:lpstr>
      <vt:lpstr>Wednesday 2025-11-05</vt:lpstr>
      <vt:lpstr>Thursday 2025-11-06</vt:lpstr>
      <vt:lpstr>Friday 2025-11-07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Thando Calana</cp:lastModifiedBy>
  <dcterms:created xsi:type="dcterms:W3CDTF">2025-11-05T14:37:33Z</dcterms:created>
  <dcterms:modified xsi:type="dcterms:W3CDTF">2025-11-05T14:41:20Z</dcterms:modified>
</cp:coreProperties>
</file>