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day 2026-03-01" sheetId="1" state="visible" r:id="rId1"/>
    <sheet name="Monday 2026-03-02" sheetId="2" state="visible" r:id="rId2"/>
    <sheet name="Tuesday 2026-03-03" sheetId="3" state="visible" r:id="rId3"/>
    <sheet name="Wednesday 2026-03-04" sheetId="4" state="visible" r:id="rId4"/>
    <sheet name="Thursday 2026-03-05" sheetId="5" state="visible" r:id="rId5"/>
    <sheet name="Friday 2026-03-06" sheetId="6" state="visible" r:id="rId6"/>
    <sheet name="Saturday 2026-03-07" sheetId="7" state="visible" r:id="rId7"/>
    <sheet name="Sunday 2026-03-08" sheetId="8" state="visible" r:id="rId8"/>
    <sheet name="Monday 2026-03-09" sheetId="9" state="visible" r:id="rId9"/>
    <sheet name="Tuesday 2026-03-10" sheetId="10" state="visible" r:id="rId10"/>
    <sheet name="Wednesday 2026-03-11" sheetId="11" state="visible" r:id="rId11"/>
    <sheet name="Thursday 2026-03-12" sheetId="12" state="visible" r:id="rId12"/>
    <sheet name="Friday 2026-03-13" sheetId="13" state="visible" r:id="rId13"/>
    <sheet name="Saturday 2026-03-14" sheetId="14" state="visible" r:id="rId14"/>
    <sheet name="Sunday 2026-03-15" sheetId="15" state="visible" r:id="rId15"/>
    <sheet name="Monday 2026-03-16" sheetId="16" state="visible" r:id="rId16"/>
    <sheet name="Tuesday 2026-03-17" sheetId="17" state="visible" r:id="rId17"/>
    <sheet name="Wednesday 2026-03-18" sheetId="18" state="visible" r:id="rId18"/>
    <sheet name="Thursday 2026-03-19" sheetId="19" state="visible" r:id="rId19"/>
    <sheet name="Friday 2026-03-20" sheetId="20" state="visible" r:id="rId20"/>
    <sheet name="Saturday 2026-03-21" sheetId="21" state="visible" r:id="rId21"/>
    <sheet name="Sunday 2026-03-22" sheetId="22" state="visible" r:id="rId22"/>
    <sheet name="Monday 2026-03-23" sheetId="23" state="visible" r:id="rId23"/>
    <sheet name="Tuesday 2026-03-24" sheetId="24" state="visible" r:id="rId24"/>
    <sheet name="Wednesday 2026-03-25" sheetId="25" state="visible" r:id="rId25"/>
    <sheet name="Thursday 2026-03-26" sheetId="26" state="visible" r:id="rId26"/>
    <sheet name="Friday 2026-03-27" sheetId="27" state="visible" r:id="rId27"/>
    <sheet name="Saturday 2026-03-28" sheetId="28" state="visible" r:id="rId28"/>
    <sheet name="Sunday 2026-03-29" sheetId="29" state="visible" r:id="rId29"/>
    <sheet name="Monday 2026-03-30" sheetId="30" state="visible" r:id="rId30"/>
    <sheet name="Tuesday 2026-03-31" sheetId="31" state="visible" r:id="rId31"/>
    <sheet name="Wednesday 2026-04-01" sheetId="32" state="visible" r:id="rId32"/>
    <sheet name="Thursday 2026-04-02" sheetId="33" state="visible" r:id="rId33"/>
    <sheet name="Friday 2026-04-03" sheetId="34" state="visible" r:id="rId34"/>
    <sheet name="Saturday 2026-04-04" sheetId="35" state="visible" r:id="rId35"/>
    <sheet name="Sunday 2026-04-05" sheetId="36" state="visible" r:id="rId36"/>
    <sheet name="Monday 2026-04-06" sheetId="37" state="visible" r:id="rId37"/>
    <sheet name="Tuesday 2026-04-07" sheetId="38" state="visible" r:id="rId38"/>
    <sheet name="Wednesday 2026-04-08" sheetId="39" state="visible" r:id="rId39"/>
    <sheet name="Thursday 2026-04-09" sheetId="40" state="visible" r:id="rId40"/>
    <sheet name="Friday 2026-04-10" sheetId="41" state="visible" r:id="rId41"/>
    <sheet name="Saturday 2026-04-11" sheetId="42" state="visible" r:id="rId42"/>
    <sheet name="Sunday 2026-04-12" sheetId="43" state="visible" r:id="rId43"/>
    <sheet name="Monday 2026-04-13" sheetId="44" state="visible" r:id="rId44"/>
    <sheet name="Tuesday 2026-04-14" sheetId="45" state="visible" r:id="rId45"/>
    <sheet name="Wednesday 2026-04-15" sheetId="46" state="visible" r:id="rId46"/>
    <sheet name="Thursday 2026-04-16" sheetId="47" state="visible" r:id="rId47"/>
    <sheet name="Friday 2026-04-17" sheetId="48" state="visible" r:id="rId48"/>
    <sheet name="Saturday 2026-04-18" sheetId="49" state="visible" r:id="rId49"/>
    <sheet name="Sunday 2026-04-19" sheetId="50" state="visible" r:id="rId50"/>
    <sheet name="Monday 2026-04-20" sheetId="51" state="visible" r:id="rId51"/>
    <sheet name="Tuesday 2026-04-21" sheetId="52" state="visible" r:id="rId52"/>
    <sheet name="Wednesday 2026-04-22" sheetId="53" state="visible" r:id="rId53"/>
    <sheet name="Thursday 2026-04-23" sheetId="54" state="visible" r:id="rId54"/>
    <sheet name="Friday 2026-04-24" sheetId="55" state="visible" r:id="rId55"/>
    <sheet name="Saturday 2026-04-25" sheetId="56" state="visible" r:id="rId56"/>
    <sheet name="Sunday 2026-04-26" sheetId="57" state="visible" r:id="rId57"/>
    <sheet name="Monday 2026-04-27" sheetId="58" state="visible" r:id="rId58"/>
    <sheet name="Tuesday 2026-04-28" sheetId="59" state="visible" r:id="rId59"/>
    <sheet name="Wednesday 2026-04-29" sheetId="60" state="visible" r:id="rId60"/>
    <sheet name="Thursday 2026-04-30" sheetId="61" state="visible" r:id="rId61"/>
    <sheet name="Friday 2026-05-01" sheetId="62" state="visible" r:id="rId62"/>
    <sheet name="Saturday 2026-05-02" sheetId="63" state="visible" r:id="rId63"/>
    <sheet name="Sunday 2026-05-03" sheetId="64" state="visible" r:id="rId64"/>
    <sheet name="Monday 2026-05-04" sheetId="65" state="visible" r:id="rId65"/>
    <sheet name="Tuesday 2026-05-05" sheetId="66" state="visible" r:id="rId66"/>
    <sheet name="Wednesday 2026-05-06" sheetId="67" state="visible" r:id="rId67"/>
    <sheet name="Thursday 2026-05-07" sheetId="68" state="visible" r:id="rId68"/>
    <sheet name="Friday 2026-05-08" sheetId="69" state="visible" r:id="rId69"/>
    <sheet name="Saturday 2026-05-09" sheetId="70" state="visible" r:id="rId70"/>
    <sheet name="Sunday 2026-05-10" sheetId="71" state="visible" r:id="rId71"/>
    <sheet name="Monday 2026-05-11" sheetId="72" state="visible" r:id="rId72"/>
    <sheet name="Tuesday 2026-05-12" sheetId="73" state="visible" r:id="rId73"/>
    <sheet name="Wednesday 2026-05-13" sheetId="74" state="visible" r:id="rId74"/>
    <sheet name="Thursday 2026-05-14" sheetId="75" state="visible" r:id="rId75"/>
    <sheet name="Friday 2026-05-15" sheetId="76" state="visible" r:id="rId76"/>
    <sheet name="Saturday 2026-05-16" sheetId="77" state="visible" r:id="rId77"/>
    <sheet name="Sunday 2026-05-17" sheetId="78" state="visible" r:id="rId78"/>
    <sheet name="Monday 2026-05-18" sheetId="79" state="visible" r:id="rId79"/>
    <sheet name="Tuesday 2026-05-19" sheetId="80" state="visible" r:id="rId80"/>
    <sheet name="Wednesday 2026-05-20" sheetId="81" state="visible" r:id="rId81"/>
    <sheet name="Thursday 2026-05-21" sheetId="82" state="visible" r:id="rId82"/>
    <sheet name="Friday 2026-05-22" sheetId="83" state="visible" r:id="rId83"/>
    <sheet name="Saturday 2026-05-23" sheetId="84" state="visible" r:id="rId84"/>
    <sheet name="Sunday 2026-05-24" sheetId="85" state="visible" r:id="rId85"/>
    <sheet name="Monday 2026-05-25" sheetId="86" state="visible" r:id="rId86"/>
    <sheet name="Tuesday 2026-05-26" sheetId="87" state="visible" r:id="rId87"/>
    <sheet name="Wednesday 2026-05-27" sheetId="88" state="visible" r:id="rId88"/>
    <sheet name="Thursday 2026-05-28" sheetId="89" state="visible" r:id="rId89"/>
    <sheet name="Friday 2026-05-29" sheetId="90" state="visible" r:id="rId90"/>
    <sheet name="Saturday 2026-05-30" sheetId="91" state="visible" r:id="rId91"/>
    <sheet name="Sunday 2026-05-31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2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 xml:space="preserve">Discovery Health | Slipstream Data - requirements session </t>
        </is>
      </c>
      <c r="C6" t="inlineStr"/>
      <c r="D6" t="inlineStr"/>
      <c r="E6" t="inlineStr">
        <is>
          <t>Focus time</t>
        </is>
      </c>
      <c r="F6" t="inlineStr">
        <is>
          <t xml:space="preserve">Discovery Health | Slipstream Data - requirements session 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Discovery Health | Slipstream Data - requirements session , 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Discovery Health | Slipstream Data - requirements session , 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Tableau To Be Architecture Discussion , 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Tableau To Be Architecture Discussion , 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>
        <is>
          <t>Snowflake Execution: 2</t>
        </is>
      </c>
      <c r="G11" t="inlineStr"/>
      <c r="H11" t="inlineStr">
        <is>
          <t>Taquanta: Projects Internal Standup</t>
        </is>
      </c>
      <c r="I11" t="inlineStr">
        <is>
          <t>Snowflake Execution: 2</t>
        </is>
      </c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>
        <is>
          <t xml:space="preserve">taq, Shoprite SLA Internal Review </t>
        </is>
      </c>
      <c r="E12" t="inlineStr">
        <is>
          <t>OM Work</t>
        </is>
      </c>
      <c r="F12" t="inlineStr">
        <is>
          <t>Snowflake Execution: 2</t>
        </is>
      </c>
      <c r="G12" t="inlineStr">
        <is>
          <t xml:space="preserve">DWH Transform load Monitoring  </t>
        </is>
      </c>
      <c r="H12" t="inlineStr"/>
      <c r="I12" t="inlineStr">
        <is>
          <t>Snowflake Execution: 2</t>
        </is>
      </c>
      <c r="J12" t="inlineStr"/>
      <c r="K12" t="inlineStr">
        <is>
          <t xml:space="preserve">Declined: Shoprite SLA Internal Review </t>
        </is>
      </c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>
        <is>
          <t xml:space="preserve">Shoprite SLA Internal Review </t>
        </is>
      </c>
      <c r="E13" t="inlineStr">
        <is>
          <t>Tableau Pipeline Automation, OM Work</t>
        </is>
      </c>
      <c r="F13" t="inlineStr"/>
      <c r="G13" t="inlineStr">
        <is>
          <t xml:space="preserve">DWH Transform load Monitoring  </t>
        </is>
      </c>
      <c r="H13" t="inlineStr"/>
      <c r="I13" t="inlineStr"/>
      <c r="J13" t="inlineStr"/>
      <c r="K13" t="inlineStr">
        <is>
          <t xml:space="preserve">Declined: Shoprite SLA Internal Review </t>
        </is>
      </c>
      <c r="L13" t="inlineStr">
        <is>
          <t>Wonga Project Plan + Budget Update +Emails</t>
        </is>
      </c>
      <c r="M13" t="inlineStr"/>
      <c r="N13" t="inlineStr">
        <is>
          <t>One on one - Thando</t>
        </is>
      </c>
    </row>
    <row r="14">
      <c r="A14" t="inlineStr">
        <is>
          <t>14:00</t>
        </is>
      </c>
      <c r="B14" t="inlineStr">
        <is>
          <t>Wonga Project Status and Progress to Completion</t>
        </is>
      </c>
      <c r="C14" t="inlineStr"/>
      <c r="D14" t="inlineStr">
        <is>
          <t>wonga</t>
        </is>
      </c>
      <c r="E14" t="inlineStr">
        <is>
          <t>Tableau Pipeline Automation, OM Work</t>
        </is>
      </c>
      <c r="F14" t="inlineStr">
        <is>
          <t>Wonga Project Status and Progress to Completion</t>
        </is>
      </c>
      <c r="G14" t="inlineStr">
        <is>
          <t>ACI changes transform, Internal Study time(PDP)</t>
        </is>
      </c>
      <c r="H14" t="inlineStr"/>
      <c r="I14" t="inlineStr">
        <is>
          <t>SSGP26 - Way of Work Discussion</t>
        </is>
      </c>
      <c r="J14" t="inlineStr">
        <is>
          <t>Wonga Project Status and Progress to Completion</t>
        </is>
      </c>
      <c r="K14" t="inlineStr">
        <is>
          <t>SSGP26 - Way of Work Discussion</t>
        </is>
      </c>
      <c r="L14" t="inlineStr">
        <is>
          <t>Wonga Project Status and Progress to Completion, 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>
        <is>
          <t>wonga</t>
        </is>
      </c>
      <c r="E15" t="inlineStr">
        <is>
          <t>Meeting Run Over, 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Tab Agent for Server, ScaleUp Homework sessions </t>
        </is>
      </c>
      <c r="C16" t="inlineStr"/>
      <c r="D16" t="inlineStr">
        <is>
          <t>wonga</t>
        </is>
      </c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WT Johannesburg - 2026 Sponsorship Kick-Off call , ScaleUp Homework sessions </t>
        </is>
      </c>
      <c r="C17" t="inlineStr"/>
      <c r="D17" t="inlineStr">
        <is>
          <t>PM Forum</t>
        </is>
      </c>
      <c r="E17" t="inlineStr">
        <is>
          <t>PM Forum</t>
        </is>
      </c>
      <c r="F17" t="inlineStr">
        <is>
          <t xml:space="preserve">PM Forum, ScaleUp Homework sessions </t>
        </is>
      </c>
      <c r="G17" t="inlineStr">
        <is>
          <t>Internal Study time(PDP)</t>
        </is>
      </c>
      <c r="H17" t="inlineStr">
        <is>
          <t>PM Forum</t>
        </is>
      </c>
      <c r="I17" t="inlineStr">
        <is>
          <t>PM Forum</t>
        </is>
      </c>
      <c r="J17" t="inlineStr"/>
      <c r="K17" t="inlineStr"/>
      <c r="L17" t="inlineStr">
        <is>
          <t>Shoprite Plan Update + Emails</t>
        </is>
      </c>
      <c r="M17" t="inlineStr">
        <is>
          <t>PM Forum</t>
        </is>
      </c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>
        <is>
          <t>PM Forum</t>
        </is>
      </c>
      <c r="E18" t="inlineStr">
        <is>
          <t>PM Forum</t>
        </is>
      </c>
      <c r="F18" t="inlineStr">
        <is>
          <t>PM Forum</t>
        </is>
      </c>
      <c r="G18" t="inlineStr"/>
      <c r="H18" t="inlineStr">
        <is>
          <t>PM Forum</t>
        </is>
      </c>
      <c r="I18" t="inlineStr">
        <is>
          <t>PM Forum</t>
        </is>
      </c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>
        <is>
          <t>PM Forum</t>
        </is>
      </c>
      <c r="N18" t="inlineStr"/>
    </row>
    <row r="19">
      <c r="A19" t="inlineStr">
        <is>
          <t>16:30</t>
        </is>
      </c>
      <c r="B19" t="inlineStr">
        <is>
          <t>GPT Bid Daily Sync (24/02 to 05/03)</t>
        </is>
      </c>
      <c r="C19" t="inlineStr"/>
      <c r="D19" t="inlineStr">
        <is>
          <t>GPT Bid Daily Sync (24/02 to 05/03)</t>
        </is>
      </c>
      <c r="E19" t="inlineStr">
        <is>
          <t>GPT Bid Daily Sync (24/02 to 05/03)</t>
        </is>
      </c>
      <c r="F19" t="inlineStr">
        <is>
          <t>GPT Bid Daily Sync (24/02 to 05/03)</t>
        </is>
      </c>
      <c r="G19" t="inlineStr"/>
      <c r="H19" t="inlineStr">
        <is>
          <t>Canceled: Tech Team retro, Tech team planning</t>
        </is>
      </c>
      <c r="I19" t="inlineStr"/>
      <c r="J19" t="inlineStr">
        <is>
          <t>GPT Bid Daily Sync (24/02 to 05/03)</t>
        </is>
      </c>
      <c r="K19" t="inlineStr"/>
      <c r="L19" t="inlineStr">
        <is>
          <t>Slipstream - IPD - Internal Projects  ( Slipstream Data ) (Harvest Timesheets and Reports, ClickUp Tasks and Reports, Billing, Emails, Documentation, Reports), GPT Bid Daily Sync (24/02 to 05/03)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>
        <is>
          <t>Canceled: SARBQ Report (CRM)</t>
        </is>
      </c>
      <c r="D20" t="inlineStr"/>
      <c r="E20" t="inlineStr">
        <is>
          <t>GPT Cont</t>
        </is>
      </c>
      <c r="F20" t="inlineStr"/>
      <c r="G20" t="inlineStr"/>
      <c r="H20" t="inlineStr">
        <is>
          <t>Canceled: Tech Team retro, Tech team planning</t>
        </is>
      </c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Tableau Tribe Development and Upskilling</t>
        </is>
      </c>
      <c r="C21" t="inlineStr"/>
      <c r="D21" t="inlineStr"/>
      <c r="E21" t="inlineStr">
        <is>
          <t>Tableau Tribe Development and Upskilling</t>
        </is>
      </c>
      <c r="F21" t="inlineStr">
        <is>
          <t>Tableau Tribe Development and Upskilling</t>
        </is>
      </c>
      <c r="G21" t="inlineStr"/>
      <c r="H21" t="inlineStr">
        <is>
          <t>Canceled: Tech Team retro</t>
        </is>
      </c>
      <c r="I21" t="inlineStr"/>
      <c r="J21" t="inlineStr"/>
      <c r="K21" t="inlineStr">
        <is>
          <t>Tableau Tribe Development and Upskilling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>
        <is>
          <t>Tableau Tribe Development and Upskilling</t>
        </is>
      </c>
      <c r="N21" t="inlineStr">
        <is>
          <t>Tableau Tribe Development and Upskilling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2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>
        <is>
          <t>Shoprite Alteryx Server - Stale Content Assessment</t>
        </is>
      </c>
      <c r="L8" t="inlineStr"/>
      <c r="M8" t="inlineStr">
        <is>
          <t>Canceled event: S/Stream - EBU Cadence - Bi-Monthly @ Monthly from 09:00 to 09:30 on the first Tuesday (SAST) (suzanne.edlmann@slipstreamdata.co.za)</t>
        </is>
      </c>
      <c r="N8" t="inlineStr"/>
    </row>
    <row r="9">
      <c r="A9" t="inlineStr">
        <is>
          <t>11:30</t>
        </is>
      </c>
      <c r="B9" t="inlineStr">
        <is>
          <t>Snowflake x Slipstream - Usecases</t>
        </is>
      </c>
      <c r="C9" t="inlineStr"/>
      <c r="D9" t="inlineStr"/>
      <c r="E9" t="inlineStr">
        <is>
          <t>OM Work, GRCA Portfolio | Team Stand-up</t>
        </is>
      </c>
      <c r="F9" t="inlineStr">
        <is>
          <t>Snowflake x Slipstream - Usecases</t>
        </is>
      </c>
      <c r="G9" t="inlineStr">
        <is>
          <t>Ongoing: Daily operational tasks DSY</t>
        </is>
      </c>
      <c r="H9" t="inlineStr"/>
      <c r="I9" t="inlineStr">
        <is>
          <t>Wonga Validations</t>
        </is>
      </c>
      <c r="J9" t="inlineStr">
        <is>
          <t>Wonga Validations</t>
        </is>
      </c>
      <c r="K9" t="inlineStr">
        <is>
          <t>Shoprite Alteryx Server - Stale Content Assessment</t>
        </is>
      </c>
      <c r="L9" t="inlineStr"/>
      <c r="M9" t="inlineStr"/>
      <c r="N9" t="inlineStr"/>
    </row>
    <row r="10">
      <c r="A10" t="inlineStr">
        <is>
          <t>12:00</t>
        </is>
      </c>
      <c r="B10" t="inlineStr">
        <is>
          <t>Snowflake x Slipstream - Usecases</t>
        </is>
      </c>
      <c r="C10" t="inlineStr"/>
      <c r="D10" t="inlineStr">
        <is>
          <t>Debtors ageing validations, Wonga : DebtorsAgeing Validation, Shoprite Analytics|| Cloud BI Daily Stand Up</t>
        </is>
      </c>
      <c r="E10" t="inlineStr">
        <is>
          <t>OM Work, GRCA Portfolio | Team Stand-up</t>
        </is>
      </c>
      <c r="F10" t="inlineStr">
        <is>
          <t>Snowflake x Slipstream - Usecases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>
        <is>
          <t>Wonga : DebtorsAgeing Validation</t>
        </is>
      </c>
      <c r="K10" t="inlineStr">
        <is>
          <t>Shoprite - Standup, SA - Cloud BI | Stand Up</t>
        </is>
      </c>
      <c r="L10" t="inlineStr">
        <is>
          <t>SA - Cloud BI | Stand Up</t>
        </is>
      </c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>
        <is>
          <t>prep session for Shoprite SLA's</t>
        </is>
      </c>
      <c r="E11" t="inlineStr">
        <is>
          <t>OM Work</t>
        </is>
      </c>
      <c r="F11" t="inlineStr"/>
      <c r="G11" t="inlineStr"/>
      <c r="H11" t="inlineStr"/>
      <c r="I11" t="inlineStr">
        <is>
          <t>prep session for Shoprite SLA's</t>
        </is>
      </c>
      <c r="J11" t="inlineStr"/>
      <c r="K11" t="inlineStr">
        <is>
          <t>prep session for Shoprite SLA's</t>
        </is>
      </c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>
        <is>
          <t>prep session for Shoprite SLA's</t>
        </is>
      </c>
      <c r="E12" t="inlineStr">
        <is>
          <t>OM Work</t>
        </is>
      </c>
      <c r="F12" t="inlineStr"/>
      <c r="G12" t="inlineStr"/>
      <c r="H12" t="inlineStr"/>
      <c r="I12" t="inlineStr">
        <is>
          <t>prep session for Shoprite SLA's</t>
        </is>
      </c>
      <c r="J12" t="inlineStr"/>
      <c r="K12" t="inlineStr">
        <is>
          <t>prep session for Shoprite SLA's</t>
        </is>
      </c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>
        <is>
          <t>SARBQ Report (CRM)</t>
        </is>
      </c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>
        <is>
          <t>Wonga - ODS Documentation Update</t>
        </is>
      </c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>
        <is>
          <t>Tableau Update, 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Slipstream</t>
        </is>
      </c>
      <c r="F14" t="inlineStr"/>
      <c r="G14" t="inlineStr"/>
      <c r="H14" t="inlineStr">
        <is>
          <t>Taquanta: Weekly SLA &amp; Projects update (Client meeting)</t>
        </is>
      </c>
      <c r="I14" t="inlineStr"/>
      <c r="J14" t="inlineStr"/>
      <c r="K14" t="inlineStr">
        <is>
          <t>Wonga - ODS Documentation Update</t>
        </is>
      </c>
      <c r="L14" t="inlineStr">
        <is>
          <t>Wonga Project Plan + Budget Update +Emails, 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>
        <is>
          <t>Tableau Update</t>
        </is>
      </c>
      <c r="C15" t="inlineStr">
        <is>
          <t>Wonga Marts</t>
        </is>
      </c>
      <c r="D15" t="inlineStr"/>
      <c r="E15" t="inlineStr">
        <is>
          <t>Slipstream</t>
        </is>
      </c>
      <c r="F15" t="inlineStr"/>
      <c r="G15" t="inlineStr"/>
      <c r="H15" t="inlineStr"/>
      <c r="I15" t="inlineStr"/>
      <c r="J15" t="inlineStr">
        <is>
          <t>Wonga Marts</t>
        </is>
      </c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Tableau Server Healthcheck - Read Back Session (Remote) - Booked meeting room 6K03 for the CPT Attendees  </t>
        </is>
      </c>
      <c r="C16" t="inlineStr"/>
      <c r="D16" t="inlineStr"/>
      <c r="E16" t="inlineStr">
        <is>
          <t>Slipstream</t>
        </is>
      </c>
      <c r="F16" t="inlineStr">
        <is>
          <t xml:space="preserve">Inventory Rework </t>
        </is>
      </c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Tableau Server Healthcheck - Read Back Session (Remote) - Booked meeting room 6K03 for the CPT Attendees  </t>
        </is>
      </c>
      <c r="C17" t="inlineStr"/>
      <c r="D17" t="inlineStr">
        <is>
          <t>sam reports</t>
        </is>
      </c>
      <c r="E17" t="inlineStr">
        <is>
          <t>Slipstream</t>
        </is>
      </c>
      <c r="F17" t="inlineStr">
        <is>
          <t xml:space="preserve">Inventory Rework </t>
        </is>
      </c>
      <c r="G17" t="inlineStr">
        <is>
          <t>Development activities - Glue - code and data</t>
        </is>
      </c>
      <c r="H17" t="inlineStr"/>
      <c r="I17" t="inlineStr"/>
      <c r="J17" t="inlineStr"/>
      <c r="K17" t="inlineStr">
        <is>
          <t>Internal Reporting - Client Support Dashboard Dev</t>
        </is>
      </c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Snowflake / Slipstream Monthly Technical Sync</t>
        </is>
      </c>
      <c r="C18" t="inlineStr"/>
      <c r="D18" t="inlineStr"/>
      <c r="E18" t="inlineStr">
        <is>
          <t>OM Work</t>
        </is>
      </c>
      <c r="F18" t="inlineStr">
        <is>
          <t>Snowflake / Slipstream Monthly Technical Sync</t>
        </is>
      </c>
      <c r="G18" t="inlineStr">
        <is>
          <t>Development activities - Glue - code and data</t>
        </is>
      </c>
      <c r="H18" t="inlineStr"/>
      <c r="I18" t="inlineStr">
        <is>
          <t>Snowflake / Slipstream Monthly Technical Sync</t>
        </is>
      </c>
      <c r="J18" t="inlineStr"/>
      <c r="K18" t="inlineStr">
        <is>
          <t>Internal Reporting - Client Support Dashboard Dev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LIS entities consolidated file , 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>
        <is>
          <t>Internal Reporting - Client Support Dashboard Dev</t>
        </is>
      </c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Shoprite Alteryx Server - Stale Content Assessment Review</t>
        </is>
      </c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>
        <is>
          <t>Shoprite Alteryx Server - Stale Content Assessment Review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Wonga: DWH Project statues and and next steps</t>
        </is>
      </c>
      <c r="C21" t="inlineStr"/>
      <c r="D21" t="inlineStr"/>
      <c r="E21" t="inlineStr">
        <is>
          <t>OM Work</t>
        </is>
      </c>
      <c r="F21" t="inlineStr">
        <is>
          <t>Wonga: DWH Project statues and and next steps</t>
        </is>
      </c>
      <c r="G21" t="inlineStr"/>
      <c r="H21" t="inlineStr"/>
      <c r="I21" t="inlineStr"/>
      <c r="J21" t="inlineStr">
        <is>
          <t>Wonga: DWH Project statues and and next steps</t>
        </is>
      </c>
      <c r="K21" t="inlineStr"/>
      <c r="L21" t="inlineStr">
        <is>
          <t>Wonga: DWH Project statues and and next steps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Slipstream|Inovo catchup</t>
        </is>
      </c>
      <c r="C8" t="inlineStr"/>
      <c r="D8" t="inlineStr">
        <is>
          <t>Debtors ageing</t>
        </is>
      </c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>
        <is>
          <t>Shoprite - Alteryx Usage Assessment Metrics</t>
        </is>
      </c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>
        <is>
          <t>Debtors ageing</t>
        </is>
      </c>
      <c r="E9" t="inlineStr">
        <is>
          <t>GPT CV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>
        <is>
          <t>Shoprite - Alteryx Usage Assessment Metrics</t>
        </is>
      </c>
      <c r="L9" t="inlineStr"/>
      <c r="M9" t="inlineStr"/>
      <c r="N9" t="inlineStr"/>
    </row>
    <row r="10">
      <c r="A10" t="inlineStr">
        <is>
          <t>12:00</t>
        </is>
      </c>
      <c r="B10" t="inlineStr">
        <is>
          <t>Tableau Guidance Based on FY27 Partner Kickoff Session</t>
        </is>
      </c>
      <c r="C10" t="inlineStr"/>
      <c r="D10" t="inlineStr">
        <is>
          <t>Wonga: Debtors Ageing Validation, DebtorsAgeing Validation, Shoprite Analytics|| Cloud BI Daily Stand Up</t>
        </is>
      </c>
      <c r="E10" t="inlineStr">
        <is>
          <t>Tableau Guidance Based on FY27 Partner Kickoff Session</t>
        </is>
      </c>
      <c r="F10" t="inlineStr"/>
      <c r="G10" t="inlineStr">
        <is>
          <t>Canceled: Tech Team Planning , Ongoing: Daily operational tasks DSY</t>
        </is>
      </c>
      <c r="H10" t="inlineStr">
        <is>
          <t xml:space="preserve">Canceled: Tech Team Planning </t>
        </is>
      </c>
      <c r="I10" t="inlineStr">
        <is>
          <t>Shoprite Analytics|| Cloud BI Daily Stand Up</t>
        </is>
      </c>
      <c r="J10" t="inlineStr">
        <is>
          <t>DebtorsAgeing Validation, Wonga: Debtors Ageing Validation</t>
        </is>
      </c>
      <c r="K10" t="inlineStr">
        <is>
          <t>Shoprite - Alteryx Usage Assessment Metrics, 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Gauteng Provincial Treasury costing </t>
        </is>
      </c>
      <c r="C11" t="inlineStr">
        <is>
          <t>Canceled: Taquanta: Projects Internal Standup</t>
        </is>
      </c>
      <c r="D11" t="inlineStr">
        <is>
          <t>Canceled: Taquanta: Projects Internal Standup</t>
        </is>
      </c>
      <c r="E11" t="inlineStr">
        <is>
          <t>PM work</t>
        </is>
      </c>
      <c r="F11" t="inlineStr">
        <is>
          <t xml:space="preserve">Gauteng Provincial Treasury costing </t>
        </is>
      </c>
      <c r="G11" t="inlineStr">
        <is>
          <t xml:space="preserve">Canceled: Tech Team Planning </t>
        </is>
      </c>
      <c r="H11" t="inlineStr">
        <is>
          <t>Canceled: Tech Team Planning , Canceled: Taquanta: Projects Internal Standup</t>
        </is>
      </c>
      <c r="I11" t="inlineStr"/>
      <c r="J11" t="inlineStr">
        <is>
          <t>Wonga Validations : RevenueSplit</t>
        </is>
      </c>
      <c r="K11" t="inlineStr">
        <is>
          <t>Shoprite - Alteryx Usage Assessment Metrics</t>
        </is>
      </c>
      <c r="L11" t="inlineStr">
        <is>
          <t>Sandi &lt;&gt; Nate - 1:1</t>
        </is>
      </c>
      <c r="M11" t="inlineStr"/>
      <c r="N11" t="inlineStr">
        <is>
          <t>Wonga Validations : RevenueSplit</t>
        </is>
      </c>
    </row>
    <row r="12">
      <c r="A12" t="inlineStr">
        <is>
          <t>13:00</t>
        </is>
      </c>
      <c r="B12" t="inlineStr"/>
      <c r="C12" t="inlineStr"/>
      <c r="D12" t="inlineStr">
        <is>
          <t>Snowflake</t>
        </is>
      </c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Wonga Project Plan + Budget Update +Emails, Slipstream - IPD - Internal Projects  ( Slipstream Data ) (Harvest Timesheets and Reports, ClickUp Tasks and Reports, Billing, Emails, Documentation, Reports)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>
        <is>
          <t>Snowflake</t>
        </is>
      </c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Wonga Project Plan + Budget Update +Emails, Slipstream - IPD - Internal Projects  ( Slipstream Data ) (Harvest Timesheets and Reports, ClickUp Tasks and Reports, Billing, Emails, Documentation, Reports)</t>
        </is>
      </c>
      <c r="M13" t="inlineStr"/>
      <c r="N13" t="inlineStr"/>
    </row>
    <row r="14">
      <c r="A14" t="inlineStr">
        <is>
          <t>14:00</t>
        </is>
      </c>
      <c r="B14" t="inlineStr">
        <is>
          <t>Selling Snowflake - How to position Snowflake with Customers</t>
        </is>
      </c>
      <c r="C14" t="inlineStr"/>
      <c r="D14" t="inlineStr">
        <is>
          <t>Snowflake</t>
        </is>
      </c>
      <c r="E14" t="inlineStr">
        <is>
          <t>OM Work</t>
        </is>
      </c>
      <c r="F14" t="inlineStr">
        <is>
          <t>Power &amp; Utilities: Modernize Data for Resilience, Performance and AI EMEA, Selling Snowflake - How to position Snowflake with Customers</t>
        </is>
      </c>
      <c r="G14" t="inlineStr"/>
      <c r="H14" t="inlineStr"/>
      <c r="I14" t="inlineStr">
        <is>
          <t>Selling Snowflake - How to position Snowflake with Customers</t>
        </is>
      </c>
      <c r="J14" t="inlineStr"/>
      <c r="K14" t="inlineStr"/>
      <c r="L14" t="inlineStr">
        <is>
          <t>Wonga Project Plan + Budget Update +Emails, Slipstream - IPD - Internal Projects  ( Slipstream Data ) (Harvest Timesheets and Reports, ClickUp Tasks and Reports, Billing, Emails, Documentation, Reports)</t>
        </is>
      </c>
      <c r="M14" t="inlineStr"/>
      <c r="N14" t="inlineStr"/>
    </row>
    <row r="15">
      <c r="A15" t="inlineStr">
        <is>
          <t>14:30</t>
        </is>
      </c>
      <c r="B15" t="inlineStr">
        <is>
          <t>Selling Snowflake - How to position Snowflake with Customers</t>
        </is>
      </c>
      <c r="C15" t="inlineStr"/>
      <c r="D15" t="inlineStr">
        <is>
          <t>Snowflake</t>
        </is>
      </c>
      <c r="E15" t="inlineStr">
        <is>
          <t>OM Work</t>
        </is>
      </c>
      <c r="F15" t="inlineStr">
        <is>
          <t>Power &amp; Utilities: Modernize Data for Resilience, Performance and AI EMEA, Selling Snowflake - How to position Snowflake with Customers</t>
        </is>
      </c>
      <c r="G15" t="inlineStr"/>
      <c r="H15" t="inlineStr"/>
      <c r="I15" t="inlineStr">
        <is>
          <t>Selling Snowflake - How to position Snowflake with Customers</t>
        </is>
      </c>
      <c r="J15" t="inlineStr"/>
      <c r="K15" t="inlineStr"/>
      <c r="L15" t="inlineStr">
        <is>
          <t>Slipstream - IPD - Internal Projects  ( Slipstream Data ) (Harvest Timesheets and Reports, ClickUp Tasks and Reports, Billing, Emails, Documentation, Reports)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OM Work</t>
        </is>
      </c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Canceled: GPT Frame Project Plan</t>
        </is>
      </c>
      <c r="C17" t="inlineStr"/>
      <c r="D17" t="inlineStr">
        <is>
          <t>Wonga Warehouse pipelines and MR's chat</t>
        </is>
      </c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>
        <is>
          <t>Wonga Warehouse pipelines and MR's chat</t>
        </is>
      </c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>
        <is>
          <t>Weekly Meeting</t>
        </is>
      </c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>
        <is>
          <t>Shoprite Alteryx - Server Usage Assessment</t>
        </is>
      </c>
      <c r="C19" t="inlineStr"/>
      <c r="D19" t="inlineStr"/>
      <c r="E19" t="inlineStr">
        <is>
          <t>OM Work</t>
        </is>
      </c>
      <c r="F19" t="inlineStr">
        <is>
          <t>Weekly Meeting</t>
        </is>
      </c>
      <c r="G19" t="inlineStr">
        <is>
          <t>Development activities - Glue - code and data</t>
        </is>
      </c>
      <c r="H19" t="inlineStr"/>
      <c r="I19" t="inlineStr"/>
      <c r="J19" t="inlineStr"/>
      <c r="K19" t="inlineStr">
        <is>
          <t>Shoprite Alteryx - Server Usage Assessment</t>
        </is>
      </c>
      <c r="L19" t="inlineStr"/>
      <c r="M19" t="inlineStr"/>
      <c r="N19" t="inlineStr"/>
    </row>
    <row r="20">
      <c r="A20" t="inlineStr">
        <is>
          <t>17:00</t>
        </is>
      </c>
      <c r="B20" t="inlineStr">
        <is>
          <t>Agenda / Presentation Alignment_Value-Driven Workshop</t>
        </is>
      </c>
      <c r="C20" t="inlineStr"/>
      <c r="D20" t="inlineStr"/>
      <c r="E20" t="inlineStr">
        <is>
          <t>OM Work</t>
        </is>
      </c>
      <c r="F20" t="inlineStr">
        <is>
          <t>Agenda / Presentation Alignment_Value-Driven Workshop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>
        <is>
          <t>Agenda / Presentation Alignment_Value-Driven Workshop</t>
        </is>
      </c>
      <c r="C21" t="inlineStr"/>
      <c r="D21" t="inlineStr"/>
      <c r="E21" t="inlineStr">
        <is>
          <t>OM Work</t>
        </is>
      </c>
      <c r="F21" t="inlineStr">
        <is>
          <t>Agenda / Presentation Alignment_Value-Driven Workshop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 xml:space="preserve">ScaleUp - Market Strategy </t>
        </is>
      </c>
      <c r="C6" t="inlineStr"/>
      <c r="D6" t="inlineStr"/>
      <c r="E6" t="inlineStr"/>
      <c r="F6" t="inlineStr">
        <is>
          <t xml:space="preserve">ScaleUp - Market Strategy 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ScaleUp - Market Strategy 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ScaleUp - Market Strategy , 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 xml:space="preserve">ScaleUp - Market Strategy </t>
        </is>
      </c>
      <c r="C8" t="inlineStr">
        <is>
          <t>Taquanta: Projects Internal Standup</t>
        </is>
      </c>
      <c r="D8" t="inlineStr">
        <is>
          <t>Taquanta: Projects Internal Standup</t>
        </is>
      </c>
      <c r="E8" t="inlineStr">
        <is>
          <t>OM Work</t>
        </is>
      </c>
      <c r="F8" t="inlineStr">
        <is>
          <t xml:space="preserve">ScaleUp - Market Strategy </t>
        </is>
      </c>
      <c r="G8" t="inlineStr">
        <is>
          <t>DSY DW - Daily standup</t>
        </is>
      </c>
      <c r="H8" t="inlineStr">
        <is>
          <t>Taquanta: Projects Internal Standup</t>
        </is>
      </c>
      <c r="I8" t="inlineStr"/>
      <c r="J8" t="inlineStr"/>
      <c r="K8" t="inlineStr"/>
      <c r="L8" t="inlineStr">
        <is>
          <t>Taquanta: Projects Internal Standup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ScaleUp - Market Strategy </t>
        </is>
      </c>
      <c r="C9" t="inlineStr"/>
      <c r="D9" t="inlineStr"/>
      <c r="E9" t="inlineStr">
        <is>
          <t>OM Work</t>
        </is>
      </c>
      <c r="F9" t="inlineStr">
        <is>
          <t xml:space="preserve">ScaleUp - Market Strategy </t>
        </is>
      </c>
      <c r="G9" t="inlineStr">
        <is>
          <t>Ongoing: Daily operational tasks DSY</t>
        </is>
      </c>
      <c r="H9" t="inlineStr"/>
      <c r="I9" t="inlineStr"/>
      <c r="J9" t="inlineStr"/>
      <c r="K9" t="inlineStr">
        <is>
          <t>Shoprite - Alteryx Stale Content Feedback</t>
        </is>
      </c>
      <c r="L9" t="inlineStr"/>
      <c r="M9" t="inlineStr"/>
      <c r="N9" t="inlineStr"/>
    </row>
    <row r="10">
      <c r="A10" t="inlineStr">
        <is>
          <t>12:00</t>
        </is>
      </c>
      <c r="B10" t="inlineStr">
        <is>
          <t>ScaleUp - Market Strategy , FW: Weekly Check-In: Tableau Progress</t>
        </is>
      </c>
      <c r="C10" t="inlineStr">
        <is>
          <t>SARBQ report (CRM)</t>
        </is>
      </c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ScaleUp - Market Strategy , 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ScaleUp - Market Strategy </t>
        </is>
      </c>
      <c r="C11" t="inlineStr"/>
      <c r="D11" t="inlineStr"/>
      <c r="E11" t="inlineStr">
        <is>
          <t>OM Work</t>
        </is>
      </c>
      <c r="F11" t="inlineStr">
        <is>
          <t xml:space="preserve">ScaleUp - Market Strategy 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- Market Strategy </t>
        </is>
      </c>
      <c r="C12" t="inlineStr"/>
      <c r="D12" t="inlineStr"/>
      <c r="E12" t="inlineStr">
        <is>
          <t>OM Work</t>
        </is>
      </c>
      <c r="F12" t="inlineStr">
        <is>
          <t xml:space="preserve">ScaleUp - Market Strategy </t>
        </is>
      </c>
      <c r="G12" t="inlineStr"/>
      <c r="H12" t="inlineStr"/>
      <c r="I12" t="inlineStr"/>
      <c r="J12" t="inlineStr"/>
      <c r="K12" t="inlineStr"/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ScaleUp - Market Strategy </t>
        </is>
      </c>
      <c r="C13" t="inlineStr"/>
      <c r="D13" t="inlineStr"/>
      <c r="E13" t="inlineStr">
        <is>
          <t>OM Work</t>
        </is>
      </c>
      <c r="F13" t="inlineStr">
        <is>
          <t xml:space="preserve">ScaleUp - Market Strategy </t>
        </is>
      </c>
      <c r="G13" t="inlineStr"/>
      <c r="H13" t="inlineStr"/>
      <c r="I13" t="inlineStr"/>
      <c r="J13" t="inlineStr"/>
      <c r="K13" t="inlineStr"/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>
        <is>
          <t xml:space="preserve">ScaleUp - Market Strategy </t>
        </is>
      </c>
      <c r="C14" t="inlineStr"/>
      <c r="D14" t="inlineStr">
        <is>
          <t xml:space="preserve">Stealth Africa Consulting/Alteryx Introduction </t>
        </is>
      </c>
      <c r="E14" t="inlineStr">
        <is>
          <t>OM</t>
        </is>
      </c>
      <c r="F14" t="inlineStr">
        <is>
          <t xml:space="preserve">From Zero to Semantics in Minutes, ScaleUp - Market Strategy </t>
        </is>
      </c>
      <c r="G14" t="inlineStr"/>
      <c r="H14" t="inlineStr"/>
      <c r="I14" t="inlineStr"/>
      <c r="J14" t="inlineStr"/>
      <c r="K14" t="inlineStr"/>
      <c r="L14" t="inlineStr">
        <is>
          <t>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ScaleUp - Market Strategy </t>
        </is>
      </c>
      <c r="C15" t="inlineStr"/>
      <c r="D15" t="inlineStr"/>
      <c r="E15" t="inlineStr">
        <is>
          <t>OM</t>
        </is>
      </c>
      <c r="F15" t="inlineStr">
        <is>
          <t xml:space="preserve">From Zero to Semantics in Minutes, ScaleUp - Market Strategy 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- Market Strategy </t>
        </is>
      </c>
      <c r="C16" t="inlineStr"/>
      <c r="D16" t="inlineStr"/>
      <c r="E16" t="inlineStr">
        <is>
          <t>OM</t>
        </is>
      </c>
      <c r="F16" t="inlineStr">
        <is>
          <t xml:space="preserve">ScaleUp - Market Strategy </t>
        </is>
      </c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- Market Strategy </t>
        </is>
      </c>
      <c r="C17" t="inlineStr"/>
      <c r="D17" t="inlineStr"/>
      <c r="E17" t="inlineStr"/>
      <c r="F17" t="inlineStr">
        <is>
          <t xml:space="preserve">ScaleUp - Market Strategy </t>
        </is>
      </c>
      <c r="G17" t="inlineStr">
        <is>
          <t>Development activities - Glue - code and data</t>
        </is>
      </c>
      <c r="H17" t="inlineStr"/>
      <c r="I17" t="inlineStr">
        <is>
          <t>Collections Mart Validation</t>
        </is>
      </c>
      <c r="J17" t="inlineStr">
        <is>
          <t>Collections Mart Validation</t>
        </is>
      </c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 xml:space="preserve">ScaleUp - Market Strategy </t>
        </is>
      </c>
      <c r="C18" t="inlineStr"/>
      <c r="D18" t="inlineStr"/>
      <c r="E18" t="inlineStr">
        <is>
          <t>OM work</t>
        </is>
      </c>
      <c r="F18" t="inlineStr">
        <is>
          <t xml:space="preserve">ScaleUp - Market Strategy </t>
        </is>
      </c>
      <c r="G18" t="inlineStr">
        <is>
          <t>Development activities - Glue - code and data</t>
        </is>
      </c>
      <c r="H18" t="inlineStr"/>
      <c r="I18" t="inlineStr">
        <is>
          <t>Collections Mart Validation</t>
        </is>
      </c>
      <c r="J18" t="inlineStr">
        <is>
          <t>Collections Mart Validation</t>
        </is>
      </c>
      <c r="K18" t="inlineStr">
        <is>
          <t>Monthly Client Support Reports Process Implementation - Feedback Sessions</t>
        </is>
      </c>
      <c r="L18" t="inlineStr">
        <is>
          <t>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 xml:space="preserve">ScaleUp - Market Strategy </t>
        </is>
      </c>
      <c r="C19" t="inlineStr"/>
      <c r="D19" t="inlineStr"/>
      <c r="E19" t="inlineStr">
        <is>
          <t>OM work</t>
        </is>
      </c>
      <c r="F19" t="inlineStr">
        <is>
          <t xml:space="preserve">ScaleUp - Market Strategy </t>
        </is>
      </c>
      <c r="G19" t="inlineStr">
        <is>
          <t>Development activities - Glue - code and data</t>
        </is>
      </c>
      <c r="H19" t="inlineStr"/>
      <c r="I19" t="inlineStr">
        <is>
          <t>Collections Mart Validation</t>
        </is>
      </c>
      <c r="J19" t="inlineStr">
        <is>
          <t>Collections Mart Validation</t>
        </is>
      </c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ScaleUp - Market Strategy , OPS Exec Updates</t>
        </is>
      </c>
      <c r="C20" t="inlineStr"/>
      <c r="D20" t="inlineStr"/>
      <c r="E20" t="inlineStr">
        <is>
          <t>OM work</t>
        </is>
      </c>
      <c r="F20" t="inlineStr">
        <is>
          <t xml:space="preserve">ScaleUp - Market Strategy </t>
        </is>
      </c>
      <c r="G20" t="inlineStr"/>
      <c r="H20" t="inlineStr"/>
      <c r="I20" t="inlineStr">
        <is>
          <t>Collections Mart Validation</t>
        </is>
      </c>
      <c r="J20" t="inlineStr">
        <is>
          <t>Collections Mart Validation</t>
        </is>
      </c>
      <c r="K20" t="inlineStr">
        <is>
          <t>Alteryx-Snowflake error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 xml:space="preserve">ScaleUp - Market Strategy </t>
        </is>
      </c>
      <c r="C21" t="inlineStr"/>
      <c r="D21" t="inlineStr"/>
      <c r="E21" t="inlineStr">
        <is>
          <t>OM work</t>
        </is>
      </c>
      <c r="F21" t="inlineStr">
        <is>
          <t xml:space="preserve">ScaleUp - Market Strategy </t>
        </is>
      </c>
      <c r="G21" t="inlineStr"/>
      <c r="H21" t="inlineStr"/>
      <c r="I21" t="inlineStr">
        <is>
          <t>Collections Mart Validation</t>
        </is>
      </c>
      <c r="J21" t="inlineStr">
        <is>
          <t>Collections Mart Validation</t>
        </is>
      </c>
      <c r="K21" t="inlineStr">
        <is>
          <t>Alteryx-Snowflake error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 xml:space="preserve">Management Meeting </t>
        </is>
      </c>
      <c r="C8" t="inlineStr"/>
      <c r="D8" t="inlineStr"/>
      <c r="E8" t="inlineStr">
        <is>
          <t>PM Plan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>
        <is>
          <t>Alteryx-Snowflake</t>
        </is>
      </c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>
        <is>
          <t xml:space="preserve">Management Meeting </t>
        </is>
      </c>
      <c r="C9" t="inlineStr"/>
      <c r="D9" t="inlineStr"/>
      <c r="E9" t="inlineStr">
        <is>
          <t>PM Plan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>
        <is>
          <t xml:space="preserve">Management Meeting </t>
        </is>
      </c>
      <c r="C10" t="inlineStr"/>
      <c r="D10" t="inlineStr">
        <is>
          <t>Shoprite Analytics|| Cloud BI Daily Stand Up</t>
        </is>
      </c>
      <c r="E10" t="inlineStr">
        <is>
          <t>PM Plan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>
        <is>
          <t xml:space="preserve">Management Meeting </t>
        </is>
      </c>
      <c r="C11" t="inlineStr"/>
      <c r="D11" t="inlineStr"/>
      <c r="E11" t="inlineStr">
        <is>
          <t>PM Plan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Management Meeting 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 xml:space="preserve">Management Meeting </t>
        </is>
      </c>
      <c r="C13" t="inlineStr"/>
      <c r="D13" t="inlineStr"/>
      <c r="E13" t="inlineStr">
        <is>
          <t>CDC 2562 Foreigners List and CDC 3307 Pas Exceptions Performance Alternatives, OM Work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 xml:space="preserve">Resource Utilization Review </t>
        </is>
      </c>
      <c r="M13" t="inlineStr"/>
      <c r="N13" t="inlineStr"/>
    </row>
    <row r="14">
      <c r="A14" t="inlineStr">
        <is>
          <t>14:00</t>
        </is>
      </c>
      <c r="B14" t="inlineStr">
        <is>
          <t xml:space="preserve">Management Meeting </t>
        </is>
      </c>
      <c r="C14" t="inlineStr"/>
      <c r="D14" t="inlineStr"/>
      <c r="E14" t="inlineStr">
        <is>
          <t>OM Work</t>
        </is>
      </c>
      <c r="F14" t="inlineStr"/>
      <c r="G14" t="inlineStr">
        <is>
          <t>Weekly round-up-meeting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Management Meeting </t>
        </is>
      </c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 xml:space="preserve">Taquanta January report daily tasks update + emails, 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>
        <is>
          <t>Tech &lt;&gt; Ops: Alignment Session</t>
        </is>
      </c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Data Platform Productization session - In person for Cape Town team</t>
        </is>
      </c>
      <c r="C17" t="inlineStr"/>
      <c r="D17" t="inlineStr"/>
      <c r="E17" t="inlineStr">
        <is>
          <t>Product Management</t>
        </is>
      </c>
      <c r="F17" t="inlineStr">
        <is>
          <t>Data Platform Productization session - In person for Cape Town team</t>
        </is>
      </c>
      <c r="G17" t="inlineStr"/>
      <c r="H17" t="inlineStr"/>
      <c r="I17" t="inlineStr"/>
      <c r="J17" t="inlineStr">
        <is>
          <t>Data Platform Productization session - In person for Cape Town team</t>
        </is>
      </c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>
        <is>
          <t>Data Platform Productization session - In person for Cape Town team</t>
        </is>
      </c>
      <c r="C18" t="inlineStr"/>
      <c r="D18" t="inlineStr"/>
      <c r="E18" t="inlineStr">
        <is>
          <t>Product Management</t>
        </is>
      </c>
      <c r="F18" t="inlineStr">
        <is>
          <t>Data Platform Productization session - In person for Cape Town team</t>
        </is>
      </c>
      <c r="G18" t="inlineStr"/>
      <c r="H18" t="inlineStr"/>
      <c r="I18" t="inlineStr"/>
      <c r="J18" t="inlineStr">
        <is>
          <t>Data Platform Productization session - In person for Cape Town team</t>
        </is>
      </c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Canceled: Tech Friday</t>
        </is>
      </c>
      <c r="C20" t="inlineStr">
        <is>
          <t>Canceled: Tech Friday</t>
        </is>
      </c>
      <c r="D20" t="inlineStr">
        <is>
          <t>Canceled: Tech Friday</t>
        </is>
      </c>
      <c r="E20" t="inlineStr">
        <is>
          <t>Modern Data Architectures and Innovations (wAndrew&amp;Team), Canceled: Tech Friday</t>
        </is>
      </c>
      <c r="F20" t="inlineStr"/>
      <c r="G20" t="inlineStr"/>
      <c r="H20" t="inlineStr">
        <is>
          <t>Canceled: Tech Friday</t>
        </is>
      </c>
      <c r="I20" t="inlineStr">
        <is>
          <t>Canceled: Tech Friday</t>
        </is>
      </c>
      <c r="J20" t="inlineStr"/>
      <c r="K20" t="inlineStr">
        <is>
          <t>Canceled: Tech Friday</t>
        </is>
      </c>
      <c r="L20" t="inlineStr"/>
      <c r="M20" t="inlineStr">
        <is>
          <t>Canceled: Tech Friday</t>
        </is>
      </c>
      <c r="N20" t="inlineStr"/>
    </row>
    <row r="21">
      <c r="A21" t="inlineStr">
        <is>
          <t>17:30</t>
        </is>
      </c>
      <c r="B21" t="inlineStr">
        <is>
          <t>Canceled: Tech Friday</t>
        </is>
      </c>
      <c r="C21" t="inlineStr">
        <is>
          <t>Canceled: Tech Friday</t>
        </is>
      </c>
      <c r="D21" t="inlineStr">
        <is>
          <t>Canceled: Tech Friday</t>
        </is>
      </c>
      <c r="E21" t="inlineStr">
        <is>
          <t>Modern Data Architectures and Innovations (wAndrew&amp;Team), Canceled: Tech Friday</t>
        </is>
      </c>
      <c r="F21" t="inlineStr"/>
      <c r="G21" t="inlineStr"/>
      <c r="H21" t="inlineStr">
        <is>
          <t>Canceled: Tech Friday</t>
        </is>
      </c>
      <c r="I21" t="inlineStr">
        <is>
          <t>Canceled: Tech Friday</t>
        </is>
      </c>
      <c r="J21" t="inlineStr"/>
      <c r="K21" t="inlineStr">
        <is>
          <t>Canceled: Tech Friday</t>
        </is>
      </c>
      <c r="L21" t="inlineStr"/>
      <c r="M21" t="inlineStr">
        <is>
          <t>Canceled: Tech Friday</t>
        </is>
      </c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Admin, 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>
        <is>
          <t>Wonga : Blockers</t>
        </is>
      </c>
      <c r="D8" t="inlineStr">
        <is>
          <t>Wonga : Blockers</t>
        </is>
      </c>
      <c r="E8" t="inlineStr">
        <is>
          <t>OM Advisor Recon (Manual Run), OM Work</t>
        </is>
      </c>
      <c r="F8" t="inlineStr">
        <is>
          <t>Weekly sales meeting</t>
        </is>
      </c>
      <c r="G8" t="inlineStr"/>
      <c r="H8" t="inlineStr"/>
      <c r="I8" t="inlineStr"/>
      <c r="J8" t="inlineStr">
        <is>
          <t>Wonga : Blockers</t>
        </is>
      </c>
      <c r="K8" t="inlineStr"/>
      <c r="L8" t="inlineStr">
        <is>
          <t>Weekly sales meeting</t>
        </is>
      </c>
      <c r="M8" t="inlineStr"/>
      <c r="N8" t="inlineStr">
        <is>
          <t>Wonga : Blockers</t>
        </is>
      </c>
    </row>
    <row r="9">
      <c r="A9" t="inlineStr">
        <is>
          <t>11:30</t>
        </is>
      </c>
      <c r="B9" t="inlineStr">
        <is>
          <t>Weekly sales meeting</t>
        </is>
      </c>
      <c r="C9" t="inlineStr">
        <is>
          <t>Wonga : Blockers</t>
        </is>
      </c>
      <c r="D9" t="inlineStr">
        <is>
          <t>Wonga : Blockers</t>
        </is>
      </c>
      <c r="E9" t="inlineStr">
        <is>
          <t>OM Advisor Recon (Manual Run), 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>
        <is>
          <t>Wonga : Blockers</t>
        </is>
      </c>
      <c r="K9" t="inlineStr"/>
      <c r="L9" t="inlineStr">
        <is>
          <t>Weekly sales meeting</t>
        </is>
      </c>
      <c r="M9" t="inlineStr"/>
      <c r="N9" t="inlineStr">
        <is>
          <t>Wonga : Blockers</t>
        </is>
      </c>
    </row>
    <row r="10">
      <c r="A10" t="inlineStr">
        <is>
          <t>12:00</t>
        </is>
      </c>
      <c r="B10" t="inlineStr">
        <is>
          <t>Weekly sales meeting</t>
        </is>
      </c>
      <c r="C10" t="inlineStr">
        <is>
          <t>Wonga : Blockers</t>
        </is>
      </c>
      <c r="D10" t="inlineStr">
        <is>
          <t>Wonga : Blockers, 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>
        <is>
          <t>Wonga : Blockers</t>
        </is>
      </c>
      <c r="K10" t="inlineStr"/>
      <c r="L10" t="inlineStr">
        <is>
          <t>Weekly sales meeting</t>
        </is>
      </c>
      <c r="M10" t="inlineStr"/>
      <c r="N10" t="inlineStr">
        <is>
          <t>Wonga : Blockers</t>
        </is>
      </c>
    </row>
    <row r="11">
      <c r="A11" t="inlineStr">
        <is>
          <t>12:30</t>
        </is>
      </c>
      <c r="B11" t="inlineStr"/>
      <c r="C11" t="inlineStr">
        <is>
          <t>Wonga : Blockers, Taquanta: Projects Internal Standup</t>
        </is>
      </c>
      <c r="D11" t="inlineStr">
        <is>
          <t>Wonga : Blockers, 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>
        <is>
          <t>Wonga : Blockers</t>
        </is>
      </c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>
        <is>
          <t>Wonga : Blockers</t>
        </is>
      </c>
    </row>
    <row r="12">
      <c r="A12" t="inlineStr">
        <is>
          <t>13:00</t>
        </is>
      </c>
      <c r="B12" t="inlineStr"/>
      <c r="C12" t="inlineStr">
        <is>
          <t>Wonga : Blockers</t>
        </is>
      </c>
      <c r="D12" t="inlineStr">
        <is>
          <t>Wonga : Blockers</t>
        </is>
      </c>
      <c r="E12" t="inlineStr">
        <is>
          <t>SFTP Sites for Pas Exceptions and Foreigners List, 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>
        <is>
          <t>Wonga : Blockers</t>
        </is>
      </c>
      <c r="K12" t="inlineStr"/>
      <c r="L12" t="inlineStr">
        <is>
          <t>Wonga Project Plan + Budget Update +Emails</t>
        </is>
      </c>
      <c r="M12" t="inlineStr"/>
      <c r="N12" t="inlineStr">
        <is>
          <t>Wonga : Blockers</t>
        </is>
      </c>
    </row>
    <row r="13">
      <c r="A13" t="inlineStr">
        <is>
          <t>13:30</t>
        </is>
      </c>
      <c r="B13" t="inlineStr"/>
      <c r="C13" t="inlineStr">
        <is>
          <t>Wonga : Blockers</t>
        </is>
      </c>
      <c r="D13" t="inlineStr">
        <is>
          <t>Wonga : Blockers, Ben &lt;&gt; Nate - 1:1</t>
        </is>
      </c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>
        <is>
          <t>IP: SaaS - Asset Management progress update</t>
        </is>
      </c>
      <c r="I13" t="inlineStr"/>
      <c r="J13" t="inlineStr">
        <is>
          <t>Wonga : Blockers</t>
        </is>
      </c>
      <c r="K13" t="inlineStr"/>
      <c r="L13" t="inlineStr">
        <is>
          <t>Wonga Project Plan + Budget Update +Emails</t>
        </is>
      </c>
      <c r="M13" t="inlineStr"/>
      <c r="N13" t="inlineStr">
        <is>
          <t>Wonga : Blockers</t>
        </is>
      </c>
    </row>
    <row r="14">
      <c r="A14" t="inlineStr">
        <is>
          <t>14:00</t>
        </is>
      </c>
      <c r="B14" t="inlineStr"/>
      <c r="C14" t="inlineStr">
        <is>
          <t>Aza &lt;&gt; Nate - 1:1</t>
        </is>
      </c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>
        <is>
          <t xml:space="preserve">Wonga: Client Updates Email + Project Plan </t>
        </is>
      </c>
      <c r="K14" t="inlineStr"/>
      <c r="L14" t="inlineStr">
        <is>
          <t>Wonga: Client Updates Email + Project Plan , 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Flora &lt;&gt; Nate - 1:1, OM Work</t>
        </is>
      </c>
      <c r="F15" t="inlineStr"/>
      <c r="G15" t="inlineStr">
        <is>
          <t>Internal Study time(PDP)</t>
        </is>
      </c>
      <c r="H15" t="inlineStr"/>
      <c r="I15" t="inlineStr"/>
      <c r="J15" t="inlineStr">
        <is>
          <t xml:space="preserve">Wonga: Client Updates Email + Project Plan </t>
        </is>
      </c>
      <c r="K15" t="inlineStr">
        <is>
          <t>Alteryx Decomission</t>
        </is>
      </c>
      <c r="L15" t="inlineStr">
        <is>
          <t xml:space="preserve">Wonga: Client Updates Email + Project Plan 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overun</t>
        </is>
      </c>
      <c r="F16" t="inlineStr"/>
      <c r="G16" t="inlineStr">
        <is>
          <t>Internal Study time(PDP)</t>
        </is>
      </c>
      <c r="H16" t="inlineStr"/>
      <c r="I16" t="inlineStr"/>
      <c r="J16" t="inlineStr">
        <is>
          <t xml:space="preserve">Wonga: Client Updates Email + Project Plan </t>
        </is>
      </c>
      <c r="K16" t="inlineStr"/>
      <c r="L16" t="inlineStr">
        <is>
          <t>Wonga: Client Updates Email + Project Plan , 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>
        <is>
          <t>Wonga : Reload Staging</t>
        </is>
      </c>
      <c r="E17" t="inlineStr">
        <is>
          <t>PAS Exceptions continued, OM Work</t>
        </is>
      </c>
      <c r="F17" t="inlineStr">
        <is>
          <t>Mark &lt;&gt; Nate - 1:1</t>
        </is>
      </c>
      <c r="G17" t="inlineStr">
        <is>
          <t>Internal Study time(PDP)</t>
        </is>
      </c>
      <c r="H17" t="inlineStr"/>
      <c r="I17" t="inlineStr"/>
      <c r="J17" t="inlineStr">
        <is>
          <t>Wonga : Reload Staging</t>
        </is>
      </c>
      <c r="K17" t="inlineStr"/>
      <c r="L17" t="inlineStr">
        <is>
          <t>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>
        <is>
          <t>Alteryx/Stealth Africa Consulting - Demo</t>
        </is>
      </c>
      <c r="E18" t="inlineStr">
        <is>
          <t>PAS Exceptions continued, OM Work</t>
        </is>
      </c>
      <c r="F18" t="inlineStr"/>
      <c r="G18" t="inlineStr">
        <is>
          <t>Michael &lt;&gt; Nate - 1:1</t>
        </is>
      </c>
      <c r="H18" t="inlineStr"/>
      <c r="I18" t="inlineStr">
        <is>
          <t>SSGP26 -  Slipstream Projects Meeting</t>
        </is>
      </c>
      <c r="J18" t="inlineStr">
        <is>
          <t>Wonga : Revenue Split</t>
        </is>
      </c>
      <c r="K18" t="inlineStr">
        <is>
          <t>SSGP26 -  Slipstream Projects Meeting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>
        <is>
          <t>Wonga : Revenue Split</t>
        </is>
      </c>
    </row>
    <row r="19">
      <c r="A19" t="inlineStr">
        <is>
          <t>16:30</t>
        </is>
      </c>
      <c r="B19" t="inlineStr"/>
      <c r="C19" t="inlineStr"/>
      <c r="D19" t="inlineStr">
        <is>
          <t>Alteryx/Stealth Africa Consulting - Demo</t>
        </is>
      </c>
      <c r="E19" t="inlineStr">
        <is>
          <t>OM Work</t>
        </is>
      </c>
      <c r="F19" t="inlineStr"/>
      <c r="G19" t="inlineStr"/>
      <c r="H19" t="inlineStr"/>
      <c r="I19" t="inlineStr">
        <is>
          <t>SSGP26 -  Slipstream Projects Meeting, Wonga : Collections Mart</t>
        </is>
      </c>
      <c r="J19" t="inlineStr">
        <is>
          <t>Wonga : Collections Mart</t>
        </is>
      </c>
      <c r="K19" t="inlineStr">
        <is>
          <t>SSGP26 -  Slipstream Projects Meeting</t>
        </is>
      </c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Snowflake Tribe Bi-weekly Session</t>
        </is>
      </c>
      <c r="C20" t="inlineStr">
        <is>
          <t>Snowflake Tribe Bi-weekly Session</t>
        </is>
      </c>
      <c r="D20" t="inlineStr">
        <is>
          <t>Wonga : DebtorsAgeing, Snowflake Tribe Bi-weekly Session</t>
        </is>
      </c>
      <c r="E20" t="inlineStr">
        <is>
          <t>Snowflake Tribe Bi-weekly Session</t>
        </is>
      </c>
      <c r="F20" t="inlineStr">
        <is>
          <t>Snowflake Tribe Bi-weekly Session</t>
        </is>
      </c>
      <c r="G20" t="inlineStr">
        <is>
          <t>Snowflake Tribe Bi-weekly Session</t>
        </is>
      </c>
      <c r="H20" t="inlineStr">
        <is>
          <t>Canceled: Tech team huddle, Snowflake Tribe Bi-weekly Session</t>
        </is>
      </c>
      <c r="I20" t="inlineStr">
        <is>
          <t>Snowflake Tribe Bi-weekly Session</t>
        </is>
      </c>
      <c r="J20" t="inlineStr">
        <is>
          <t>Wonga : DebtorsAgeing</t>
        </is>
      </c>
      <c r="K20" t="inlineStr">
        <is>
          <t>Snowflake Tribe Bi-weekly Session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>
        <is>
          <t>Snowflake Tribe Bi-weekly Session</t>
        </is>
      </c>
    </row>
    <row r="21">
      <c r="A21" t="inlineStr">
        <is>
          <t>17:30</t>
        </is>
      </c>
      <c r="B21" t="inlineStr">
        <is>
          <t>Snowflake Tribe Bi-weekly Session</t>
        </is>
      </c>
      <c r="C21" t="inlineStr">
        <is>
          <t>Snowflake Tribe Bi-weekly Session</t>
        </is>
      </c>
      <c r="D21" t="inlineStr">
        <is>
          <t>Snowflake Tribe Bi-weekly Session</t>
        </is>
      </c>
      <c r="E21" t="inlineStr">
        <is>
          <t>CleaningFoldersProdNonProd-OM, Snowflake Tribe Bi-weekly Session</t>
        </is>
      </c>
      <c r="F21" t="inlineStr">
        <is>
          <t>Snowflake Tribe Bi-weekly Session</t>
        </is>
      </c>
      <c r="G21" t="inlineStr">
        <is>
          <t>Snowflake Tribe Bi-weekly Session</t>
        </is>
      </c>
      <c r="H21" t="inlineStr">
        <is>
          <t>Canceled: Tech team huddle, Snowflake Tribe Bi-weekly Session</t>
        </is>
      </c>
      <c r="I21" t="inlineStr">
        <is>
          <t>Snowflake Tribe Bi-weekly Session</t>
        </is>
      </c>
      <c r="J21" t="inlineStr"/>
      <c r="K21" t="inlineStr">
        <is>
          <t>Snowflake Tribe Bi-weekly Session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>
        <is>
          <t>Snowflake Tribe Bi-weekly Session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Partner Sessions, Signing up and Reviewing Content, S/Stream - EBU Cadence - Bi-Monthly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>
        <is>
          <t>Internal Reporting - Snowflake Compute Cost Optimization</t>
        </is>
      </c>
      <c r="L8" t="inlineStr"/>
      <c r="M8" t="inlineStr"/>
      <c r="N8" t="inlineStr"/>
    </row>
    <row r="9">
      <c r="A9" t="inlineStr">
        <is>
          <t>11:30</t>
        </is>
      </c>
      <c r="B9" t="inlineStr">
        <is>
          <t>Wonga: DWH development &amp; migration on Snowflake Project Daily Standup**With Client**</t>
        </is>
      </c>
      <c r="C9" t="inlineStr">
        <is>
          <t>Wonga: DWH development &amp; migration on Snowflake Project Daily Standup**With Client**</t>
        </is>
      </c>
      <c r="D9" t="inlineStr">
        <is>
          <t>Wonga: DWH development &amp; migration on Snowflake Project Daily Standup**With Client**</t>
        </is>
      </c>
      <c r="E9" t="inlineStr">
        <is>
          <t>OM Work, GRCA Portfolio | Team Stand-up</t>
        </is>
      </c>
      <c r="F9" t="inlineStr">
        <is>
          <t>Wonga: DWH development &amp; migration on Snowflake Project Daily Standup**With Client**</t>
        </is>
      </c>
      <c r="G9" t="inlineStr">
        <is>
          <t>Ongoing: Daily operational tasks DSY</t>
        </is>
      </c>
      <c r="H9" t="inlineStr">
        <is>
          <t>Ntsako &lt;&gt; Nate - 1:1</t>
        </is>
      </c>
      <c r="I9" t="inlineStr">
        <is>
          <t>Wonga: DWH development &amp; migration on Snowflake Project Daily Standup**With Client**</t>
        </is>
      </c>
      <c r="J9" t="inlineStr">
        <is>
          <t>Wonga: DWH development &amp; migration on Snowflake Project Daily Standup**With Client**</t>
        </is>
      </c>
      <c r="K9" t="inlineStr">
        <is>
          <t>Wonga: DWH development &amp; migration on Snowflake Project Daily Standup**With Client**</t>
        </is>
      </c>
      <c r="L9" t="inlineStr">
        <is>
          <t>Wonga: DWH development &amp; migration on Snowflake Project Daily Standup**With Client**</t>
        </is>
      </c>
      <c r="M9" t="inlineStr"/>
      <c r="N9" t="inlineStr">
        <is>
          <t>Wonga: DWH development &amp; migration on Snowflake Project Daily Standup**With Client**</t>
        </is>
      </c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Agentforce - Customer Success, 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>
        <is>
          <t>Canceled event: Agentforce - Customer Success @ Tue Mar 10, 2026 10:30 - 11:30 (SAST) (suzanne.edlmann@slipstreamdata.co.za)</t>
        </is>
      </c>
      <c r="N11" t="inlineStr"/>
    </row>
    <row r="12">
      <c r="A12" t="inlineStr">
        <is>
          <t>13:00</t>
        </is>
      </c>
      <c r="B12" t="inlineStr">
        <is>
          <t>Wonga: DWH Project Feedback session with Chaz</t>
        </is>
      </c>
      <c r="C12" t="inlineStr"/>
      <c r="D12" t="inlineStr"/>
      <c r="E12" t="inlineStr">
        <is>
          <t>Agentforce - Customer Success, OM Work</t>
        </is>
      </c>
      <c r="F12" t="inlineStr">
        <is>
          <t>Wonga: DWH Project Feedback session with Chaz</t>
        </is>
      </c>
      <c r="G12" t="inlineStr"/>
      <c r="H12" t="inlineStr"/>
      <c r="I12" t="inlineStr"/>
      <c r="J12" t="inlineStr">
        <is>
          <t>Wonga: DWH Project Feedback session with Chaz</t>
        </is>
      </c>
      <c r="K12" t="inlineStr"/>
      <c r="L12" t="inlineStr">
        <is>
          <t>Wonga: DWH Project Feedback session with Chaz</t>
        </is>
      </c>
      <c r="M12" t="inlineStr">
        <is>
          <t>Canceled event: Agentforce - Customer Success @ Tue Mar 10, 2026 10:30 - 11:30 (SAST) (suzanne.edlmann@slipstreamdata.co.za)</t>
        </is>
      </c>
      <c r="N12" t="inlineStr"/>
    </row>
    <row r="13">
      <c r="A13" t="inlineStr">
        <is>
          <t>13:30</t>
        </is>
      </c>
      <c r="B13" t="inlineStr">
        <is>
          <t>Wonga: DWH Project Feedback session with Chaz</t>
        </is>
      </c>
      <c r="C13" t="inlineStr"/>
      <c r="D13" t="inlineStr"/>
      <c r="E13" t="inlineStr">
        <is>
          <t>OM Work</t>
        </is>
      </c>
      <c r="F13" t="inlineStr">
        <is>
          <t>Wonga: DWH Project Feedback session with Chaz</t>
        </is>
      </c>
      <c r="G13" t="inlineStr"/>
      <c r="H13" t="inlineStr">
        <is>
          <t>One-One coaching - Ntsako</t>
        </is>
      </c>
      <c r="I13" t="inlineStr">
        <is>
          <t>Palesa &lt;&gt; Nate - 1:1</t>
        </is>
      </c>
      <c r="J13" t="inlineStr">
        <is>
          <t>Wonga: DWH Project Feedback session with Chaz</t>
        </is>
      </c>
      <c r="K13" t="inlineStr"/>
      <c r="L13" t="inlineStr">
        <is>
          <t>Wonga: DWH Project Feedback session with Chaz</t>
        </is>
      </c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Snowflake PM Sync, Taquanta: Weekly SLA &amp; Projects update (Client meeting)</t>
        </is>
      </c>
      <c r="G14" t="inlineStr"/>
      <c r="H14" t="inlineStr">
        <is>
          <t>One-One coaching - Ntsako, Taquanta: Weekly SLA &amp; Projects update (Client meeting)</t>
        </is>
      </c>
      <c r="I14" t="inlineStr">
        <is>
          <t>Snowflake PM Sync</t>
        </is>
      </c>
      <c r="J14" t="inlineStr"/>
      <c r="K14" t="inlineStr"/>
      <c r="L14" t="inlineStr">
        <is>
          <t>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Blocked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Wonga Project Plan + Budget Update +Emails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Blocked</t>
        </is>
      </c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Wonga Project Plan + Budget Update +Emails, 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/>
      <c r="E17" t="inlineStr"/>
      <c r="F17" t="inlineStr">
        <is>
          <t xml:space="preserve">ScaleUp Homework sessions </t>
        </is>
      </c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Wonga Project Plan + Budget Update +Emails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 xml:space="preserve">ScaleUp Homework sessions </t>
        </is>
      </c>
      <c r="C18" t="inlineStr"/>
      <c r="D18" t="inlineStr"/>
      <c r="E18" t="inlineStr">
        <is>
          <t>OM Work</t>
        </is>
      </c>
      <c r="F18" t="inlineStr">
        <is>
          <t xml:space="preserve">ScaleUp Homework sessions </t>
        </is>
      </c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Robin &lt;&gt; Nate - 1:1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 xml:space="preserve">Zjaen | Alex &amp; Andrew catch up </t>
        </is>
      </c>
      <c r="C20" t="inlineStr"/>
      <c r="D20" t="inlineStr"/>
      <c r="E20" t="inlineStr">
        <is>
          <t>TUG Meetings, Slipstream - Blocked</t>
        </is>
      </c>
      <c r="F20" t="inlineStr">
        <is>
          <t>Organisation selections</t>
        </is>
      </c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 xml:space="preserve">Zjaen | Alex &amp; Andrew catch up </t>
        </is>
      </c>
      <c r="C21" t="inlineStr"/>
      <c r="D21" t="inlineStr"/>
      <c r="E21" t="inlineStr">
        <is>
          <t>Slipstream - Blocked, Admin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Prepare for Nexus Data event</t>
        </is>
      </c>
      <c r="C8" t="inlineStr">
        <is>
          <t>Taquanta: Projects Internal Standup</t>
        </is>
      </c>
      <c r="D8" t="inlineStr">
        <is>
          <t>Taquanta: Projects Internal Standup</t>
        </is>
      </c>
      <c r="E8" t="inlineStr">
        <is>
          <t>OM Work</t>
        </is>
      </c>
      <c r="F8" t="inlineStr"/>
      <c r="G8" t="inlineStr">
        <is>
          <t>DSY DW - Daily standup</t>
        </is>
      </c>
      <c r="H8" t="inlineStr">
        <is>
          <t>Taquanta: Projects Internal Standup</t>
        </is>
      </c>
      <c r="I8" t="inlineStr"/>
      <c r="J8" t="inlineStr"/>
      <c r="K8" t="inlineStr"/>
      <c r="L8" t="inlineStr">
        <is>
          <t>Taquanta: Projects Internal Standup</t>
        </is>
      </c>
      <c r="M8" t="inlineStr">
        <is>
          <t>Advisor Recon Refresh Data Source</t>
        </is>
      </c>
      <c r="N8" t="inlineStr"/>
    </row>
    <row r="9">
      <c r="A9" t="inlineStr">
        <is>
          <t>11:30</t>
        </is>
      </c>
      <c r="B9" t="inlineStr">
        <is>
          <t>Prepare for Nexus Data event, Wonga: DWH development &amp; migration on Snowflake Project Daily Standup**With Client**</t>
        </is>
      </c>
      <c r="C9" t="inlineStr">
        <is>
          <t>Wonga: DWH development &amp; migration on Snowflake Project Daily Standup**With Client**</t>
        </is>
      </c>
      <c r="D9" t="inlineStr">
        <is>
          <t>Wonga: DWH development &amp; migration on Snowflake Project Daily Standup**With Client**</t>
        </is>
      </c>
      <c r="E9" t="inlineStr">
        <is>
          <t>OM Work</t>
        </is>
      </c>
      <c r="F9" t="inlineStr">
        <is>
          <t>Wonga: DWH development &amp; migration on Snowflake Project Daily Standup**With Client**</t>
        </is>
      </c>
      <c r="G9" t="inlineStr">
        <is>
          <t>Ongoing: Daily operational tasks DSY</t>
        </is>
      </c>
      <c r="H9" t="inlineStr"/>
      <c r="I9" t="inlineStr">
        <is>
          <t>Wonga: DWH development &amp; migration on Snowflake Project Daily Standup**With Client**</t>
        </is>
      </c>
      <c r="J9" t="inlineStr">
        <is>
          <t>Wonga: DWH development &amp; migration on Snowflake Project Daily Standup**With Client**</t>
        </is>
      </c>
      <c r="K9" t="inlineStr">
        <is>
          <t>Wonga: DWH development &amp; migration on Snowflake Project Daily Standup**With Client**</t>
        </is>
      </c>
      <c r="L9" t="inlineStr">
        <is>
          <t>Wonga: DWH development &amp; migration on Snowflake Project Daily Standup**With Client**</t>
        </is>
      </c>
      <c r="M9" t="inlineStr">
        <is>
          <t>Advisor Recon Refresh Data Source</t>
        </is>
      </c>
      <c r="N9" t="inlineStr">
        <is>
          <t>Wonga: DWH development &amp; migration on Snowflake Project Daily Standup**With Client**</t>
        </is>
      </c>
    </row>
    <row r="10">
      <c r="A10" t="inlineStr">
        <is>
          <t>12:00</t>
        </is>
      </c>
      <c r="B10" t="inlineStr">
        <is>
          <t>Prepare for Nexus Data event</t>
        </is>
      </c>
      <c r="C10" t="inlineStr"/>
      <c r="D10" t="inlineStr">
        <is>
          <t>Shoprite Analytics|| Cloud BI Daily Stand Up</t>
        </is>
      </c>
      <c r="E10" t="inlineStr">
        <is>
          <t>Tableau Pipeline - show 'n tell, 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>
        <is>
          <t>Wonga: Finance Cube results discussion</t>
        </is>
      </c>
      <c r="K10" t="inlineStr">
        <is>
          <t>Internal Projects - Finish Snowflake Code for FreshdeskClickup Integration, SA - Cloud BI | Stand Up</t>
        </is>
      </c>
      <c r="L10" t="inlineStr"/>
      <c r="M10" t="inlineStr">
        <is>
          <t>Advisor Recon Refresh Data Source</t>
        </is>
      </c>
      <c r="N10" t="inlineStr"/>
    </row>
    <row r="11">
      <c r="A11" t="inlineStr">
        <is>
          <t>12:30</t>
        </is>
      </c>
      <c r="B11" t="inlineStr">
        <is>
          <t>Prepare for Nexus Data event</t>
        </is>
      </c>
      <c r="C11" t="inlineStr"/>
      <c r="D11" t="inlineStr"/>
      <c r="E11" t="inlineStr">
        <is>
          <t>Tableau Pipeline - show 'n tell, OM Work</t>
        </is>
      </c>
      <c r="F11" t="inlineStr"/>
      <c r="G11" t="inlineStr"/>
      <c r="H11" t="inlineStr"/>
      <c r="I11" t="inlineStr"/>
      <c r="J11" t="inlineStr"/>
      <c r="K11" t="inlineStr">
        <is>
          <t>SSGP26 - Report Automation Project Kickoff</t>
        </is>
      </c>
      <c r="L11" t="inlineStr">
        <is>
          <t>Sandi &lt;&gt; Nate - 1:1</t>
        </is>
      </c>
      <c r="M11" t="inlineStr">
        <is>
          <t>Advisor Recon Refresh Data Source</t>
        </is>
      </c>
      <c r="N11" t="inlineStr"/>
    </row>
    <row r="12">
      <c r="A12" t="inlineStr">
        <is>
          <t>13:00</t>
        </is>
      </c>
      <c r="B12" t="inlineStr">
        <is>
          <t>Prepare for Nexus Data event</t>
        </is>
      </c>
      <c r="C12" t="inlineStr"/>
      <c r="D12" t="inlineStr"/>
      <c r="E12" t="inlineStr">
        <is>
          <t>Advisor recon, OM Work</t>
        </is>
      </c>
      <c r="F12" t="inlineStr"/>
      <c r="G12" t="inlineStr"/>
      <c r="H12" t="inlineStr"/>
      <c r="I12" t="inlineStr"/>
      <c r="J12" t="inlineStr"/>
      <c r="K12" t="inlineStr">
        <is>
          <t>Internal Projects - Tableau Live to Extract Optimization</t>
        </is>
      </c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>
        <is>
          <t>Prepare for Nexus Data event</t>
        </is>
      </c>
      <c r="C13" t="inlineStr"/>
      <c r="D13" t="inlineStr"/>
      <c r="E13" t="inlineStr">
        <is>
          <t>Advisor recon, OM Work</t>
        </is>
      </c>
      <c r="F13" t="inlineStr"/>
      <c r="G13" t="inlineStr"/>
      <c r="H13" t="inlineStr"/>
      <c r="I13" t="inlineStr">
        <is>
          <t>SSGP26 - Facilitator Check in and Planning</t>
        </is>
      </c>
      <c r="J13" t="inlineStr"/>
      <c r="K13" t="inlineStr">
        <is>
          <t>SSGP26 - Facilitator Check in and Planning</t>
        </is>
      </c>
      <c r="L13" t="inlineStr">
        <is>
          <t>Wonga Project Plan + Budget Update +Emails</t>
        </is>
      </c>
      <c r="M13" t="inlineStr">
        <is>
          <t>Suzanne &lt;&gt; Nate - 1:1</t>
        </is>
      </c>
      <c r="N13" t="inlineStr"/>
    </row>
    <row r="14">
      <c r="A14" t="inlineStr">
        <is>
          <t>14:00</t>
        </is>
      </c>
      <c r="B14" t="inlineStr">
        <is>
          <t>Prepare for Nexus Data event</t>
        </is>
      </c>
      <c r="C14" t="inlineStr"/>
      <c r="D14" t="inlineStr">
        <is>
          <t>Interactive Analytics: Make Analytics Feel Instant</t>
        </is>
      </c>
      <c r="E14" t="inlineStr">
        <is>
          <t>PAS - csv comma delimited | Foreigners - csv comma Delimited, OM Work</t>
        </is>
      </c>
      <c r="F14" t="inlineStr">
        <is>
          <t>Interactive Analytics: Make Analytics Feel Instant</t>
        </is>
      </c>
      <c r="G14" t="inlineStr">
        <is>
          <t>Webinar: Interactive Analytics: Make Analytics Feel Instant</t>
        </is>
      </c>
      <c r="H14" t="inlineStr"/>
      <c r="I14" t="inlineStr">
        <is>
          <t>Interactive Analytics: Make Analytics Feel Instant</t>
        </is>
      </c>
      <c r="J14" t="inlineStr">
        <is>
          <t xml:space="preserve">Riyad &lt;&gt; Nate - 1:1 </t>
        </is>
      </c>
      <c r="K14" t="inlineStr">
        <is>
          <t>Shoprite - Alteryx Decom and Snowflake ODBC issue</t>
        </is>
      </c>
      <c r="L14" t="inlineStr">
        <is>
          <t>Wonga Project Plan + Budget Update +Emails</t>
        </is>
      </c>
      <c r="M14" t="inlineStr"/>
      <c r="N14" t="inlineStr">
        <is>
          <t>Interactive Analytics: Make Analytics Feel Instant</t>
        </is>
      </c>
    </row>
    <row r="15">
      <c r="A15" t="inlineStr">
        <is>
          <t>14:30</t>
        </is>
      </c>
      <c r="B15" t="inlineStr">
        <is>
          <t>Prepare for Nexus Data event</t>
        </is>
      </c>
      <c r="C15" t="inlineStr"/>
      <c r="D15" t="inlineStr">
        <is>
          <t>Interactive Analytics: Make Analytics Feel Instant</t>
        </is>
      </c>
      <c r="E15" t="inlineStr">
        <is>
          <t>PAS - csv comma delimited | Foreigners - csv comma Delimited, OM Work</t>
        </is>
      </c>
      <c r="F15" t="inlineStr">
        <is>
          <t>Interactive Analytics: Make Analytics Feel Instant</t>
        </is>
      </c>
      <c r="G15" t="inlineStr">
        <is>
          <t>Webinar: Interactive Analytics: Make Analytics Feel Instant</t>
        </is>
      </c>
      <c r="H15" t="inlineStr"/>
      <c r="I15" t="inlineStr">
        <is>
          <t>Interactive Analytics: Make Analytics Feel Instant</t>
        </is>
      </c>
      <c r="J15" t="inlineStr"/>
      <c r="K15" t="inlineStr">
        <is>
          <t>Shoprite - Alteryx Decom and Snowflake ODBC issue</t>
        </is>
      </c>
      <c r="L15" t="inlineStr"/>
      <c r="M15" t="inlineStr"/>
      <c r="N15" t="inlineStr">
        <is>
          <t>Interactive Analytics: Make Analytics Feel Instant</t>
        </is>
      </c>
    </row>
    <row r="16">
      <c r="A16" t="inlineStr">
        <is>
          <t>15:00</t>
        </is>
      </c>
      <c r="B16" t="inlineStr">
        <is>
          <t>Prepare for Nexus Data event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>
        <is>
          <t>Internal Projects - Client Support Dashboard</t>
        </is>
      </c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Prepare for Nexus Data event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>
        <is>
          <t>Internal Projects - Client Support Dashboard</t>
        </is>
      </c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Prepare for Nexus Data event</t>
        </is>
      </c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PDP - Rob &lt;&gt; Nate 1 on 1 (Reschedule)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>
        <is>
          <t>Prepare for Nexus Data event</t>
        </is>
      </c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>
        <is>
          <t>Wonga - ODS re-validations</t>
        </is>
      </c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>
        <is>
          <t>one on one - Thando</t>
        </is>
      </c>
    </row>
    <row r="20">
      <c r="A20" t="inlineStr">
        <is>
          <t>17:00</t>
        </is>
      </c>
      <c r="B20" t="inlineStr">
        <is>
          <t>Snowflake x Slipstream, Prepare for Nexus Data event</t>
        </is>
      </c>
      <c r="C20" t="inlineStr">
        <is>
          <t>SARBQ reports</t>
        </is>
      </c>
      <c r="D20" t="inlineStr">
        <is>
          <t>SARBQ reports</t>
        </is>
      </c>
      <c r="E20" t="inlineStr">
        <is>
          <t>OM Work</t>
        </is>
      </c>
      <c r="F20" t="inlineStr">
        <is>
          <t>Snowflake x Slipstream</t>
        </is>
      </c>
      <c r="G20" t="inlineStr"/>
      <c r="H20" t="inlineStr"/>
      <c r="I20" t="inlineStr"/>
      <c r="J20" t="inlineStr"/>
      <c r="K20" t="inlineStr">
        <is>
          <t>Wonga - ODS re-validations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Prepare for Nexus Data event, PMO Office Hours Sessions</t>
        </is>
      </c>
      <c r="C21" t="inlineStr"/>
      <c r="D21" t="inlineStr"/>
      <c r="E21" t="inlineStr">
        <is>
          <t>PMO Office Hours Sessions</t>
        </is>
      </c>
      <c r="F21" t="inlineStr">
        <is>
          <t>PMO Office Hours Sessions</t>
        </is>
      </c>
      <c r="G21" t="inlineStr"/>
      <c r="H21" t="inlineStr"/>
      <c r="I21" t="inlineStr"/>
      <c r="J21" t="inlineStr">
        <is>
          <t>PMO Office Hours Sessions</t>
        </is>
      </c>
      <c r="K21" t="inlineStr"/>
      <c r="L21" t="inlineStr">
        <is>
          <t>Slipstream - IPD - Internal Projects  ( Slipstream Data ) (Harvest Timesheets and Reports, ClickUp Tasks and Reports, Billing, Emails, Documentation, Reports), PMO Office Hours Sessions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9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Om Work, 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>
        <is>
          <t>Taquanta: Projects Internal Standup</t>
        </is>
      </c>
      <c r="D8" t="inlineStr">
        <is>
          <t>Taquanta: Projects Internal Standup</t>
        </is>
      </c>
      <c r="E8" t="inlineStr">
        <is>
          <t>SS</t>
        </is>
      </c>
      <c r="F8" t="inlineStr"/>
      <c r="G8" t="inlineStr">
        <is>
          <t>DSY DW - Daily standup</t>
        </is>
      </c>
      <c r="H8" t="inlineStr">
        <is>
          <t>Taquanta: Projects Internal Standup</t>
        </is>
      </c>
      <c r="I8" t="inlineStr"/>
      <c r="J8" t="inlineStr"/>
      <c r="K8" t="inlineStr"/>
      <c r="L8" t="inlineStr">
        <is>
          <t>Taquanta: Projects Internal Standup</t>
        </is>
      </c>
      <c r="M8" t="inlineStr"/>
      <c r="N8" t="inlineStr"/>
    </row>
    <row r="9">
      <c r="A9" t="inlineStr">
        <is>
          <t>11:30</t>
        </is>
      </c>
      <c r="B9" t="inlineStr">
        <is>
          <t>Shoprite Alteryx Catchup &amp; Internal Server Shutdown</t>
        </is>
      </c>
      <c r="C9" t="inlineStr"/>
      <c r="D9" t="inlineStr"/>
      <c r="E9" t="inlineStr">
        <is>
          <t>SS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>
        <is>
          <t>Shoprite Alteryx Catchup &amp; Internal Server Shutdown</t>
        </is>
      </c>
      <c r="L9" t="inlineStr">
        <is>
          <t xml:space="preserve">Monthly Tech Team Leave Discussion </t>
        </is>
      </c>
      <c r="M9" t="inlineStr"/>
      <c r="N9" t="inlineStr"/>
    </row>
    <row r="10">
      <c r="A10" t="inlineStr">
        <is>
          <t>12:00</t>
        </is>
      </c>
      <c r="B10" t="inlineStr">
        <is>
          <t>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>Taquanta January report daily tasks update + emails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 xml:space="preserve">Sanlam - Tableau Services Project Support Hours Weekly Report 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FW: Tableau Meeting with Flora, OM Work</t>
        </is>
      </c>
      <c r="F12" t="inlineStr"/>
      <c r="G12" t="inlineStr"/>
      <c r="H12" t="inlineStr"/>
      <c r="I12" t="inlineStr"/>
      <c r="J12" t="inlineStr"/>
      <c r="K12" t="inlineStr">
        <is>
          <t>Canceled: Resource Management Brainstorming</t>
        </is>
      </c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FW: Tableau Meeting with Flora, OM Work</t>
        </is>
      </c>
      <c r="F13" t="inlineStr">
        <is>
          <t>Johann | Mark Chat</t>
        </is>
      </c>
      <c r="G13" t="inlineStr"/>
      <c r="H13" t="inlineStr"/>
      <c r="I13" t="inlineStr"/>
      <c r="J13" t="inlineStr"/>
      <c r="K13" t="inlineStr">
        <is>
          <t>Canceled: Resource Management Brainstorming</t>
        </is>
      </c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>
        <is>
          <t xml:space="preserve">RAF technical look </t>
        </is>
      </c>
      <c r="E14" t="inlineStr">
        <is>
          <t>RAF technical look , Slipstream - Blocked</t>
        </is>
      </c>
      <c r="F14" t="inlineStr">
        <is>
          <t xml:space="preserve">RAF technical look </t>
        </is>
      </c>
      <c r="G14" t="inlineStr"/>
      <c r="H14" t="inlineStr"/>
      <c r="I14" t="inlineStr"/>
      <c r="J14" t="inlineStr"/>
      <c r="K14" t="inlineStr">
        <is>
          <t>Canceled: Resource Management Brainstorming</t>
        </is>
      </c>
      <c r="L14" t="inlineStr">
        <is>
          <t>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>
        <is>
          <t xml:space="preserve">RAF technical look </t>
        </is>
      </c>
      <c r="E15" t="inlineStr">
        <is>
          <t>RAF technical look , Slipstream - Blocked</t>
        </is>
      </c>
      <c r="F15" t="inlineStr">
        <is>
          <t xml:space="preserve">RAF technical look </t>
        </is>
      </c>
      <c r="G15" t="inlineStr"/>
      <c r="H15" t="inlineStr"/>
      <c r="I15" t="inlineStr"/>
      <c r="J15" t="inlineStr"/>
      <c r="K15" t="inlineStr">
        <is>
          <t>Canceled: Resource Management Brainstorming</t>
        </is>
      </c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>
        <is>
          <t xml:space="preserve">RAF technical look </t>
        </is>
      </c>
      <c r="E16" t="inlineStr">
        <is>
          <t>RAF technical look , Slipstream - Blocked</t>
        </is>
      </c>
      <c r="F16" t="inlineStr">
        <is>
          <t xml:space="preserve">RAF technical look </t>
        </is>
      </c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>
        <is>
          <t xml:space="preserve">RAF technical look </t>
        </is>
      </c>
      <c r="E17" t="inlineStr">
        <is>
          <t>RAF technical look , Slipstream - Blocked</t>
        </is>
      </c>
      <c r="F17" t="inlineStr">
        <is>
          <t xml:space="preserve">RAF technical look </t>
        </is>
      </c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RAF session continued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Meeting with Grant on Tableau Pipeline, 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>
        <is>
          <t>Data Driven Event (NexusData &amp; Slipstream)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>Blocker: Value-Driven Workshop_CPT</t>
        </is>
      </c>
      <c r="C6" t="inlineStr"/>
      <c r="D6" t="inlineStr"/>
      <c r="E6" t="inlineStr">
        <is>
          <t>Focus time</t>
        </is>
      </c>
      <c r="F6" t="inlineStr">
        <is>
          <t>Data Driven Event (NexusData &amp; Slipstream)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Blocker: Value-Driven Workshop_CPT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Data Driven Event (NexusData &amp; Slipstream), 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Blocker: Value-Driven Workshop_CPT</t>
        </is>
      </c>
      <c r="C8" t="inlineStr"/>
      <c r="D8" t="inlineStr"/>
      <c r="E8" t="inlineStr"/>
      <c r="F8" t="inlineStr">
        <is>
          <t>Data Driven Event (NexusData &amp; Slipstream)</t>
        </is>
      </c>
      <c r="G8" t="inlineStr">
        <is>
          <t>DSY DW - Daily standup</t>
        </is>
      </c>
      <c r="H8" t="inlineStr"/>
      <c r="I8" t="inlineStr"/>
      <c r="J8" t="inlineStr">
        <is>
          <t>Wonga : RevenueSplit</t>
        </is>
      </c>
      <c r="K8" t="inlineStr"/>
      <c r="L8" t="inlineStr">
        <is>
          <t>Automated Client Project Alignment Session</t>
        </is>
      </c>
      <c r="M8" t="inlineStr"/>
      <c r="N8" t="inlineStr">
        <is>
          <t>Wonga : RevenueSplit</t>
        </is>
      </c>
    </row>
    <row r="9">
      <c r="A9" t="inlineStr">
        <is>
          <t>11:30</t>
        </is>
      </c>
      <c r="B9" t="inlineStr">
        <is>
          <t>Blocker: Value-Driven Workshop_CPT</t>
        </is>
      </c>
      <c r="C9" t="inlineStr"/>
      <c r="D9" t="inlineStr"/>
      <c r="E9" t="inlineStr">
        <is>
          <t>TUG Event organisation and Setup</t>
        </is>
      </c>
      <c r="F9" t="inlineStr">
        <is>
          <t>Data Driven Event (NexusData &amp; Slipstream)</t>
        </is>
      </c>
      <c r="G9" t="inlineStr">
        <is>
          <t>Ongoing: Daily operational tasks DSY</t>
        </is>
      </c>
      <c r="H9" t="inlineStr"/>
      <c r="I9" t="inlineStr">
        <is>
          <t>SSGP26 - Grad Project Standup</t>
        </is>
      </c>
      <c r="J9" t="inlineStr">
        <is>
          <t>Wonga : RevenueSplit</t>
        </is>
      </c>
      <c r="K9" t="inlineStr">
        <is>
          <t>SSGP26 - Grad Project Standup</t>
        </is>
      </c>
      <c r="L9" t="inlineStr">
        <is>
          <t>Taquanta January report daily tasks update + emails</t>
        </is>
      </c>
      <c r="M9" t="inlineStr"/>
      <c r="N9" t="inlineStr">
        <is>
          <t>Wonga : RevenueSplit</t>
        </is>
      </c>
    </row>
    <row r="10">
      <c r="A10" t="inlineStr">
        <is>
          <t>12:00</t>
        </is>
      </c>
      <c r="B10" t="inlineStr">
        <is>
          <t>Tableau Delivery Planning Workshop – Build the Delivery Plan, Blocker: Value-Driven Workshop_CPT</t>
        </is>
      </c>
      <c r="C10" t="inlineStr"/>
      <c r="D10" t="inlineStr">
        <is>
          <t>Shoprite Analytics|| Cloud BI Daily Stand Up</t>
        </is>
      </c>
      <c r="E10" t="inlineStr">
        <is>
          <t>FATCA analysis, OM Work</t>
        </is>
      </c>
      <c r="F10" t="inlineStr">
        <is>
          <t>Data Driven Event (NexusData &amp; Slipstream)</t>
        </is>
      </c>
      <c r="G10" t="inlineStr">
        <is>
          <t>Ongoing: Daily operational tasks DSY</t>
        </is>
      </c>
      <c r="H10" t="inlineStr"/>
      <c r="I10" t="inlineStr">
        <is>
          <t>Wonga : Collections Dashboard, Shoprite Analytics|| Cloud BI Daily Stand Up</t>
        </is>
      </c>
      <c r="J10" t="inlineStr">
        <is>
          <t>Wonga : Collections Dashboard</t>
        </is>
      </c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Tableau Delivery Planning Workshop – Build the Delivery Plan, Blocker: Value-Driven Workshop_CPT</t>
        </is>
      </c>
      <c r="C11" t="inlineStr"/>
      <c r="D11" t="inlineStr"/>
      <c r="E11" t="inlineStr">
        <is>
          <t>FATCA/CRS S&amp;I intake , OM Work</t>
        </is>
      </c>
      <c r="F11" t="inlineStr">
        <is>
          <t>Data Driven Event (NexusData &amp; Slipstream)</t>
        </is>
      </c>
      <c r="G11" t="inlineStr"/>
      <c r="H11" t="inlineStr"/>
      <c r="I11" t="inlineStr">
        <is>
          <t>Wonga : Collections Dashboard</t>
        </is>
      </c>
      <c r="J11" t="inlineStr">
        <is>
          <t>Wonga : Collections Dashboard</t>
        </is>
      </c>
      <c r="K11" t="inlineStr"/>
      <c r="L11" t="inlineStr">
        <is>
          <t>Wonga Project Plan + Budget Update +Emails</t>
        </is>
      </c>
      <c r="M11" t="inlineStr"/>
      <c r="N11" t="inlineStr"/>
    </row>
    <row r="12">
      <c r="A12" t="inlineStr">
        <is>
          <t>13:00</t>
        </is>
      </c>
      <c r="B12" t="inlineStr">
        <is>
          <t>Tableau Delivery Planning Workshop – Build the Delivery Plan, Blocker: Value-Driven Workshop_CPT</t>
        </is>
      </c>
      <c r="C12" t="inlineStr"/>
      <c r="D12" t="inlineStr">
        <is>
          <t>Wonga : DebtorsAgeing</t>
        </is>
      </c>
      <c r="E12" t="inlineStr">
        <is>
          <t>PM work - task and tribe invite update resend</t>
        </is>
      </c>
      <c r="F12" t="inlineStr">
        <is>
          <t>Data Driven Event (NexusData &amp; Slipstream)</t>
        </is>
      </c>
      <c r="G12" t="inlineStr"/>
      <c r="H12" t="inlineStr"/>
      <c r="I12" t="inlineStr"/>
      <c r="J12" t="inlineStr">
        <is>
          <t>Wonga : DebtorsAgeing</t>
        </is>
      </c>
      <c r="K12" t="inlineStr"/>
      <c r="L12" t="inlineStr">
        <is>
          <t xml:space="preserve">Wonga Project Plan + Budget Update +Emails, Resource Utilization Review </t>
        </is>
      </c>
      <c r="M12" t="inlineStr"/>
      <c r="N12" t="inlineStr"/>
    </row>
    <row r="13">
      <c r="A13" t="inlineStr">
        <is>
          <t>13:30</t>
        </is>
      </c>
      <c r="B13" t="inlineStr">
        <is>
          <t>Blocker: Value-Driven Workshop_CPT</t>
        </is>
      </c>
      <c r="C13" t="inlineStr"/>
      <c r="D13" t="inlineStr">
        <is>
          <t>Wonga : DebtorsAgeing, Canceled: PM Alignment Meeting</t>
        </is>
      </c>
      <c r="E13" t="inlineStr">
        <is>
          <t>OM  PMO Catchup</t>
        </is>
      </c>
      <c r="F13" t="inlineStr">
        <is>
          <t>Data Driven Event (NexusData &amp; Slipstream)</t>
        </is>
      </c>
      <c r="G13" t="inlineStr"/>
      <c r="H13" t="inlineStr">
        <is>
          <t>Canceled: PM Alignment Meeting</t>
        </is>
      </c>
      <c r="I13" t="inlineStr">
        <is>
          <t>Canceled: PM Alignment Meeting</t>
        </is>
      </c>
      <c r="J13" t="inlineStr">
        <is>
          <t>Wonga : DebtorsAgeing</t>
        </is>
      </c>
      <c r="K13" t="inlineStr"/>
      <c r="L13" t="inlineStr">
        <is>
          <t>Wonga Project Plan + Budget Update +Emails, OM  PMO Catchup</t>
        </is>
      </c>
      <c r="M13" t="inlineStr"/>
      <c r="N13" t="inlineStr"/>
    </row>
    <row r="14">
      <c r="A14" t="inlineStr">
        <is>
          <t>14:00</t>
        </is>
      </c>
      <c r="B14" t="inlineStr">
        <is>
          <t>Blocker: Value-Driven Workshop_CPT</t>
        </is>
      </c>
      <c r="C14" t="inlineStr"/>
      <c r="D14" t="inlineStr"/>
      <c r="E14" t="inlineStr">
        <is>
          <t>OM Work</t>
        </is>
      </c>
      <c r="F14" t="inlineStr">
        <is>
          <t>Data Driven Event (NexusData &amp; Slipstream)</t>
        </is>
      </c>
      <c r="G14" t="inlineStr">
        <is>
          <t>Weekly round-up-meeting</t>
        </is>
      </c>
      <c r="H14" t="inlineStr"/>
      <c r="I14" t="inlineStr">
        <is>
          <t xml:space="preserve">Slipstream Internal - Oauth for Snowflake &amp; Tableau </t>
        </is>
      </c>
      <c r="J14" t="inlineStr"/>
      <c r="K14" t="inlineStr">
        <is>
          <t xml:space="preserve">Slipstream Internal - Oauth for Snowflake &amp; Tableau </t>
        </is>
      </c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Blocker: Value-Driven Workshop_CPT</t>
        </is>
      </c>
      <c r="C15" t="inlineStr"/>
      <c r="D15" t="inlineStr"/>
      <c r="E15" t="inlineStr">
        <is>
          <t>OM Work</t>
        </is>
      </c>
      <c r="F15" t="inlineStr">
        <is>
          <t>Data Driven Event (NexusData &amp; Slipstream)</t>
        </is>
      </c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>
        <is>
          <t>Blocker: Value-Driven Workshop_CPT</t>
        </is>
      </c>
      <c r="C16" t="inlineStr"/>
      <c r="D16" t="inlineStr"/>
      <c r="E16" t="inlineStr">
        <is>
          <t>OM Work</t>
        </is>
      </c>
      <c r="F16" t="inlineStr">
        <is>
          <t>Data Driven Event (NexusData &amp; Slipstream)</t>
        </is>
      </c>
      <c r="G16" t="inlineStr"/>
      <c r="H16" t="inlineStr"/>
      <c r="I16" t="inlineStr"/>
      <c r="J16" t="inlineStr"/>
      <c r="K16" t="inlineStr"/>
      <c r="L16" t="inlineStr">
        <is>
          <t>Slipstream - IPD - Internal Projects  ( Slipstream Data ) (Harvest Timesheets and Reports, ClickUp Tasks and Reports, Billing, Emails, Documentation, Reports)</t>
        </is>
      </c>
      <c r="M16" t="inlineStr"/>
      <c r="N16" t="inlineStr"/>
    </row>
    <row r="17">
      <c r="A17" t="inlineStr">
        <is>
          <t>15:30</t>
        </is>
      </c>
      <c r="B17" t="inlineStr">
        <is>
          <t>Blocker: Value-Driven Workshop_CPT</t>
        </is>
      </c>
      <c r="C17" t="inlineStr"/>
      <c r="D17" t="inlineStr"/>
      <c r="E17" t="inlineStr">
        <is>
          <t>OM Work</t>
        </is>
      </c>
      <c r="F17" t="inlineStr">
        <is>
          <t>Data Driven Event (NexusData &amp; Slipstream)</t>
        </is>
      </c>
      <c r="G17" t="inlineStr"/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/>
    </row>
    <row r="18">
      <c r="A18" t="inlineStr">
        <is>
          <t>16:00</t>
        </is>
      </c>
      <c r="B18" t="inlineStr">
        <is>
          <t>Blocker: Value-Driven Workshop_CPT</t>
        </is>
      </c>
      <c r="C18" t="inlineStr"/>
      <c r="D18" t="inlineStr"/>
      <c r="E18" t="inlineStr">
        <is>
          <t>Meeting with Grant, Tableau Presentation Prep (Agent and Pulse)</t>
        </is>
      </c>
      <c r="F18" t="inlineStr">
        <is>
          <t>Data Driven Event (NexusData &amp; Slipstream)</t>
        </is>
      </c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>
        <is>
          <t>Blocker: Value-Driven Workshop_CPT</t>
        </is>
      </c>
      <c r="C19" t="inlineStr"/>
      <c r="D19" t="inlineStr"/>
      <c r="E19" t="inlineStr">
        <is>
          <t>Tableau Presentation Prep (Agent and Pulse), Project creation on OM tableau prod site</t>
        </is>
      </c>
      <c r="F19" t="inlineStr">
        <is>
          <t>Data Driven Event (NexusData &amp; Slipstream)</t>
        </is>
      </c>
      <c r="G19" t="inlineStr">
        <is>
          <t>Michael &lt;&gt; Nate - 1:1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Blocker: Value-Driven Workshop_CPT, 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Blocker: Value-Driven Workshop_CPT, 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RAF- CV and Review, 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Admin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>
        <is>
          <t>SSGP26 - Slipstream/Shaper Grad Report Dev</t>
        </is>
      </c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/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>
        <is>
          <t>SSGP26 - Slipstream/Shaper Grad Report Dev</t>
        </is>
      </c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Tribe Presentation Prep, Blocked - Slipstream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SSGP26 - Project Assessment Review and Markup</t>
        </is>
      </c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Tribe Presentation Prep, Blocked - Slipstream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Tribe Presentation Prep, Blocked - Slipstream</t>
        </is>
      </c>
      <c r="F12" t="inlineStr"/>
      <c r="G12" t="inlineStr">
        <is>
          <t xml:space="preserve">DWH Transform load Monitoring  </t>
        </is>
      </c>
      <c r="H12" t="inlineStr">
        <is>
          <t>Lookthru results on Cela and Netflows fix</t>
        </is>
      </c>
      <c r="I12" t="inlineStr"/>
      <c r="J12" t="inlineStr"/>
      <c r="K12" t="inlineStr">
        <is>
          <t>SSGP26 - Project Assessment and Review (Cont)</t>
        </is>
      </c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Tribe Presentation Prep, Blocked - Slipstream</t>
        </is>
      </c>
      <c r="F13" t="inlineStr"/>
      <c r="G13" t="inlineStr">
        <is>
          <t xml:space="preserve">DWH Transform load Monitoring  </t>
        </is>
      </c>
      <c r="H13" t="inlineStr"/>
      <c r="I13" t="inlineStr"/>
      <c r="J13" t="inlineStr"/>
      <c r="K13" t="inlineStr">
        <is>
          <t>Shoprite - Alteryx Decom Meeting &amp; Sha-Abaan Ticket</t>
        </is>
      </c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Tribe Presentation Prep, Blocked - Slipstream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>
        <is>
          <t>Shoprite - Alteryx Decom Meeting &amp; Sha-Abaan Ticket</t>
        </is>
      </c>
      <c r="L14" t="inlineStr">
        <is>
          <t>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Tribe Presentation Prep, Blocked - Slipstream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>
        <is>
          <t>Internal Projects - Client Support Dashboard Dev (Final Week)</t>
        </is>
      </c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>
        <is>
          <t>OM Work</t>
        </is>
      </c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>
        <is>
          <t>Internal Projects - Client Support Dashboard Dev (Final Week)</t>
        </is>
      </c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/>
      <c r="E17" t="inlineStr">
        <is>
          <t>OM Work</t>
        </is>
      </c>
      <c r="F17" t="inlineStr">
        <is>
          <t xml:space="preserve">ScaleUp Homework sessions </t>
        </is>
      </c>
      <c r="G17" t="inlineStr">
        <is>
          <t>Internal Study time(PDP)</t>
        </is>
      </c>
      <c r="H17" t="inlineStr"/>
      <c r="I17" t="inlineStr"/>
      <c r="J17" t="inlineStr"/>
      <c r="K17" t="inlineStr">
        <is>
          <t>Internal Projects - Client Support Dashboard Dev (Final Week)</t>
        </is>
      </c>
      <c r="L17" t="inlineStr">
        <is>
          <t>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>
        <is>
          <t>Test results review session</t>
        </is>
      </c>
      <c r="E18" t="inlineStr">
        <is>
          <t>OM Work</t>
        </is>
      </c>
      <c r="F18" t="inlineStr"/>
      <c r="G18" t="inlineStr"/>
      <c r="H18" t="inlineStr"/>
      <c r="I18" t="inlineStr"/>
      <c r="J18" t="inlineStr">
        <is>
          <t>Test results review session</t>
        </is>
      </c>
      <c r="K18" t="inlineStr">
        <is>
          <t>Alteryx Decom - Update, Internal Projects - Client Support Dashboard Dev (Final Week)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>
        <is>
          <t>Test results review session</t>
        </is>
      </c>
    </row>
    <row r="19">
      <c r="A19" t="inlineStr">
        <is>
          <t>16:30</t>
        </is>
      </c>
      <c r="B19" t="inlineStr"/>
      <c r="C19" t="inlineStr"/>
      <c r="D19" t="inlineStr">
        <is>
          <t>Test results review session</t>
        </is>
      </c>
      <c r="E19" t="inlineStr">
        <is>
          <t>OM Work</t>
        </is>
      </c>
      <c r="F19" t="inlineStr"/>
      <c r="G19" t="inlineStr"/>
      <c r="H19" t="inlineStr">
        <is>
          <t>Canceled: Tech Team retro, Tech team planning</t>
        </is>
      </c>
      <c r="I19" t="inlineStr"/>
      <c r="J19" t="inlineStr">
        <is>
          <t>Test results review session</t>
        </is>
      </c>
      <c r="K19" t="inlineStr">
        <is>
          <t>Internal Projects - Client Support Dashboard Dev (Final Week)</t>
        </is>
      </c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>
        <is>
          <t>Test results review session</t>
        </is>
      </c>
    </row>
    <row r="20">
      <c r="A20" t="inlineStr">
        <is>
          <t>17:00</t>
        </is>
      </c>
      <c r="B20" t="inlineStr">
        <is>
          <t>Tableau Tribe Development and Upskilling</t>
        </is>
      </c>
      <c r="C20" t="inlineStr"/>
      <c r="D20" t="inlineStr"/>
      <c r="E20" t="inlineStr">
        <is>
          <t>Repond to Tristain, Tableau Tribe Development and Upskilling</t>
        </is>
      </c>
      <c r="F20" t="inlineStr">
        <is>
          <t>Tableau Tribe Development and Upskilling</t>
        </is>
      </c>
      <c r="G20" t="inlineStr"/>
      <c r="H20" t="inlineStr">
        <is>
          <t>Canceled: Tech Team retro, Tech team planning</t>
        </is>
      </c>
      <c r="I20" t="inlineStr"/>
      <c r="J20" t="inlineStr"/>
      <c r="K20" t="inlineStr">
        <is>
          <t>Tableau Tribe Development and Upskilling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>
        <is>
          <t>Tableau Tribe Development and Upskilling</t>
        </is>
      </c>
      <c r="N20" t="inlineStr">
        <is>
          <t>Tableau Tribe Development and Upskilling</t>
        </is>
      </c>
    </row>
    <row r="21">
      <c r="A21" t="inlineStr">
        <is>
          <t>17:30</t>
        </is>
      </c>
      <c r="B21" t="inlineStr">
        <is>
          <t>Tableau Tribe Development and Upskilling</t>
        </is>
      </c>
      <c r="C21" t="inlineStr"/>
      <c r="D21" t="inlineStr"/>
      <c r="E21" t="inlineStr">
        <is>
          <t>Tableau Tribe Development and Upskilling</t>
        </is>
      </c>
      <c r="F21" t="inlineStr">
        <is>
          <t>Tableau Tribe Development and Upskilling</t>
        </is>
      </c>
      <c r="G21" t="inlineStr"/>
      <c r="H21" t="inlineStr">
        <is>
          <t>Canceled: Tech Team retro</t>
        </is>
      </c>
      <c r="I21" t="inlineStr"/>
      <c r="J21" t="inlineStr"/>
      <c r="K21" t="inlineStr">
        <is>
          <t>Tableau Tribe Development and Upskilling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>
        <is>
          <t>Tableau Tribe Development and Upskilling</t>
        </is>
      </c>
      <c r="N21" t="inlineStr">
        <is>
          <t>Tableau Tribe Development and Upskilling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Wonga: DWH development &amp; migration on Snowflake Project Daily Standup**With Client**</t>
        </is>
      </c>
      <c r="C9" t="inlineStr">
        <is>
          <t>Wonga: DWH development &amp; migration on Snowflake Project Daily Standup**With Client**</t>
        </is>
      </c>
      <c r="D9" t="inlineStr">
        <is>
          <t>Wonga: DWH development &amp; migration on Snowflake Project Daily Standup**With Client**</t>
        </is>
      </c>
      <c r="E9" t="inlineStr">
        <is>
          <t>OM Work, GRCA Portfolio | Team Stand-up</t>
        </is>
      </c>
      <c r="F9" t="inlineStr">
        <is>
          <t>Wonga: DWH development &amp; migration on Snowflake Project Daily Standup**With Client**</t>
        </is>
      </c>
      <c r="G9" t="inlineStr">
        <is>
          <t>Ongoing: Daily operational tasks DSY</t>
        </is>
      </c>
      <c r="H9" t="inlineStr"/>
      <c r="I9" t="inlineStr">
        <is>
          <t>Wonga: DWH development &amp; migration on Snowflake Project Daily Standup**With Client**</t>
        </is>
      </c>
      <c r="J9" t="inlineStr">
        <is>
          <t>Wonga: DWH development &amp; migration on Snowflake Project Daily Standup**With Client**</t>
        </is>
      </c>
      <c r="K9" t="inlineStr">
        <is>
          <t>Wonga: DWH development &amp; migration on Snowflake Project Daily Standup**With Client**</t>
        </is>
      </c>
      <c r="L9" t="inlineStr">
        <is>
          <t>Wonga: DWH development &amp; migration on Snowflake Project Daily Standup**With Client**</t>
        </is>
      </c>
      <c r="M9" t="inlineStr"/>
      <c r="N9" t="inlineStr">
        <is>
          <t>Wonga: DWH development &amp; migration on Snowflake Project Daily Standup**With Client**</t>
        </is>
      </c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>SA - Cloud BI | Stand Up</t>
        </is>
      </c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>
        <is>
          <t>Review Session: Data Architecture Plan</t>
        </is>
      </c>
      <c r="L11" t="inlineStr">
        <is>
          <t>Resource Utilisation Review</t>
        </is>
      </c>
      <c r="M11" t="inlineStr"/>
      <c r="N11" t="inlineStr">
        <is>
          <t>Review Session: Data Architecture Plan</t>
        </is>
      </c>
    </row>
    <row r="12">
      <c r="A12" t="inlineStr">
        <is>
          <t>13:00</t>
        </is>
      </c>
      <c r="B12" t="inlineStr">
        <is>
          <t xml:space="preserve">BusAI | Slipstream catch up </t>
        </is>
      </c>
      <c r="C12" t="inlineStr"/>
      <c r="D12" t="inlineStr"/>
      <c r="E12" t="inlineStr">
        <is>
          <t>FW: GFS Dashboard/GiT walkthrough (in-person), OM Work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BusAI | Slipstream catch up </t>
        </is>
      </c>
      <c r="C13" t="inlineStr"/>
      <c r="D13" t="inlineStr"/>
      <c r="E13" t="inlineStr">
        <is>
          <t>FW: GFS Dashboard/GiT walkthrough (in-person), OM Work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FW: GFS Dashboard/GiT walkthrough (in-person), OM Work</t>
        </is>
      </c>
      <c r="F14" t="inlineStr">
        <is>
          <t>From Data Chaos to Unifying Data, Business Logic and Decisions, Taquanta: Weekly SLA &amp; Projects update (Client meeting)</t>
        </is>
      </c>
      <c r="G14" t="inlineStr"/>
      <c r="H14" t="inlineStr">
        <is>
          <t>Taquanta: Weekly SLA &amp; Projects update (Client meeting)</t>
        </is>
      </c>
      <c r="I14" t="inlineStr">
        <is>
          <t>From Data Chaos to Unifying Data, Business Logic and Decisions</t>
        </is>
      </c>
      <c r="J14" t="inlineStr"/>
      <c r="K14" t="inlineStr"/>
      <c r="L14" t="inlineStr">
        <is>
          <t>Wonga Project Plan + Budget Update +Emails, 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FW: GFS Dashboard/GiT walkthrough (in-person), OM Work</t>
        </is>
      </c>
      <c r="F15" t="inlineStr">
        <is>
          <t>From Data Chaos to Unifying Data, Business Logic and Decisions</t>
        </is>
      </c>
      <c r="G15" t="inlineStr"/>
      <c r="H15" t="inlineStr"/>
      <c r="I15" t="inlineStr">
        <is>
          <t>From Data Chaos to Unifying Data, Business Logic and Decisions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FW: GFS Dashboard/GiT walkthrough (in-person), OM Work</t>
        </is>
      </c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FW: GFS Dashboard/GiT walkthrough (in-person), OM Work</t>
        </is>
      </c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>
        <is>
          <t>SSGP26 - Report Automation Project Meeting</t>
        </is>
      </c>
      <c r="J18" t="inlineStr">
        <is>
          <t>Wonga : Revenue Split</t>
        </is>
      </c>
      <c r="K18" t="inlineStr">
        <is>
          <t>SSGP26 - Report Automation Project Meeting</t>
        </is>
      </c>
      <c r="L18" t="inlineStr">
        <is>
          <t>SSGP26 - Report Automation Project Meeting, Slipstream - IPD - Internal Projects  ( Slipstream Data ) (Harvest Timesheets and Reports, ClickUp Tasks and Reports, Billing, Emails, Documentation, Reports)</t>
        </is>
      </c>
      <c r="M18" t="inlineStr"/>
      <c r="N18" t="inlineStr">
        <is>
          <t>Wonga : Revenue Split</t>
        </is>
      </c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>
        <is>
          <t>SSGP26 - Report Automation Project Meeting</t>
        </is>
      </c>
      <c r="J19" t="inlineStr">
        <is>
          <t>Wonga : Revenue Split</t>
        </is>
      </c>
      <c r="K19" t="inlineStr">
        <is>
          <t>SSGP26 - Report Automation Project Meeting</t>
        </is>
      </c>
      <c r="L19" t="inlineStr">
        <is>
          <t>SSGP26 - Report Automation Project Meeting, Slipstream - IPD - Internal Projects  ( Slipstream Data ) (Harvest Timesheets and Reports, ClickUp Tasks and Reports, Billing, Emails, Documentation, Reports)</t>
        </is>
      </c>
      <c r="M19" t="inlineStr"/>
      <c r="N19" t="inlineStr">
        <is>
          <t>Wonga : Revenue Split</t>
        </is>
      </c>
    </row>
    <row r="20">
      <c r="A20" t="inlineStr">
        <is>
          <t>17:00</t>
        </is>
      </c>
      <c r="B20" t="inlineStr">
        <is>
          <t>Wonga loan / DT.transaction data fix - quick chat</t>
        </is>
      </c>
      <c r="C20" t="inlineStr">
        <is>
          <t>Wonga loan / DT.transaction data fix - quick chat</t>
        </is>
      </c>
      <c r="D20" t="inlineStr">
        <is>
          <t>Wonga loan / DT.transaction data fix - quick chat</t>
        </is>
      </c>
      <c r="E20" t="inlineStr">
        <is>
          <t>Wonga loan / DT.transaction data fix - quick chat</t>
        </is>
      </c>
      <c r="F20" t="inlineStr">
        <is>
          <t>Wonga loan / DT.transaction data fix - quick chat</t>
        </is>
      </c>
      <c r="G20" t="inlineStr"/>
      <c r="H20" t="inlineStr"/>
      <c r="I20" t="inlineStr">
        <is>
          <t>Wonga loan / DT.transaction data fix - quick chat</t>
        </is>
      </c>
      <c r="J20" t="inlineStr">
        <is>
          <t>Wonga loan / DT.transaction data fix - quick chat</t>
        </is>
      </c>
      <c r="K20" t="inlineStr">
        <is>
          <t>Wonga loan / DT.transaction data fix - quick chat</t>
        </is>
      </c>
      <c r="L20" t="inlineStr">
        <is>
          <t>Wonga loan / DT.transaction data fix - quick chat, Slipstream - IPD - Internal Projects  ( Slipstream Data ) (Harvest Timesheets and Reports, ClickUp Tasks and Reports, Billing, Emails, Documentation, Reports)</t>
        </is>
      </c>
      <c r="M20" t="inlineStr"/>
      <c r="N20" t="inlineStr">
        <is>
          <t>Wonga loan / DT.transaction data fix - quick chat</t>
        </is>
      </c>
    </row>
    <row r="21">
      <c r="A21" t="inlineStr">
        <is>
          <t>17:30</t>
        </is>
      </c>
      <c r="B21" t="inlineStr">
        <is>
          <t>Discussion: AI readiness value proposition</t>
        </is>
      </c>
      <c r="C21" t="inlineStr"/>
      <c r="D21" t="inlineStr"/>
      <c r="E21" t="inlineStr">
        <is>
          <t>OM Work</t>
        </is>
      </c>
      <c r="F21" t="inlineStr">
        <is>
          <t>Discussion: AI readiness value proposition</t>
        </is>
      </c>
      <c r="G21" t="inlineStr"/>
      <c r="H21" t="inlineStr"/>
      <c r="I21" t="inlineStr"/>
      <c r="J21" t="inlineStr">
        <is>
          <t>Wonga : RevenueSplit continued</t>
        </is>
      </c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>
        <is>
          <t>Wonga : RevenueSplit continued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>
        <is>
          <t>Wonga : DebtorsAgeing</t>
        </is>
      </c>
      <c r="E3" t="inlineStr"/>
      <c r="F3" t="inlineStr"/>
      <c r="G3" t="inlineStr"/>
      <c r="H3" t="inlineStr"/>
      <c r="I3" t="inlineStr"/>
      <c r="J3" t="inlineStr">
        <is>
          <t>Wonga : DebtorsAgeing</t>
        </is>
      </c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>
        <is>
          <t>Wonga : DebtorsAgeing</t>
        </is>
      </c>
      <c r="E4" t="inlineStr"/>
      <c r="F4" t="inlineStr"/>
      <c r="G4" t="inlineStr"/>
      <c r="H4" t="inlineStr"/>
      <c r="I4" t="inlineStr"/>
      <c r="J4" t="inlineStr">
        <is>
          <t>Wonga : DebtorsAgeing</t>
        </is>
      </c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>
        <is>
          <t>Wonga : DebtorsAgeing</t>
        </is>
      </c>
      <c r="E5" t="inlineStr">
        <is>
          <t>Focus time</t>
        </is>
      </c>
      <c r="F5" t="inlineStr"/>
      <c r="G5" t="inlineStr"/>
      <c r="H5" t="inlineStr"/>
      <c r="I5" t="inlineStr"/>
      <c r="J5" t="inlineStr">
        <is>
          <t>Wonga : DebtorsAgeing</t>
        </is>
      </c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Wonga: DWH development &amp; migration on Snowflake Project Daily Standup**With Client**</t>
        </is>
      </c>
      <c r="C9" t="inlineStr">
        <is>
          <t>Wonga: DWH development &amp; migration on Snowflake Project Daily Standup**With Client**</t>
        </is>
      </c>
      <c r="D9" t="inlineStr">
        <is>
          <t>Wonga: DWH development &amp; migration on Snowflake Project Daily Standup**With Client**</t>
        </is>
      </c>
      <c r="E9" t="inlineStr">
        <is>
          <t>OM Work</t>
        </is>
      </c>
      <c r="F9" t="inlineStr">
        <is>
          <t>Wonga: DWH development &amp; migration on Snowflake Project Daily Standup**With Client**</t>
        </is>
      </c>
      <c r="G9" t="inlineStr">
        <is>
          <t>Ongoing: Daily operational tasks DSY</t>
        </is>
      </c>
      <c r="H9" t="inlineStr"/>
      <c r="I9" t="inlineStr">
        <is>
          <t>Wonga: DWH development &amp; migration on Snowflake Project Daily Standup**With Client**</t>
        </is>
      </c>
      <c r="J9" t="inlineStr">
        <is>
          <t>Wonga: DWH development &amp; migration on Snowflake Project Daily Standup**With Client**</t>
        </is>
      </c>
      <c r="K9" t="inlineStr">
        <is>
          <t>Wonga: DWH development &amp; migration on Snowflake Project Daily Standup**With Client**</t>
        </is>
      </c>
      <c r="L9" t="inlineStr">
        <is>
          <t>Wonga: DWH development &amp; migration on Snowflake Project Daily Standup**With Client**</t>
        </is>
      </c>
      <c r="M9" t="inlineStr"/>
      <c r="N9" t="inlineStr">
        <is>
          <t>Wonga: DWH development &amp; migration on Snowflake Project Daily Standup**With Client**</t>
        </is>
      </c>
    </row>
    <row r="10">
      <c r="A10" t="inlineStr">
        <is>
          <t>12:00</t>
        </is>
      </c>
      <c r="B10" t="inlineStr"/>
      <c r="C10" t="inlineStr">
        <is>
          <t>Taquanta: Projects Internal Standup</t>
        </is>
      </c>
      <c r="D10" t="inlineStr">
        <is>
          <t>Shoprite Analytics|| Cloud BI Daily Stand Up, Taquanta: Projects Internal Standup</t>
        </is>
      </c>
      <c r="E10" t="inlineStr">
        <is>
          <t>Dashboard Data Source Modernization &amp; Migration – Tableau New way of working, OM Work</t>
        </is>
      </c>
      <c r="F10" t="inlineStr"/>
      <c r="G10" t="inlineStr">
        <is>
          <t>Canceled: Tech Team Planning , Ongoing: Daily operational tasks DSY</t>
        </is>
      </c>
      <c r="H10" t="inlineStr">
        <is>
          <t>Canceled: Tech Team Planning , Taquanta: Projects Internal Standup</t>
        </is>
      </c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>Taquanta: Projects Internal Standup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Dashboard Data Source Modernization &amp; Migration – Tableau New way of working, OM Work</t>
        </is>
      </c>
      <c r="F11" t="inlineStr"/>
      <c r="G11" t="inlineStr">
        <is>
          <t xml:space="preserve">Canceled: Tech Team Planning </t>
        </is>
      </c>
      <c r="H11" t="inlineStr">
        <is>
          <t xml:space="preserve">Canceled: Tech Team Planning </t>
        </is>
      </c>
      <c r="I11" t="inlineStr"/>
      <c r="J11" t="inlineStr"/>
      <c r="K11" t="inlineStr"/>
      <c r="L11" t="inlineStr">
        <is>
          <t>Sandi &lt;&gt; Nate - 1:1</t>
        </is>
      </c>
      <c r="M11" t="inlineStr"/>
      <c r="N11" t="inlineStr"/>
    </row>
    <row r="12">
      <c r="A12" t="inlineStr">
        <is>
          <t>13:00</t>
        </is>
      </c>
      <c r="B12" t="inlineStr">
        <is>
          <t>Resource Management Brainstorming</t>
        </is>
      </c>
      <c r="C12" t="inlineStr"/>
      <c r="D12" t="inlineStr"/>
      <c r="E12" t="inlineStr">
        <is>
          <t>Cura | FATCA API | Robotics | Pat Access Tableau, OM Work</t>
        </is>
      </c>
      <c r="F12" t="inlineStr">
        <is>
          <t>Resource Management Brainstorming</t>
        </is>
      </c>
      <c r="G12" t="inlineStr"/>
      <c r="H12" t="inlineStr"/>
      <c r="I12" t="inlineStr"/>
      <c r="J12" t="inlineStr">
        <is>
          <t>Resource Management Brainstorming</t>
        </is>
      </c>
      <c r="K12" t="inlineStr"/>
      <c r="L12" t="inlineStr">
        <is>
          <t>Resource Management Brainstorming</t>
        </is>
      </c>
      <c r="M12" t="inlineStr"/>
      <c r="N12" t="inlineStr">
        <is>
          <t>Resource Management Brainstorming</t>
        </is>
      </c>
    </row>
    <row r="13">
      <c r="A13" t="inlineStr">
        <is>
          <t>13:30</t>
        </is>
      </c>
      <c r="B13" t="inlineStr">
        <is>
          <t>Resource Management Brainstorming</t>
        </is>
      </c>
      <c r="C13" t="inlineStr"/>
      <c r="D13" t="inlineStr"/>
      <c r="E13" t="inlineStr">
        <is>
          <t>Robotics Check and meeting Sam, OM Work</t>
        </is>
      </c>
      <c r="F13" t="inlineStr">
        <is>
          <t>Resource Management Brainstorming</t>
        </is>
      </c>
      <c r="G13" t="inlineStr"/>
      <c r="H13" t="inlineStr"/>
      <c r="I13" t="inlineStr"/>
      <c r="J13" t="inlineStr">
        <is>
          <t>Resource Management Brainstorming, Canceled: Senior Tech Team: Insights Session</t>
        </is>
      </c>
      <c r="K13" t="inlineStr"/>
      <c r="L13" t="inlineStr">
        <is>
          <t>Resource Management Brainstorming</t>
        </is>
      </c>
      <c r="M13" t="inlineStr"/>
      <c r="N13" t="inlineStr">
        <is>
          <t>Resource Management Brainstorming</t>
        </is>
      </c>
    </row>
    <row r="14">
      <c r="A14" t="inlineStr">
        <is>
          <t>14:00</t>
        </is>
      </c>
      <c r="B14" t="inlineStr"/>
      <c r="C14" t="inlineStr"/>
      <c r="D14" t="inlineStr">
        <is>
          <t>Good Means Better Business: A Playbook for Data-Driven Sustainability</t>
        </is>
      </c>
      <c r="E14" t="inlineStr">
        <is>
          <t>Robotics Check and meeting Sam, OM Work</t>
        </is>
      </c>
      <c r="F14" t="inlineStr">
        <is>
          <t>Good Means Better Business: A Playbook for Data-Driven Sustainability</t>
        </is>
      </c>
      <c r="G14" t="inlineStr"/>
      <c r="H14" t="inlineStr">
        <is>
          <t>Look through data on Cela diffs</t>
        </is>
      </c>
      <c r="I14" t="inlineStr">
        <is>
          <t>Good Means Better Business: A Playbook for Data-Driven Sustainability</t>
        </is>
      </c>
      <c r="J14" t="inlineStr"/>
      <c r="K14" t="inlineStr"/>
      <c r="L14" t="inlineStr">
        <is>
          <t>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>
        <is>
          <t>Introduction to the C2iVP PDP Framework and Development Dashboard</t>
        </is>
      </c>
      <c r="C15" t="inlineStr"/>
      <c r="D15" t="inlineStr"/>
      <c r="E15" t="inlineStr">
        <is>
          <t>FATCA P1 with Grant, OM Work</t>
        </is>
      </c>
      <c r="F15" t="inlineStr">
        <is>
          <t>Introduction to the C2iVP PDP Framework and Development Dashboard</t>
        </is>
      </c>
      <c r="G15" t="inlineStr"/>
      <c r="H15" t="inlineStr"/>
      <c r="I15" t="inlineStr"/>
      <c r="J15" t="inlineStr"/>
      <c r="K15" t="inlineStr"/>
      <c r="L15" t="inlineStr">
        <is>
          <t>Wonga Project Plan + Budget Update +Emails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>
        <is>
          <t>FATCA P1 with Grant</t>
        </is>
      </c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Wonga Project Plan + Budget Update +Emails, 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Alterxy and RAF questions</t>
        </is>
      </c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Slipstream - IPD - Internal Projects  ( Slipstream Data ) (Harvest Timesheets and Reports, ClickUp Tasks and Reports, Billing, Emails, Documentation, Reports)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Alterxy and RAF questions, 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>
        <is>
          <t>Tech &lt;&gt; Ops: Alignment Session</t>
        </is>
      </c>
      <c r="C19" t="inlineStr"/>
      <c r="D19" t="inlineStr"/>
      <c r="E19" t="inlineStr">
        <is>
          <t>Log ticket for Robotics 2 tasks (run and re-run), 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RAF, 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Reports), PMO: Client Reports Review and Sign-off</t>
        </is>
      </c>
      <c r="M20" t="inlineStr"/>
      <c r="N20" t="inlineStr"/>
    </row>
    <row r="21">
      <c r="A21" t="inlineStr">
        <is>
          <t>17:30</t>
        </is>
      </c>
      <c r="B21" t="inlineStr">
        <is>
          <t>PMO Office Hours Sessions</t>
        </is>
      </c>
      <c r="C21" t="inlineStr"/>
      <c r="D21" t="inlineStr"/>
      <c r="E21" t="inlineStr">
        <is>
          <t>PMO Office Hours Sessions</t>
        </is>
      </c>
      <c r="F21" t="inlineStr">
        <is>
          <t>PMO Office Hours Sessions</t>
        </is>
      </c>
      <c r="G21" t="inlineStr"/>
      <c r="H21" t="inlineStr"/>
      <c r="I21" t="inlineStr"/>
      <c r="J21" t="inlineStr">
        <is>
          <t>PMO Office Hours Sessions</t>
        </is>
      </c>
      <c r="K21" t="inlineStr"/>
      <c r="L21" t="inlineStr">
        <is>
          <t>PMO Office Hours Sessions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>
        <is>
          <t>Tx fix in datalake check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>
        <is>
          <t>Tx fix in datalake check</t>
        </is>
      </c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Wonga: DWH development &amp; migration on Snowflake Project Daily Standup**With Client**</t>
        </is>
      </c>
      <c r="C9" t="inlineStr">
        <is>
          <t>Wonga: DWH development &amp; migration on Snowflake Project Daily Standup**With Client**</t>
        </is>
      </c>
      <c r="D9" t="inlineStr">
        <is>
          <t>Wonga: DWH development &amp; migration on Snowflake Project Daily Standup**With Client**</t>
        </is>
      </c>
      <c r="E9" t="inlineStr">
        <is>
          <t>OM Work</t>
        </is>
      </c>
      <c r="F9" t="inlineStr">
        <is>
          <t>Wonga: DWH development &amp; migration on Snowflake Project Daily Standup**With Client**</t>
        </is>
      </c>
      <c r="G9" t="inlineStr">
        <is>
          <t>Ongoing: Daily operational tasks DSY</t>
        </is>
      </c>
      <c r="H9" t="inlineStr"/>
      <c r="I9" t="inlineStr">
        <is>
          <t>Wonga: DWH development &amp; migration on Snowflake Project Daily Standup**With Client**</t>
        </is>
      </c>
      <c r="J9" t="inlineStr">
        <is>
          <t>Wonga: DWH development &amp; migration on Snowflake Project Daily Standup**With Client**</t>
        </is>
      </c>
      <c r="K9" t="inlineStr">
        <is>
          <t>Wonga: DWH development &amp; migration on Snowflake Project Daily Standup**With Client**</t>
        </is>
      </c>
      <c r="L9" t="inlineStr">
        <is>
          <t>Wonga: DWH development &amp; migration on Snowflake Project Daily Standup**With Client**</t>
        </is>
      </c>
      <c r="M9" t="inlineStr"/>
      <c r="N9" t="inlineStr">
        <is>
          <t>Wonga: DWH development &amp; migration on Snowflake Project Daily Standup**With Client**</t>
        </is>
      </c>
    </row>
    <row r="10">
      <c r="A10" t="inlineStr">
        <is>
          <t>12:00</t>
        </is>
      </c>
      <c r="B10" t="inlineStr">
        <is>
          <t>FW: Weekly Check-In: Tableau Progress</t>
        </is>
      </c>
      <c r="C10" t="inlineStr">
        <is>
          <t>Wonga : Collections Dashboard, Taquanta: Projects Internal Standup</t>
        </is>
      </c>
      <c r="D10" t="inlineStr">
        <is>
          <t>Shoprite Analytics|| Cloud BI Daily Stand Up, Taquanta: Projects Internal Standup</t>
        </is>
      </c>
      <c r="E10" t="inlineStr">
        <is>
          <t>OM Work</t>
        </is>
      </c>
      <c r="F10" t="inlineStr">
        <is>
          <t>Snowflake x Slipstream - catch up, FW: Weekly Check-In: Tableau Progress</t>
        </is>
      </c>
      <c r="G10" t="inlineStr">
        <is>
          <t>Ongoing: Daily operational tasks DSY</t>
        </is>
      </c>
      <c r="H10" t="inlineStr">
        <is>
          <t>Taquanta: Projects Internal Standup</t>
        </is>
      </c>
      <c r="I10" t="inlineStr">
        <is>
          <t>Wonga : Collections Dashboard, Shoprite Analytics|| Cloud BI Daily Stand Up</t>
        </is>
      </c>
      <c r="J10" t="inlineStr">
        <is>
          <t>Wonga : Collections Dashboard</t>
        </is>
      </c>
      <c r="K10" t="inlineStr">
        <is>
          <t>SA - Cloud BI | Stand Up</t>
        </is>
      </c>
      <c r="L10" t="inlineStr">
        <is>
          <t>Taquanta: Projects Internal Standup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Wonga : Collections Dashboard</t>
        </is>
      </c>
      <c r="D11" t="inlineStr"/>
      <c r="E11" t="inlineStr">
        <is>
          <t>OM Work</t>
        </is>
      </c>
      <c r="F11" t="inlineStr"/>
      <c r="G11" t="inlineStr"/>
      <c r="H11" t="inlineStr"/>
      <c r="I11" t="inlineStr">
        <is>
          <t>Wonga : Collections Dashboard</t>
        </is>
      </c>
      <c r="J11" t="inlineStr">
        <is>
          <t>Wonga : Collections Dashboard</t>
        </is>
      </c>
      <c r="K11" t="inlineStr">
        <is>
          <t>Client SLA Dashboard Dev</t>
        </is>
      </c>
      <c r="L11" t="inlineStr">
        <is>
          <t xml:space="preserve">Sanlam - Tableau Services Project Support Hours Weekly Report </t>
        </is>
      </c>
      <c r="M11" t="inlineStr"/>
      <c r="N11" t="inlineStr">
        <is>
          <t xml:space="preserve">[Resource Scheduling] Data cleaning notebook review </t>
        </is>
      </c>
    </row>
    <row r="12">
      <c r="A12" t="inlineStr">
        <is>
          <t>13:00</t>
        </is>
      </c>
      <c r="B12" t="inlineStr"/>
      <c r="C12" t="inlineStr">
        <is>
          <t>SARB report template issue and moving to UAT</t>
        </is>
      </c>
      <c r="D12" t="inlineStr">
        <is>
          <t>SARB report template issue and moving to UAT</t>
        </is>
      </c>
      <c r="E12" t="inlineStr">
        <is>
          <t>Alteryx API and OAuth2, OM Work</t>
        </is>
      </c>
      <c r="F12" t="inlineStr"/>
      <c r="G12" t="inlineStr"/>
      <c r="H12" t="inlineStr"/>
      <c r="I12" t="inlineStr"/>
      <c r="J12" t="inlineStr"/>
      <c r="K12" t="inlineStr">
        <is>
          <t>Alteryx API and OAuth2, Client SLA Dashboard Dev</t>
        </is>
      </c>
      <c r="L12" t="inlineStr">
        <is>
          <t>Wonga Project Plan + Budget Update +Emails</t>
        </is>
      </c>
      <c r="M12" t="inlineStr"/>
      <c r="N12" t="inlineStr">
        <is>
          <t xml:space="preserve">[Resource Scheduling] Data cleaning notebook review </t>
        </is>
      </c>
    </row>
    <row r="13">
      <c r="A13" t="inlineStr">
        <is>
          <t>13:30</t>
        </is>
      </c>
      <c r="B13" t="inlineStr">
        <is>
          <t>Internal Projects - Utilization report</t>
        </is>
      </c>
      <c r="C13" t="inlineStr">
        <is>
          <t>Wonga : DebtorsAgeing</t>
        </is>
      </c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>
        <is>
          <t>Wonga : DebtorsAgeing</t>
        </is>
      </c>
      <c r="K13" t="inlineStr">
        <is>
          <t>Client SLA Dashboard Dev</t>
        </is>
      </c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>
        <is>
          <t xml:space="preserve">Tableau | OM </t>
        </is>
      </c>
      <c r="C14" t="inlineStr"/>
      <c r="D14" t="inlineStr"/>
      <c r="E14" t="inlineStr">
        <is>
          <t>Handover Plan | GIT aws login | Alteryx workflows, OM Work</t>
        </is>
      </c>
      <c r="F14" t="inlineStr"/>
      <c r="G14" t="inlineStr"/>
      <c r="H14" t="inlineStr"/>
      <c r="I14" t="inlineStr">
        <is>
          <t>Build Powerful AI Agents and Apps Using OpenAI in Snowflake Cortex AI</t>
        </is>
      </c>
      <c r="J14" t="inlineStr"/>
      <c r="K14" t="inlineStr">
        <is>
          <t>Client SLA Dashboard Dev</t>
        </is>
      </c>
      <c r="L14" t="inlineStr">
        <is>
          <t>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Tableau | OM </t>
        </is>
      </c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>
        <is>
          <t>Build Powerful AI Agents and Apps Using OpenAI in Snowflake Cortex AI</t>
        </is>
      </c>
      <c r="J15" t="inlineStr"/>
      <c r="K15" t="inlineStr">
        <is>
          <t>Client SLA Dashboard Dev</t>
        </is>
      </c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Descriptive Analytics extracts to execute on Tableau server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>
        <is>
          <t>Build Powerful AI Agents and Apps Using OpenAI in Snowflake Cortex AI</t>
        </is>
      </c>
      <c r="J16" t="inlineStr"/>
      <c r="K16" t="inlineStr">
        <is>
          <t>Client SLA Dashboard Dev</t>
        </is>
      </c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>
        <is>
          <t>Client SLA Dashboard Dev</t>
        </is>
      </c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DWH Structure - Session 3 (Operational Stability)</t>
        </is>
      </c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>
        <is>
          <t>DWH Structure - Session 3 (Operational Stability)</t>
        </is>
      </c>
      <c r="K19" t="inlineStr">
        <is>
          <t>Wonga ODS - Revalidations based on Prod Reload</t>
        </is>
      </c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DWH Structure - Session 3 (Operational Stability), Slipstream Data / WhereScape</t>
        </is>
      </c>
      <c r="C20" t="inlineStr"/>
      <c r="D20" t="inlineStr"/>
      <c r="E20" t="inlineStr">
        <is>
          <t>OM Work</t>
        </is>
      </c>
      <c r="F20" t="inlineStr"/>
      <c r="G20" t="inlineStr">
        <is>
          <t>Michael &lt;&gt; Nate - 1:1 follow up</t>
        </is>
      </c>
      <c r="H20" t="inlineStr"/>
      <c r="I20" t="inlineStr"/>
      <c r="J20" t="inlineStr">
        <is>
          <t>DWH Structure - Session 3 (Operational Stability)</t>
        </is>
      </c>
      <c r="K20" t="inlineStr">
        <is>
          <t>Wonga ODS - Revalidations based on Prod Reload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Slipstream Data / WhereScape</t>
        </is>
      </c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>
        <is>
          <t>Wonga ODS - Revalidations based on Prod Reload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>
        <is>
          <t>Wonga Project Plan + Budget Update +Emails</t>
        </is>
      </c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>
        <is>
          <t>SSGP26 - Grad Project Standup</t>
        </is>
      </c>
      <c r="J9" t="inlineStr"/>
      <c r="K9" t="inlineStr">
        <is>
          <t>SSGP26 - Grad Project Standup</t>
        </is>
      </c>
      <c r="L9" t="inlineStr">
        <is>
          <t>Wonga Project Plan + Budget Update +Emails</t>
        </is>
      </c>
      <c r="M9" t="inlineStr"/>
      <c r="N9" t="inlineStr"/>
    </row>
    <row r="10">
      <c r="A10" t="inlineStr">
        <is>
          <t>12:00</t>
        </is>
      </c>
      <c r="B10" t="inlineStr">
        <is>
          <t>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Wonga Project Plan + Budget Update +Emails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Slipstream/Datacentrix | Introduction &amp; Exploratory Discussion, RAF Bid Sync - 24/03 Planning Meeting </t>
        </is>
      </c>
      <c r="C12" t="inlineStr"/>
      <c r="D12" t="inlineStr">
        <is>
          <t xml:space="preserve">RAF Bid Sync - 24/03 Planning Meeting </t>
        </is>
      </c>
      <c r="E12" t="inlineStr">
        <is>
          <t xml:space="preserve">RAF Bid Sync - 24/03 Planning Meeting </t>
        </is>
      </c>
      <c r="F12" t="inlineStr">
        <is>
          <t xml:space="preserve">RAF Bid Sync - 24/03 Planning Meeting </t>
        </is>
      </c>
      <c r="G12" t="inlineStr"/>
      <c r="H12" t="inlineStr">
        <is>
          <t xml:space="preserve">RAF Bid Sync - 24/03 Planning Meeting </t>
        </is>
      </c>
      <c r="I12" t="inlineStr"/>
      <c r="J12" t="inlineStr"/>
      <c r="K12" t="inlineStr"/>
      <c r="L12" t="inlineStr">
        <is>
          <t xml:space="preserve">RAF Bid Sync - 24/03 Planning Meeting , Resource Utilization Review 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Slipstream/Datacentrix | Introduction &amp; Exploratory Discussion, RAF Bid Sync - 24/03 Planning Meeting </t>
        </is>
      </c>
      <c r="C13" t="inlineStr"/>
      <c r="D13" t="inlineStr">
        <is>
          <t xml:space="preserve">RAF Bid Sync - 24/03 Planning Meeting </t>
        </is>
      </c>
      <c r="E13" t="inlineStr">
        <is>
          <t>RAF Bid Sync - 24/03 Planning Meeting , OM  PMO Catchup</t>
        </is>
      </c>
      <c r="F13" t="inlineStr">
        <is>
          <t xml:space="preserve">RAF Bid Sync - 24/03 Planning Meeting </t>
        </is>
      </c>
      <c r="G13" t="inlineStr"/>
      <c r="H13" t="inlineStr">
        <is>
          <t xml:space="preserve">RAF Bid Sync - 24/03 Planning Meeting </t>
        </is>
      </c>
      <c r="I13" t="inlineStr"/>
      <c r="J13" t="inlineStr"/>
      <c r="K13" t="inlineStr"/>
      <c r="L13" t="inlineStr">
        <is>
          <t>RAF Bid Sync - 24/03 Planning Meeting , OM  PMO Catchup</t>
        </is>
      </c>
      <c r="M13" t="inlineStr"/>
      <c r="N13" t="inlineStr"/>
    </row>
    <row r="14">
      <c r="A14" t="inlineStr">
        <is>
          <t>14:00</t>
        </is>
      </c>
      <c r="B14" t="inlineStr">
        <is>
          <t xml:space="preserve">RAF Bid Sync - 24/03 Planning Meeting </t>
        </is>
      </c>
      <c r="C14" t="inlineStr"/>
      <c r="D14" t="inlineStr">
        <is>
          <t xml:space="preserve">RAF Bid Sync - 24/03 Planning Meeting </t>
        </is>
      </c>
      <c r="E14" t="inlineStr">
        <is>
          <t xml:space="preserve">RAF Bid Sync - 24/03 Planning Meeting </t>
        </is>
      </c>
      <c r="F14" t="inlineStr">
        <is>
          <t xml:space="preserve">RAF Bid Sync - 24/03 Planning Meeting </t>
        </is>
      </c>
      <c r="G14" t="inlineStr">
        <is>
          <t>Weekly round-up-meeting</t>
        </is>
      </c>
      <c r="H14" t="inlineStr">
        <is>
          <t xml:space="preserve">RAF Bid Sync - 24/03 Planning Meeting </t>
        </is>
      </c>
      <c r="I14" t="inlineStr"/>
      <c r="J14" t="inlineStr"/>
      <c r="K14" t="inlineStr"/>
      <c r="L14" t="inlineStr">
        <is>
          <t xml:space="preserve">RAF Bid Sync - 24/03 Planning Meeting </t>
        </is>
      </c>
      <c r="M14" t="inlineStr"/>
      <c r="N14" t="inlineStr"/>
    </row>
    <row r="15">
      <c r="A15" t="inlineStr">
        <is>
          <t>14:30</t>
        </is>
      </c>
      <c r="B15" t="inlineStr">
        <is>
          <t>RAF Bid Sync - 24/03 Planning Meeting , Lunch with Andrew</t>
        </is>
      </c>
      <c r="C15" t="inlineStr"/>
      <c r="D15" t="inlineStr">
        <is>
          <t xml:space="preserve">RAF Bid Sync - 24/03 Planning Meeting </t>
        </is>
      </c>
      <c r="E15" t="inlineStr">
        <is>
          <t xml:space="preserve">RAF Bid Sync - 24/03 Planning Meeting </t>
        </is>
      </c>
      <c r="F15" t="inlineStr">
        <is>
          <t xml:space="preserve">RAF Bid Sync - 24/03 Planning Meeting </t>
        </is>
      </c>
      <c r="G15" t="inlineStr"/>
      <c r="H15" t="inlineStr">
        <is>
          <t xml:space="preserve">RAF Bid Sync - 24/03 Planning Meeting </t>
        </is>
      </c>
      <c r="I15" t="inlineStr"/>
      <c r="J15" t="inlineStr"/>
      <c r="K15" t="inlineStr"/>
      <c r="L15" t="inlineStr">
        <is>
          <t xml:space="preserve">RAF Bid Sync - 24/03 Planning Meeting </t>
        </is>
      </c>
      <c r="M15" t="inlineStr"/>
      <c r="N15" t="inlineStr"/>
    </row>
    <row r="16">
      <c r="A16" t="inlineStr">
        <is>
          <t>15:00</t>
        </is>
      </c>
      <c r="B16" t="inlineStr">
        <is>
          <t>Lunch with Andrew</t>
        </is>
      </c>
      <c r="C16" t="inlineStr"/>
      <c r="D16" t="inlineStr"/>
      <c r="E16" t="inlineStr">
        <is>
          <t>OM Work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 xml:space="preserve">Discovery: Technical Support SLA Hours Report + Emails </t>
        </is>
      </c>
      <c r="M16" t="inlineStr"/>
      <c r="N16" t="inlineStr"/>
    </row>
    <row r="17">
      <c r="A17" t="inlineStr">
        <is>
          <t>15:30</t>
        </is>
      </c>
      <c r="B17" t="inlineStr">
        <is>
          <t>Lunch with Andrew</t>
        </is>
      </c>
      <c r="C17" t="inlineStr"/>
      <c r="D17" t="inlineStr"/>
      <c r="E17" t="inlineStr">
        <is>
          <t>OM Work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Taquanta January report daily tasks update + emails</t>
        </is>
      </c>
      <c r="M17" t="inlineStr"/>
      <c r="N17" t="inlineStr"/>
    </row>
    <row r="18">
      <c r="A18" t="inlineStr">
        <is>
          <t>16:00</t>
        </is>
      </c>
      <c r="B18" t="inlineStr">
        <is>
          <t>Lunch with Andrew</t>
        </is>
      </c>
      <c r="C18" t="inlineStr"/>
      <c r="D18" t="inlineStr"/>
      <c r="E18" t="inlineStr">
        <is>
          <t>OM Work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 xml:space="preserve">Climate Survey Discussion </t>
        </is>
      </c>
      <c r="C12" t="inlineStr"/>
      <c r="D12" t="inlineStr"/>
      <c r="E12" t="inlineStr">
        <is>
          <t>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/>
      <c r="K12" t="inlineStr"/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Climate Survey Discussion </t>
        </is>
      </c>
      <c r="C13" t="inlineStr"/>
      <c r="D13" t="inlineStr">
        <is>
          <t>Ben &lt;&gt; Nate - 1:1</t>
        </is>
      </c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>
        <is>
          <t>IP: SaaS - Asset Management progress update</t>
        </is>
      </c>
      <c r="I13" t="inlineStr"/>
      <c r="J13" t="inlineStr"/>
      <c r="K13" t="inlineStr"/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/>
      <c r="C14" t="inlineStr">
        <is>
          <t>Aza &lt;&gt; Nate - 1:1</t>
        </is>
      </c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>
        <is>
          <t>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Flora &lt;&gt; Nate - 1:1, 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>
        <is>
          <t>Alteryx Decomission</t>
        </is>
      </c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Tableau User Group with Andy Kriebel, 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>
        <is>
          <t>Tableau User Group with Andy Kriebel</t>
        </is>
      </c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Tableau User Group with Andy Kriebel, ScaleUp Homework sessions </t>
        </is>
      </c>
      <c r="C17" t="inlineStr"/>
      <c r="D17" t="inlineStr"/>
      <c r="E17" t="inlineStr"/>
      <c r="F17" t="inlineStr">
        <is>
          <t xml:space="preserve">Mark &lt;&gt; Nate - 1:1, ScaleUp Homework sessions </t>
        </is>
      </c>
      <c r="G17" t="inlineStr">
        <is>
          <t>Internal Study time(PDP)</t>
        </is>
      </c>
      <c r="H17" t="inlineStr"/>
      <c r="I17" t="inlineStr">
        <is>
          <t>Tableau User Group with Andy Kriebel</t>
        </is>
      </c>
      <c r="J17" t="inlineStr"/>
      <c r="K17" t="inlineStr"/>
      <c r="L17" t="inlineStr">
        <is>
          <t>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Michael &lt;&gt; Nate - 1:1</t>
        </is>
      </c>
      <c r="H18" t="inlineStr">
        <is>
          <t>Tech team retrospective</t>
        </is>
      </c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>
        <is>
          <t>Tech team retrospective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Snowflake Tribe Bi-weekly Session</t>
        </is>
      </c>
      <c r="C20" t="inlineStr">
        <is>
          <t>Snowflake Tribe Bi-weekly Session</t>
        </is>
      </c>
      <c r="D20" t="inlineStr">
        <is>
          <t>Snowflake Tribe Bi-weekly Session</t>
        </is>
      </c>
      <c r="E20" t="inlineStr">
        <is>
          <t>OM Work, Snowflake Tribe Bi-weekly Session</t>
        </is>
      </c>
      <c r="F20" t="inlineStr">
        <is>
          <t>Snowflake Tribe Bi-weekly Session</t>
        </is>
      </c>
      <c r="G20" t="inlineStr">
        <is>
          <t>Snowflake Tribe Bi-weekly Session</t>
        </is>
      </c>
      <c r="H20" t="inlineStr">
        <is>
          <t>Canceled: Tech team huddle, Tech team retrospective, Snowflake Tribe Bi-weekly Session</t>
        </is>
      </c>
      <c r="I20" t="inlineStr">
        <is>
          <t>Snowflake Tribe Bi-weekly Session</t>
        </is>
      </c>
      <c r="J20" t="inlineStr"/>
      <c r="K20" t="inlineStr">
        <is>
          <t>Snowflake Tribe Bi-weekly Session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>
        <is>
          <t>Snowflake Tribe Bi-weekly Session</t>
        </is>
      </c>
    </row>
    <row r="21">
      <c r="A21" t="inlineStr">
        <is>
          <t>17:30</t>
        </is>
      </c>
      <c r="B21" t="inlineStr">
        <is>
          <t>Snowflake Tribe Bi-weekly Session</t>
        </is>
      </c>
      <c r="C21" t="inlineStr">
        <is>
          <t>Snowflake Tribe Bi-weekly Session</t>
        </is>
      </c>
      <c r="D21" t="inlineStr">
        <is>
          <t>Snowflake Tribe Bi-weekly Session</t>
        </is>
      </c>
      <c r="E21" t="inlineStr">
        <is>
          <t>OM Work, Snowflake Tribe Bi-weekly Session</t>
        </is>
      </c>
      <c r="F21" t="inlineStr">
        <is>
          <t>Snowflake Tribe Bi-weekly Session</t>
        </is>
      </c>
      <c r="G21" t="inlineStr">
        <is>
          <t>Snowflake Tribe Bi-weekly Session</t>
        </is>
      </c>
      <c r="H21" t="inlineStr">
        <is>
          <t>Canceled: Tech team huddle, Snowflake Tribe Bi-weekly Session</t>
        </is>
      </c>
      <c r="I21" t="inlineStr">
        <is>
          <t>Snowflake Tribe Bi-weekly Session</t>
        </is>
      </c>
      <c r="J21" t="inlineStr"/>
      <c r="K21" t="inlineStr">
        <is>
          <t>Snowflake Tribe Bi-weekly Session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>
        <is>
          <t>Snowflake Tribe Bi-weekly Session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S/Stream - EBU Cadence - Bi-Monthly, 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Wonga: DWH development &amp; migration on Snowflake Project Daily Standup**With Client**</t>
        </is>
      </c>
      <c r="C9" t="inlineStr">
        <is>
          <t>Wonga: DWH development &amp; migration on Snowflake Project Daily Standup**With Client**</t>
        </is>
      </c>
      <c r="D9" t="inlineStr">
        <is>
          <t>Wonga: DWH development &amp; migration on Snowflake Project Daily Standup**With Client**</t>
        </is>
      </c>
      <c r="E9" t="inlineStr">
        <is>
          <t>OM Work, GRCA Portfolio | Team Stand-up</t>
        </is>
      </c>
      <c r="F9" t="inlineStr">
        <is>
          <t>Wonga: DWH development &amp; migration on Snowflake Project Daily Standup**With Client**</t>
        </is>
      </c>
      <c r="G9" t="inlineStr">
        <is>
          <t>Ongoing: Daily operational tasks DSY</t>
        </is>
      </c>
      <c r="H9" t="inlineStr">
        <is>
          <t>Ntsako &lt;&gt; Nate - 1:1</t>
        </is>
      </c>
      <c r="I9" t="inlineStr">
        <is>
          <t>Wonga: DWH development &amp; migration on Snowflake Project Daily Standup**With Client**</t>
        </is>
      </c>
      <c r="J9" t="inlineStr">
        <is>
          <t>Wonga: DWH development &amp; migration on Snowflake Project Daily Standup**With Client**</t>
        </is>
      </c>
      <c r="K9" t="inlineStr">
        <is>
          <t>Wonga: DWH development &amp; migration on Snowflake Project Daily Standup**With Client**</t>
        </is>
      </c>
      <c r="L9" t="inlineStr">
        <is>
          <t>Wonga: DWH development &amp; migration on Snowflake Project Daily Standup**With Client**</t>
        </is>
      </c>
      <c r="M9" t="inlineStr"/>
      <c r="N9" t="inlineStr">
        <is>
          <t>Wonga: DWH development &amp; migration on Snowflake Project Daily Standup**With Client**</t>
        </is>
      </c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>
        <is>
          <t xml:space="preserve">Salesforce | Slipstream data - Partner collaboration 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>
        <is>
          <t>Palesa &lt;&gt; Nate - 1:1</t>
        </is>
      </c>
      <c r="J13" t="inlineStr"/>
      <c r="K13" t="inlineStr"/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>
        <is>
          <t>Slipstream Data Introduction , 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Taquanta: Weekly SLA &amp; Projects update (Client meeting)</t>
        </is>
      </c>
      <c r="I14" t="inlineStr"/>
      <c r="J14" t="inlineStr"/>
      <c r="K14" t="inlineStr"/>
      <c r="L14" t="inlineStr">
        <is>
          <t>Wonga Project Plan + Budget Update +Emails, 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Slipstream Data Introduction </t>
        </is>
      </c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>
        <is>
          <t xml:space="preserve">Riyad &lt;&gt; Nate - 1:1 </t>
        </is>
      </c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>
        <is>
          <t>Partner Connect Johannesburg</t>
        </is>
      </c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Robin &lt;&gt; Nate - 1:1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>
        <is>
          <t>Partner Connect Johannesburg</t>
        </is>
      </c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Drinks with Tableau and Slipstream</t>
        </is>
      </c>
      <c r="C20" t="inlineStr"/>
      <c r="D20" t="inlineStr"/>
      <c r="E20" t="inlineStr">
        <is>
          <t>OM Work</t>
        </is>
      </c>
      <c r="F20" t="inlineStr">
        <is>
          <t>Partner Connect Johannesburg</t>
        </is>
      </c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Drinks with Tableau and Slipstream</t>
        </is>
      </c>
      <c r="C21" t="inlineStr"/>
      <c r="D21" t="inlineStr"/>
      <c r="E21" t="inlineStr">
        <is>
          <t>OM Work</t>
        </is>
      </c>
      <c r="F21" t="inlineStr">
        <is>
          <t>Partner Connect Johannesburg</t>
        </is>
      </c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Wonga: DWH development &amp; migration on Snowflake Project Daily Standup**With Client**</t>
        </is>
      </c>
      <c r="C9" t="inlineStr">
        <is>
          <t>Wonga: DWH development &amp; migration on Snowflake Project Daily Standup**With Client**</t>
        </is>
      </c>
      <c r="D9" t="inlineStr">
        <is>
          <t>Wonga: DWH development &amp; migration on Snowflake Project Daily Standup**With Client**</t>
        </is>
      </c>
      <c r="E9" t="inlineStr">
        <is>
          <t>OM Work</t>
        </is>
      </c>
      <c r="F9" t="inlineStr">
        <is>
          <t>Wonga: DWH development &amp; migration on Snowflake Project Daily Standup**With Client**</t>
        </is>
      </c>
      <c r="G9" t="inlineStr">
        <is>
          <t>Ongoing: Daily operational tasks DSY</t>
        </is>
      </c>
      <c r="H9" t="inlineStr"/>
      <c r="I9" t="inlineStr">
        <is>
          <t>Wonga: DWH development &amp; migration on Snowflake Project Daily Standup**With Client**</t>
        </is>
      </c>
      <c r="J9" t="inlineStr">
        <is>
          <t>Wonga: DWH development &amp; migration on Snowflake Project Daily Standup**With Client**</t>
        </is>
      </c>
      <c r="K9" t="inlineStr">
        <is>
          <t>Wonga: DWH development &amp; migration on Snowflake Project Daily Standup**With Client**</t>
        </is>
      </c>
      <c r="L9" t="inlineStr">
        <is>
          <t>Wonga: DWH development &amp; migration on Snowflake Project Daily Standup**With Client**</t>
        </is>
      </c>
      <c r="M9" t="inlineStr"/>
      <c r="N9" t="inlineStr">
        <is>
          <t>Wonga: DWH development &amp; migration on Snowflake Project Daily Standup**With Client**</t>
        </is>
      </c>
    </row>
    <row r="10">
      <c r="A10" t="inlineStr">
        <is>
          <t>12:00</t>
        </is>
      </c>
      <c r="B10" t="inlineStr">
        <is>
          <t>Slipstream: Datalake internal project kick-off **Slipstream On-site Meeting**</t>
        </is>
      </c>
      <c r="C10" t="inlineStr">
        <is>
          <t>Slipstream: Datalake internal project kick-off **Slipstream On-site Meeting**</t>
        </is>
      </c>
      <c r="D10" t="inlineStr">
        <is>
          <t>Slipstream: Datalake internal project kick-off **Slipstream On-site Meeting**, Shoprite Analytics|| Cloud BI Daily Stand Up</t>
        </is>
      </c>
      <c r="E10" t="inlineStr">
        <is>
          <t>Slipstream: Datalake internal project kick-off **Slipstream On-site Meeting**, OM Work</t>
        </is>
      </c>
      <c r="F10" t="inlineStr">
        <is>
          <t>Slipstream: Datalake internal project kick-off **Slipstream On-site Meeting**</t>
        </is>
      </c>
      <c r="G10" t="inlineStr">
        <is>
          <t>Slipstream: Datalake internal project kick-off **Slipstream On-site Meeting**, Ongoing: Daily operational tasks DSY</t>
        </is>
      </c>
      <c r="H10" t="inlineStr">
        <is>
          <t>Slipstream: Datalake internal project kick-off **Slipstream On-site Meeting**</t>
        </is>
      </c>
      <c r="I10" t="inlineStr">
        <is>
          <t>Slipstream: Datalake internal project kick-off **Slipstream On-site Meeting**, Shoprite Analytics|| Cloud BI Daily Stand Up</t>
        </is>
      </c>
      <c r="J10" t="inlineStr">
        <is>
          <t>Slipstream: Datalake internal project kick-off **Slipstream On-site Meeting**</t>
        </is>
      </c>
      <c r="K10" t="inlineStr">
        <is>
          <t>SA - Cloud BI | Stand Up</t>
        </is>
      </c>
      <c r="L10" t="inlineStr">
        <is>
          <t>Slipstream: Datalake internal project kick-off **Slipstream On-site Meeting**</t>
        </is>
      </c>
      <c r="M10" t="inlineStr"/>
      <c r="N10" t="inlineStr">
        <is>
          <t>Slipstream: Datalake internal project kick-off **Slipstream On-site Meeting**</t>
        </is>
      </c>
    </row>
    <row r="11">
      <c r="A11" t="inlineStr">
        <is>
          <t>12:30</t>
        </is>
      </c>
      <c r="B11" t="inlineStr">
        <is>
          <t>Slipstream: Datalake internal project kick-off **Slipstream On-site Meeting**</t>
        </is>
      </c>
      <c r="C11" t="inlineStr">
        <is>
          <t>Slipstream: Datalake internal project kick-off **Slipstream On-site Meeting**, Taquanta: Projects Internal Standup</t>
        </is>
      </c>
      <c r="D11" t="inlineStr">
        <is>
          <t>Slipstream: Datalake internal project kick-off **Slipstream On-site Meeting**, Taquanta: Projects Internal Standup</t>
        </is>
      </c>
      <c r="E11" t="inlineStr">
        <is>
          <t>Slipstream: Datalake internal project kick-off **Slipstream On-site Meeting**, OM Work</t>
        </is>
      </c>
      <c r="F11" t="inlineStr">
        <is>
          <t>Slipstream: Datalake internal project kick-off **Slipstream On-site Meeting**</t>
        </is>
      </c>
      <c r="G11" t="inlineStr">
        <is>
          <t>Slipstream: Datalake internal project kick-off **Slipstream On-site Meeting**</t>
        </is>
      </c>
      <c r="H11" t="inlineStr">
        <is>
          <t>Slipstream: Datalake internal project kick-off **Slipstream On-site Meeting**, Taquanta: Projects Internal Standup</t>
        </is>
      </c>
      <c r="I11" t="inlineStr">
        <is>
          <t>Slipstream: Datalake internal project kick-off **Slipstream On-site Meeting**</t>
        </is>
      </c>
      <c r="J11" t="inlineStr">
        <is>
          <t>Slipstream: Datalake internal project kick-off **Slipstream On-site Meeting**</t>
        </is>
      </c>
      <c r="K11" t="inlineStr"/>
      <c r="L11" t="inlineStr">
        <is>
          <t>Slipstream: Datalake internal project kick-off **Slipstream On-site Meeting**, Sandi &lt;&gt; Nate - 1:1, Taquanta: Projects Internal Standup</t>
        </is>
      </c>
      <c r="M11" t="inlineStr"/>
      <c r="N11" t="inlineStr">
        <is>
          <t>Slipstream: Datalake internal project kick-off **Slipstream On-site Meeting**</t>
        </is>
      </c>
    </row>
    <row r="12">
      <c r="A12" t="inlineStr">
        <is>
          <t>13:00</t>
        </is>
      </c>
      <c r="B12" t="inlineStr">
        <is>
          <t>Slipstream: Datalake internal project kick-off **Slipstream On-site Meeting**</t>
        </is>
      </c>
      <c r="C12" t="inlineStr">
        <is>
          <t>Slipstream: Datalake internal project kick-off **Slipstream On-site Meeting**</t>
        </is>
      </c>
      <c r="D12" t="inlineStr">
        <is>
          <t>Slipstream: Datalake internal project kick-off **Slipstream On-site Meeting**</t>
        </is>
      </c>
      <c r="E12" t="inlineStr">
        <is>
          <t>Slipstream: Datalake internal project kick-off **Slipstream On-site Meeting**, OM Work</t>
        </is>
      </c>
      <c r="F12" t="inlineStr">
        <is>
          <t>Slipstream: Datalake internal project kick-off **Slipstream On-site Meeting**</t>
        </is>
      </c>
      <c r="G12" t="inlineStr">
        <is>
          <t>Slipstream: Datalake internal project kick-off **Slipstream On-site Meeting**</t>
        </is>
      </c>
      <c r="H12" t="inlineStr">
        <is>
          <t>Slipstream: Datalake internal project kick-off **Slipstream On-site Meeting**</t>
        </is>
      </c>
      <c r="I12" t="inlineStr">
        <is>
          <t>Slipstream: Datalake internal project kick-off **Slipstream On-site Meeting**</t>
        </is>
      </c>
      <c r="J12" t="inlineStr">
        <is>
          <t>Slipstream: Datalake internal project kick-off **Slipstream On-site Meeting**</t>
        </is>
      </c>
      <c r="K12" t="inlineStr"/>
      <c r="L12" t="inlineStr">
        <is>
          <t>Slipstream: Datalake internal project kick-off **Slipstream On-site Meeting**, Wonga Project Plan + Budget Update +Emails</t>
        </is>
      </c>
      <c r="M12" t="inlineStr"/>
      <c r="N12" t="inlineStr">
        <is>
          <t>Slipstream: Datalake internal project kick-off **Slipstream On-site Meeting**</t>
        </is>
      </c>
    </row>
    <row r="13">
      <c r="A13" t="inlineStr">
        <is>
          <t>13:30</t>
        </is>
      </c>
      <c r="B13" t="inlineStr">
        <is>
          <t>Slipstream: Datalake internal project kick-off **Slipstream On-site Meeting**</t>
        </is>
      </c>
      <c r="C13" t="inlineStr">
        <is>
          <t>Slipstream: Datalake internal project kick-off **Slipstream On-site Meeting**</t>
        </is>
      </c>
      <c r="D13" t="inlineStr">
        <is>
          <t>Slipstream: Datalake internal project kick-off **Slipstream On-site Meeting**</t>
        </is>
      </c>
      <c r="E13" t="inlineStr">
        <is>
          <t>Slipstream: Datalake internal project kick-off **Slipstream On-site Meeting**, OM Work</t>
        </is>
      </c>
      <c r="F13" t="inlineStr">
        <is>
          <t>Slipstream: Datalake internal project kick-off **Slipstream On-site Meeting**</t>
        </is>
      </c>
      <c r="G13" t="inlineStr">
        <is>
          <t>Slipstream: Datalake internal project kick-off **Slipstream On-site Meeting**</t>
        </is>
      </c>
      <c r="H13" t="inlineStr">
        <is>
          <t>Slipstream: Datalake internal project kick-off **Slipstream On-site Meeting**</t>
        </is>
      </c>
      <c r="I13" t="inlineStr">
        <is>
          <t>Slipstream: Datalake internal project kick-off **Slipstream On-site Meeting**</t>
        </is>
      </c>
      <c r="J13" t="inlineStr">
        <is>
          <t>Slipstream: Datalake internal project kick-off **Slipstream On-site Meeting**</t>
        </is>
      </c>
      <c r="K13" t="inlineStr"/>
      <c r="L13" t="inlineStr">
        <is>
          <t>Slipstream: Datalake internal project kick-off **Slipstream On-site Meeting**, Wonga Project Plan + Budget Update +Emails</t>
        </is>
      </c>
      <c r="M13" t="inlineStr">
        <is>
          <t>Suzanne &lt;&gt; Nate - 1:1</t>
        </is>
      </c>
      <c r="N13" t="inlineStr">
        <is>
          <t>Slipstream: Datalake internal project kick-off **Slipstream On-site Meeting**</t>
        </is>
      </c>
    </row>
    <row r="14">
      <c r="A14" t="inlineStr">
        <is>
          <t>14:00</t>
        </is>
      </c>
      <c r="B14" t="inlineStr">
        <is>
          <t>Slipstream: Datalake internal project kick-off **Slipstream On-site Meeting**</t>
        </is>
      </c>
      <c r="C14" t="inlineStr">
        <is>
          <t>Slipstream: Datalake internal project kick-off **Slipstream On-site Meeting**</t>
        </is>
      </c>
      <c r="D14" t="inlineStr">
        <is>
          <t>Slipstream: Datalake internal project kick-off **Slipstream On-site Meeting**</t>
        </is>
      </c>
      <c r="E14" t="inlineStr">
        <is>
          <t>Slipstream: Datalake internal project kick-off **Slipstream On-site Meeting**, OM Work</t>
        </is>
      </c>
      <c r="F14" t="inlineStr">
        <is>
          <t>Slipstream: Datalake internal project kick-off **Slipstream On-site Meeting**</t>
        </is>
      </c>
      <c r="G14" t="inlineStr">
        <is>
          <t>Slipstream: Datalake internal project kick-off **Slipstream On-site Meeting**</t>
        </is>
      </c>
      <c r="H14" t="inlineStr">
        <is>
          <t>Slipstream: Datalake internal project kick-off **Slipstream On-site Meeting**</t>
        </is>
      </c>
      <c r="I14" t="inlineStr">
        <is>
          <t>Slipstream: Datalake internal project kick-off **Slipstream On-site Meeting**</t>
        </is>
      </c>
      <c r="J14" t="inlineStr">
        <is>
          <t>Slipstream: Datalake internal project kick-off **Slipstream On-site Meeting**</t>
        </is>
      </c>
      <c r="K14" t="inlineStr"/>
      <c r="L14" t="inlineStr">
        <is>
          <t>Slipstream: Datalake internal project kick-off **Slipstream On-site Meeting**, Wonga Project Plan + Budget Update +Emails</t>
        </is>
      </c>
      <c r="M14" t="inlineStr"/>
      <c r="N14" t="inlineStr">
        <is>
          <t>Slipstream: Datalake internal project kick-off **Slipstream On-site Meeting**</t>
        </is>
      </c>
    </row>
    <row r="15">
      <c r="A15" t="inlineStr">
        <is>
          <t>14:30</t>
        </is>
      </c>
      <c r="B15" t="inlineStr">
        <is>
          <t>Slipstream: Datalake internal project kick-off **Slipstream On-site Meeting**</t>
        </is>
      </c>
      <c r="C15" t="inlineStr">
        <is>
          <t>Slipstream: Datalake internal project kick-off **Slipstream On-site Meeting**</t>
        </is>
      </c>
      <c r="D15" t="inlineStr">
        <is>
          <t>Slipstream: Datalake internal project kick-off **Slipstream On-site Meeting**</t>
        </is>
      </c>
      <c r="E15" t="inlineStr">
        <is>
          <t>Slipstream: Datalake internal project kick-off **Slipstream On-site Meeting**, OM Work</t>
        </is>
      </c>
      <c r="F15" t="inlineStr">
        <is>
          <t>Slipstream: Datalake internal project kick-off **Slipstream On-site Meeting**</t>
        </is>
      </c>
      <c r="G15" t="inlineStr">
        <is>
          <t>Slipstream: Datalake internal project kick-off **Slipstream On-site Meeting**</t>
        </is>
      </c>
      <c r="H15" t="inlineStr">
        <is>
          <t>Slipstream: Datalake internal project kick-off **Slipstream On-site Meeting**</t>
        </is>
      </c>
      <c r="I15" t="inlineStr">
        <is>
          <t>Slipstream: Datalake internal project kick-off **Slipstream On-site Meeting**</t>
        </is>
      </c>
      <c r="J15" t="inlineStr">
        <is>
          <t>Slipstream: Datalake internal project kick-off **Slipstream On-site Meeting**</t>
        </is>
      </c>
      <c r="K15" t="inlineStr"/>
      <c r="L15" t="inlineStr">
        <is>
          <t>Slipstream: Datalake internal project kick-off **Slipstream On-site Meeting**</t>
        </is>
      </c>
      <c r="M15" t="inlineStr"/>
      <c r="N15" t="inlineStr">
        <is>
          <t>Slipstream: Datalake internal project kick-off **Slipstream On-site Meeting**</t>
        </is>
      </c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>
        <is>
          <t>one on one - Thando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>
        <is>
          <t>WhereScape/Slipstream - monthly catch up</t>
        </is>
      </c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>
        <is>
          <t>WhereScape/Slipstream - monthly catch up</t>
        </is>
      </c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Snowflake Data for Breakfast Event in Cape Town!, Snowflake Data for Breakfast Event in Cape Town!,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Snowflake Data for Breakfast Event in Cape Town!, 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Snowflake Data for Breakfast Event in Cape Town!, Snowflake Data for Breakfast Event in Cape Town!</t>
        </is>
      </c>
      <c r="C8" t="inlineStr"/>
      <c r="D8" t="inlineStr"/>
      <c r="E8" t="inlineStr">
        <is>
          <t>OM Work</t>
        </is>
      </c>
      <c r="F8" t="inlineStr">
        <is>
          <t>Snowflake Data for Breakfast Event in Cape Town!</t>
        </is>
      </c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Snowflake Data for Breakfast Event in Cape Town!, Snowflake Data for Breakfast Event in Cape Town!</t>
        </is>
      </c>
      <c r="C9" t="inlineStr">
        <is>
          <t>Wonga: DWH development &amp; migration on Snowflake Project Daily Standup**With Client**</t>
        </is>
      </c>
      <c r="D9" t="inlineStr">
        <is>
          <t>Wonga: DWH development &amp; migration on Snowflake Project Daily Standup**With Client**</t>
        </is>
      </c>
      <c r="E9" t="inlineStr">
        <is>
          <t>OM Work</t>
        </is>
      </c>
      <c r="F9" t="inlineStr">
        <is>
          <t>Snowflake Data for Breakfast Event in Cape Town!, Wonga: DWH development &amp; migration on Snowflake Project Daily Standup**With Client**</t>
        </is>
      </c>
      <c r="G9" t="inlineStr">
        <is>
          <t>Ongoing: Daily operational tasks DSY</t>
        </is>
      </c>
      <c r="H9" t="inlineStr"/>
      <c r="I9" t="inlineStr">
        <is>
          <t>Wonga: DWH development &amp; migration on Snowflake Project Daily Standup**With Client**</t>
        </is>
      </c>
      <c r="J9" t="inlineStr">
        <is>
          <t>Wonga: DWH development &amp; migration on Snowflake Project Daily Standup**With Client**</t>
        </is>
      </c>
      <c r="K9" t="inlineStr">
        <is>
          <t>Wonga: DWH development &amp; migration on Snowflake Project Daily Standup**With Client**</t>
        </is>
      </c>
      <c r="L9" t="inlineStr">
        <is>
          <t>Wonga: DWH development &amp; migration on Snowflake Project Daily Standup**With Client**</t>
        </is>
      </c>
      <c r="M9" t="inlineStr"/>
      <c r="N9" t="inlineStr">
        <is>
          <t>Wonga: DWH development &amp; migration on Snowflake Project Daily Standup**With Client**</t>
        </is>
      </c>
    </row>
    <row r="10">
      <c r="A10" t="inlineStr">
        <is>
          <t>12:00</t>
        </is>
      </c>
      <c r="B10" t="inlineStr">
        <is>
          <t>Snowflake Data for Breakfast Event in Cape Town!, Snowflake Data for Breakfast Event in Cape Town!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Snowflake Data for Breakfast Event in Cape Town!, FW: Weekly Check-In: Tableau Progress</t>
        </is>
      </c>
      <c r="G10" t="inlineStr">
        <is>
          <t>JHB Office Hours , Ongoing: Daily operational tasks DSY</t>
        </is>
      </c>
      <c r="H10" t="inlineStr">
        <is>
          <t xml:space="preserve">JHB Office Hours </t>
        </is>
      </c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Snowflake Data for Breakfast Event in Cape Town!, Snowflake Data for Breakfast Event in Cape Town!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>
        <is>
          <t>Snowflake Data for Breakfast Event in Cape Town!</t>
        </is>
      </c>
      <c r="G11" t="inlineStr">
        <is>
          <t xml:space="preserve">JHB Office Hours </t>
        </is>
      </c>
      <c r="H11" t="inlineStr">
        <is>
          <t>JHB Office Hours , 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Snowflake Data for Breakfast Event in Cape Town!, Snowflake Data for Breakfast Event in Cape Town!</t>
        </is>
      </c>
      <c r="C12" t="inlineStr"/>
      <c r="D12" t="inlineStr"/>
      <c r="E12" t="inlineStr">
        <is>
          <t>OM Work</t>
        </is>
      </c>
      <c r="F12" t="inlineStr">
        <is>
          <t>Snowflake Data for Breakfast Event in Cape Town!</t>
        </is>
      </c>
      <c r="G12" t="inlineStr">
        <is>
          <t xml:space="preserve">JHB Office Hours </t>
        </is>
      </c>
      <c r="H12" t="inlineStr">
        <is>
          <t xml:space="preserve">JHB Office Hours </t>
        </is>
      </c>
      <c r="I12" t="inlineStr"/>
      <c r="J12" t="inlineStr"/>
      <c r="K12" t="inlineStr"/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>
        <is>
          <t>Snowflake Data for Breakfast Event in Cape Town!, Snowflake Data for Breakfast Event in Cape Town!</t>
        </is>
      </c>
      <c r="C13" t="inlineStr"/>
      <c r="D13" t="inlineStr"/>
      <c r="E13" t="inlineStr">
        <is>
          <t>OM Work</t>
        </is>
      </c>
      <c r="F13" t="inlineStr">
        <is>
          <t>Snowflake Data for Breakfast Event in Cape Town!</t>
        </is>
      </c>
      <c r="G13" t="inlineStr">
        <is>
          <t xml:space="preserve">JHB Office Hours </t>
        </is>
      </c>
      <c r="H13" t="inlineStr">
        <is>
          <t xml:space="preserve">JHB Office Hours </t>
        </is>
      </c>
      <c r="I13" t="inlineStr"/>
      <c r="J13" t="inlineStr"/>
      <c r="K13" t="inlineStr"/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>
        <is>
          <t xml:space="preserve">JHB Office Hours </t>
        </is>
      </c>
      <c r="H14" t="inlineStr">
        <is>
          <t xml:space="preserve">JHB Office Hours </t>
        </is>
      </c>
      <c r="I14" t="inlineStr"/>
      <c r="J14" t="inlineStr"/>
      <c r="K14" t="inlineStr"/>
      <c r="L14" t="inlineStr">
        <is>
          <t>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>
        <is>
          <t xml:space="preserve">JHB Office Hours </t>
        </is>
      </c>
      <c r="H15" t="inlineStr">
        <is>
          <t xml:space="preserve">JHB Office Hours 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JHB Office Hours , Development activities - Glue - code and data</t>
        </is>
      </c>
      <c r="H16" t="inlineStr">
        <is>
          <t xml:space="preserve">JHB Office Hours </t>
        </is>
      </c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JHB Office Hours , Development activities - Glue - code and data</t>
        </is>
      </c>
      <c r="H17" t="inlineStr">
        <is>
          <t xml:space="preserve">JHB Office Hours </t>
        </is>
      </c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>
        <is>
          <t>JHB Office Hours , Development activities - Glue - code and data</t>
        </is>
      </c>
      <c r="H18" t="inlineStr">
        <is>
          <t xml:space="preserve">JHB Office Hours </t>
        </is>
      </c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>
        <is>
          <t>JHB Office Hours , Development activities - Glue - code and data</t>
        </is>
      </c>
      <c r="H19" t="inlineStr">
        <is>
          <t xml:space="preserve">JHB Office Hours 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8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>
        <is>
          <t>Focus time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>
        <is>
          <t>Focus time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 xml:space="preserve">Monthly Management Meeting 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Monthly Management Meeting , 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Monthly Management Meeting 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Monthly Management Meeting 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Wonga Project Plan + Budget Update +Emails, Resource Utilization Review 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Monthly Management Meeting </t>
        </is>
      </c>
      <c r="C13" t="inlineStr"/>
      <c r="D13" t="inlineStr"/>
      <c r="E13" t="inlineStr">
        <is>
          <t>OM  PMO Catchup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Wonga Project Plan + Budget Update +Emails, OM  PMO Catchup</t>
        </is>
      </c>
      <c r="M13" t="inlineStr"/>
      <c r="N13" t="inlineStr"/>
    </row>
    <row r="14">
      <c r="A14" t="inlineStr">
        <is>
          <t>14:00</t>
        </is>
      </c>
      <c r="B14" t="inlineStr">
        <is>
          <t xml:space="preserve">Monthly Management Meeting </t>
        </is>
      </c>
      <c r="C14" t="inlineStr"/>
      <c r="D14" t="inlineStr"/>
      <c r="E14" t="inlineStr"/>
      <c r="F14" t="inlineStr"/>
      <c r="G14" t="inlineStr">
        <is>
          <t>Weekly round-up-meeting, DW: Weekly round-up meeting</t>
        </is>
      </c>
      <c r="H14" t="inlineStr"/>
      <c r="I14" t="inlineStr"/>
      <c r="J14" t="inlineStr">
        <is>
          <t>DW: Weekly round-up meeting</t>
        </is>
      </c>
      <c r="K14" t="inlineStr"/>
      <c r="L14" t="inlineStr">
        <is>
          <t>Wonga Project Plan + Budget Update +Emails, DW: Weekly round-up meeting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Monthly Management Meeting 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>
        <is>
          <t xml:space="preserve">Monthly Management Meeting 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>
        <is>
          <t>Tableau Next Implementation Workshop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Tableau Next Implementation Workshop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Tableau Next Implementation Workshop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/>
      <c r="K12" t="inlineStr"/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/>
      <c r="I13" t="inlineStr"/>
      <c r="J13" t="inlineStr"/>
      <c r="K13" t="inlineStr"/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>
        <is>
          <t>Pepkor WhereScape Intro</t>
        </is>
      </c>
      <c r="C14" t="inlineStr"/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>
        <is>
          <t>Wonga Project Plan + Budget Update +Emails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Pepkor WhereScape Intro, ScaleUp Homework sessions </t>
        </is>
      </c>
      <c r="C15" t="inlineStr"/>
      <c r="D15" t="inlineStr"/>
      <c r="E15" t="inlineStr">
        <is>
          <t>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/>
      <c r="E17" t="inlineStr"/>
      <c r="F17" t="inlineStr">
        <is>
          <t xml:space="preserve">ScaleUp Homework sessions </t>
        </is>
      </c>
      <c r="G17" t="inlineStr">
        <is>
          <t>Internal Study time(PDP)</t>
        </is>
      </c>
      <c r="H17" t="inlineStr"/>
      <c r="I17" t="inlineStr"/>
      <c r="J17" t="inlineStr"/>
      <c r="K17" t="inlineStr"/>
      <c r="L17" t="inlineStr">
        <is>
          <t>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>
        <is>
          <t xml:space="preserve">Discovery Health | Alteryx One Demo </t>
        </is>
      </c>
      <c r="C19" t="inlineStr"/>
      <c r="D19" t="inlineStr">
        <is>
          <t xml:space="preserve">Discovery Health | Alteryx One Demo </t>
        </is>
      </c>
      <c r="E19" t="inlineStr">
        <is>
          <t>OM Work</t>
        </is>
      </c>
      <c r="F19" t="inlineStr"/>
      <c r="G19" t="inlineStr"/>
      <c r="H19" t="inlineStr">
        <is>
          <t>Canceled: Tech Team retro, Tech team planning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Discovery Health | Alteryx One Demo , Tableau Tribe Development and Upskilling</t>
        </is>
      </c>
      <c r="C20" t="inlineStr"/>
      <c r="D20" t="inlineStr">
        <is>
          <t xml:space="preserve">Discovery Health | Alteryx One Demo </t>
        </is>
      </c>
      <c r="E20" t="inlineStr">
        <is>
          <t>OM Work, Tableau Tribe Development and Upskilling</t>
        </is>
      </c>
      <c r="F20" t="inlineStr">
        <is>
          <t>Tableau Tribe presentation, Tableau Tribe Development and Upskilling</t>
        </is>
      </c>
      <c r="G20" t="inlineStr"/>
      <c r="H20" t="inlineStr">
        <is>
          <t>Canceled: Tech Team retro, Tech team planning</t>
        </is>
      </c>
      <c r="I20" t="inlineStr"/>
      <c r="J20" t="inlineStr"/>
      <c r="K20" t="inlineStr">
        <is>
          <t>Tableau Tribe Development and Upskilling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>
        <is>
          <t>Tableau Tribe Development and Upskilling</t>
        </is>
      </c>
      <c r="N20" t="inlineStr">
        <is>
          <t>Tableau Tribe Development and Upskilling</t>
        </is>
      </c>
    </row>
    <row r="21">
      <c r="A21" t="inlineStr">
        <is>
          <t>17:30</t>
        </is>
      </c>
      <c r="B21" t="inlineStr">
        <is>
          <t>Tableau Tribe Development and Upskilling</t>
        </is>
      </c>
      <c r="C21" t="inlineStr"/>
      <c r="D21" t="inlineStr"/>
      <c r="E21" t="inlineStr">
        <is>
          <t>OM Work, Tableau Tribe Development and Upskilling</t>
        </is>
      </c>
      <c r="F21" t="inlineStr">
        <is>
          <t>Tableau Tribe presentation, Tableau Tribe Development and Upskilling</t>
        </is>
      </c>
      <c r="G21" t="inlineStr"/>
      <c r="H21" t="inlineStr">
        <is>
          <t>Canceled: Tech Team retro</t>
        </is>
      </c>
      <c r="I21" t="inlineStr"/>
      <c r="J21" t="inlineStr"/>
      <c r="K21" t="inlineStr">
        <is>
          <t>Tableau Tribe Development and Upskilling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>
        <is>
          <t>Tableau Tribe Development and Upskilling</t>
        </is>
      </c>
      <c r="N21" t="inlineStr">
        <is>
          <t>Tableau Tribe Development and Upskilling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>
        <is>
          <t>Review Vodacom Contract</t>
        </is>
      </c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Wonga: DWH development &amp; migration on Snowflake Project Daily Standup**With Client**</t>
        </is>
      </c>
      <c r="C9" t="inlineStr">
        <is>
          <t>Wonga: DWH development &amp; migration on Snowflake Project Daily Standup**With Client**</t>
        </is>
      </c>
      <c r="D9" t="inlineStr">
        <is>
          <t>Wonga: DWH development &amp; migration on Snowflake Project Daily Standup**With Client**</t>
        </is>
      </c>
      <c r="E9" t="inlineStr">
        <is>
          <t>OM Work, GRCA Portfolio | Team Stand-up, Canceled: Wonga: DWH development &amp; migration on Snowflake Project Daily Standup**With Client**</t>
        </is>
      </c>
      <c r="F9" t="inlineStr">
        <is>
          <t>Wonga: DWH development &amp; migration on Snowflake Project Daily Standup**With Client**</t>
        </is>
      </c>
      <c r="G9" t="inlineStr">
        <is>
          <t>Ongoing: Daily operational tasks DSY</t>
        </is>
      </c>
      <c r="H9" t="inlineStr"/>
      <c r="I9" t="inlineStr">
        <is>
          <t>Wonga: DWH development &amp; migration on Snowflake Project Daily Standup**With Client**</t>
        </is>
      </c>
      <c r="J9" t="inlineStr">
        <is>
          <t>Wonga: DWH development &amp; migration on Snowflake Project Daily Standup**With Client**</t>
        </is>
      </c>
      <c r="K9" t="inlineStr">
        <is>
          <t>Wonga: DWH development &amp; migration on Snowflake Project Daily Standup**With Client**</t>
        </is>
      </c>
      <c r="L9" t="inlineStr">
        <is>
          <t>Wonga: DWH development &amp; migration on Snowflake Project Daily Standup**With Client**</t>
        </is>
      </c>
      <c r="M9" t="inlineStr"/>
      <c r="N9" t="inlineStr">
        <is>
          <t>Wonga: DWH development &amp; migration on Snowflake Project Daily Standup**With Client**</t>
        </is>
      </c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Wonga Project Plan + Budget Update +Emails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Wonga Project Plan + Budget Update +Emails</t>
        </is>
      </c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Taquanta: Weekly SLA &amp; Projects update (Client meeting)</t>
        </is>
      </c>
      <c r="I14" t="inlineStr"/>
      <c r="J14" t="inlineStr"/>
      <c r="K14" t="inlineStr"/>
      <c r="L14" t="inlineStr">
        <is>
          <t>Wonga Project Plan + Budget Update +Emails, 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Canceled: Tech Team Planning , Ongoing: Daily operational tasks DSY</t>
        </is>
      </c>
      <c r="H10" t="inlineStr">
        <is>
          <t xml:space="preserve">Canceled: Tech Team Planning </t>
        </is>
      </c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>
        <is>
          <t xml:space="preserve">Canceled: Tech Team Planning </t>
        </is>
      </c>
      <c r="H11" t="inlineStr">
        <is>
          <t>Canceled: Tech Team Planning , Taquanta: Projects Internal Standup</t>
        </is>
      </c>
      <c r="I11" t="inlineStr"/>
      <c r="J11" t="inlineStr"/>
      <c r="K11" t="inlineStr"/>
      <c r="L11" t="inlineStr">
        <is>
          <t>Sandi &lt;&gt; Nate - 1:1, 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PMO Office Hours Sessions</t>
        </is>
      </c>
      <c r="C21" t="inlineStr"/>
      <c r="D21" t="inlineStr"/>
      <c r="E21" t="inlineStr">
        <is>
          <t>OM Work, PMO Office Hours Sessions</t>
        </is>
      </c>
      <c r="F21" t="inlineStr">
        <is>
          <t>PMO Office Hours Sessions</t>
        </is>
      </c>
      <c r="G21" t="inlineStr"/>
      <c r="H21" t="inlineStr"/>
      <c r="I21" t="inlineStr"/>
      <c r="J21" t="inlineStr">
        <is>
          <t>PMO Office Hours Sessions</t>
        </is>
      </c>
      <c r="K21" t="inlineStr"/>
      <c r="L21" t="inlineStr">
        <is>
          <t>Slipstream - IPD - Internal Projects  ( Slipstream Data ) (Harvest Timesheets and Reports, ClickUp Tasks and Reports, Billing, Emails, Documentation, Reports), PMO Office Hours Sessions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Day, 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Strategy and solution Day</t>
        </is>
      </c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Strategy and solution Day</t>
        </is>
      </c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Strategy and solution Day, OPS Exec Updates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Strategy and solution Day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Resource Utilization Review 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 PMO Catchup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OM  PMO Catchup</t>
        </is>
      </c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>
        <is>
          <t>Weekly round-up-meeting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 xml:space="preserve">Shoprite SLA Internal Review </t>
        </is>
      </c>
      <c r="C12" t="inlineStr"/>
      <c r="D12" t="inlineStr">
        <is>
          <t xml:space="preserve">Shoprite SLA Internal Review </t>
        </is>
      </c>
      <c r="E12" t="inlineStr">
        <is>
          <t>OM Work</t>
        </is>
      </c>
      <c r="F12" t="inlineStr">
        <is>
          <t xml:space="preserve">Shoprite SLA Internal Review </t>
        </is>
      </c>
      <c r="G12" t="inlineStr">
        <is>
          <t xml:space="preserve">DWH Transform load Monitoring  </t>
        </is>
      </c>
      <c r="H12" t="inlineStr"/>
      <c r="I12" t="inlineStr"/>
      <c r="J12" t="inlineStr"/>
      <c r="K12" t="inlineStr">
        <is>
          <t xml:space="preserve">Declined: Shoprite SLA Internal Review </t>
        </is>
      </c>
      <c r="L12" t="inlineStr"/>
      <c r="M12" t="inlineStr"/>
      <c r="N12" t="inlineStr"/>
    </row>
    <row r="13">
      <c r="A13" t="inlineStr">
        <is>
          <t>13:30</t>
        </is>
      </c>
      <c r="B13" t="inlineStr">
        <is>
          <t xml:space="preserve">Shoprite SLA Internal Review </t>
        </is>
      </c>
      <c r="C13" t="inlineStr"/>
      <c r="D13" t="inlineStr">
        <is>
          <t xml:space="preserve">Ben &lt;&gt; Nate - 1:1, Shoprite SLA Internal Review </t>
        </is>
      </c>
      <c r="E13" t="inlineStr">
        <is>
          <t>OM Work</t>
        </is>
      </c>
      <c r="F13" t="inlineStr">
        <is>
          <t xml:space="preserve">Shoprite SLA Internal Review </t>
        </is>
      </c>
      <c r="G13" t="inlineStr">
        <is>
          <t xml:space="preserve">DWH Transform load Monitoring  </t>
        </is>
      </c>
      <c r="H13" t="inlineStr">
        <is>
          <t>IP: SaaS - Asset Management progress update</t>
        </is>
      </c>
      <c r="I13" t="inlineStr"/>
      <c r="J13" t="inlineStr"/>
      <c r="K13" t="inlineStr">
        <is>
          <t xml:space="preserve">Declined: Shoprite SLA Internal Review </t>
        </is>
      </c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>
        <is>
          <t>Aza &lt;&gt; Nate - 1:1</t>
        </is>
      </c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Flora &lt;&gt; Nate - 1:1, 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>
        <is>
          <t>Alteryx Decomission</t>
        </is>
      </c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>
        <is>
          <t>PM Forum</t>
        </is>
      </c>
      <c r="E17" t="inlineStr">
        <is>
          <t>PM Forum</t>
        </is>
      </c>
      <c r="F17" t="inlineStr">
        <is>
          <t xml:space="preserve">Mark &lt;&gt; Nate - 1:1, PM Forum, ScaleUp Homework sessions </t>
        </is>
      </c>
      <c r="G17" t="inlineStr">
        <is>
          <t>Internal Study time(PDP)</t>
        </is>
      </c>
      <c r="H17" t="inlineStr">
        <is>
          <t>PM Forum</t>
        </is>
      </c>
      <c r="I17" t="inlineStr">
        <is>
          <t>PM Forum</t>
        </is>
      </c>
      <c r="J17" t="inlineStr"/>
      <c r="K17" t="inlineStr"/>
      <c r="L17" t="inlineStr">
        <is>
          <t>Shoprite Plan Update + Emails</t>
        </is>
      </c>
      <c r="M17" t="inlineStr">
        <is>
          <t>PM Forum</t>
        </is>
      </c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>
        <is>
          <t>PM Forum</t>
        </is>
      </c>
      <c r="E18" t="inlineStr">
        <is>
          <t>PM Forum, OM Work</t>
        </is>
      </c>
      <c r="F18" t="inlineStr">
        <is>
          <t>PM Forum</t>
        </is>
      </c>
      <c r="G18" t="inlineStr">
        <is>
          <t>Michael &lt;&gt; Nate - 1:1</t>
        </is>
      </c>
      <c r="H18" t="inlineStr">
        <is>
          <t>PM Forum</t>
        </is>
      </c>
      <c r="I18" t="inlineStr">
        <is>
          <t>PM Forum</t>
        </is>
      </c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>
        <is>
          <t>PM Forum</t>
        </is>
      </c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Snowflake Tribe Bi-weekly Session</t>
        </is>
      </c>
      <c r="C20" t="inlineStr">
        <is>
          <t>Snowflake Tribe Bi-weekly Session</t>
        </is>
      </c>
      <c r="D20" t="inlineStr">
        <is>
          <t>Snowflake Tribe Bi-weekly Session</t>
        </is>
      </c>
      <c r="E20" t="inlineStr">
        <is>
          <t>OM Work, Snowflake Tribe Bi-weekly Session</t>
        </is>
      </c>
      <c r="F20" t="inlineStr">
        <is>
          <t>Snowflake Tribe Bi-weekly Session</t>
        </is>
      </c>
      <c r="G20" t="inlineStr">
        <is>
          <t>Snowflake Tribe Bi-weekly Session</t>
        </is>
      </c>
      <c r="H20" t="inlineStr">
        <is>
          <t>Canceled: Tech team huddle, Snowflake Tribe Bi-weekly Session</t>
        </is>
      </c>
      <c r="I20" t="inlineStr">
        <is>
          <t>Snowflake Tribe Bi-weekly Session</t>
        </is>
      </c>
      <c r="J20" t="inlineStr"/>
      <c r="K20" t="inlineStr">
        <is>
          <t>Snowflake Tribe Bi-weekly Session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>
        <is>
          <t>Snowflake Tribe Bi-weekly Session</t>
        </is>
      </c>
    </row>
    <row r="21">
      <c r="A21" t="inlineStr">
        <is>
          <t>17:30</t>
        </is>
      </c>
      <c r="B21" t="inlineStr">
        <is>
          <t>Snowflake Tribe Bi-weekly Session</t>
        </is>
      </c>
      <c r="C21" t="inlineStr">
        <is>
          <t>Snowflake Tribe Bi-weekly Session</t>
        </is>
      </c>
      <c r="D21" t="inlineStr">
        <is>
          <t>Snowflake Tribe Bi-weekly Session</t>
        </is>
      </c>
      <c r="E21" t="inlineStr">
        <is>
          <t>OM Work, Snowflake Tribe Bi-weekly Session</t>
        </is>
      </c>
      <c r="F21" t="inlineStr">
        <is>
          <t>Snowflake Tribe Bi-weekly Session</t>
        </is>
      </c>
      <c r="G21" t="inlineStr">
        <is>
          <t>Snowflake Tribe Bi-weekly Session</t>
        </is>
      </c>
      <c r="H21" t="inlineStr">
        <is>
          <t>Canceled: Tech team huddle, Snowflake Tribe Bi-weekly Session</t>
        </is>
      </c>
      <c r="I21" t="inlineStr">
        <is>
          <t>Snowflake Tribe Bi-weekly Session</t>
        </is>
      </c>
      <c r="J21" t="inlineStr"/>
      <c r="K21" t="inlineStr">
        <is>
          <t>Snowflake Tribe Bi-weekly Session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>
        <is>
          <t>Snowflake Tribe Bi-weekly Session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S/Stream - EBU Cadence - Bi-Monthly, 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>
        <is>
          <t>Canceled event: S/Stream - EBU Cadence - Bi-Monthly @ Monthly from 09:00 to 09:30 on the first Tuesday (SAST) (suzanne.edlmann@slipstreamdata.co.za)</t>
        </is>
      </c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Work, GRCA Portfolio | Team Stand-up, Canceled: Wonga: DWH development &amp; migration on Snowflake Project Daily Standup**With Client**</t>
        </is>
      </c>
      <c r="F9" t="inlineStr"/>
      <c r="G9" t="inlineStr">
        <is>
          <t>Ongoing: Daily operational tasks DSY</t>
        </is>
      </c>
      <c r="H9" t="inlineStr">
        <is>
          <t>Ntsako &lt;&gt; Nate - 1:1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>
        <is>
          <t>Palesa &lt;&gt; Nate - 1:1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Taquanta: Weekly SLA &amp; Projects update (Client meeting)</t>
        </is>
      </c>
      <c r="I14" t="inlineStr"/>
      <c r="J14" t="inlineStr"/>
      <c r="K14" t="inlineStr"/>
      <c r="L14" t="inlineStr">
        <is>
          <t>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>
        <is>
          <t xml:space="preserve">Riyad &lt;&gt; Nate - 1:1 </t>
        </is>
      </c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Snowflake / Slipstream Monthly Technical Sync</t>
        </is>
      </c>
      <c r="C18" t="inlineStr"/>
      <c r="D18" t="inlineStr"/>
      <c r="E18" t="inlineStr">
        <is>
          <t>OM Work</t>
        </is>
      </c>
      <c r="F18" t="inlineStr">
        <is>
          <t>Snowflake / Slipstream Monthly Technical Sync</t>
        </is>
      </c>
      <c r="G18" t="inlineStr">
        <is>
          <t>Development activities - Glue - code and data</t>
        </is>
      </c>
      <c r="H18" t="inlineStr"/>
      <c r="I18" t="inlineStr">
        <is>
          <t>Snowflake / Slipstream Monthly Technical Sync</t>
        </is>
      </c>
      <c r="J18" t="inlineStr"/>
      <c r="K18" t="inlineStr">
        <is>
          <t>Robin &lt;&gt; Nate - 1:1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Sandi &lt;&gt; Nate - 1:1, 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Suzanne &lt;&gt; Nate - 1:1</t>
        </is>
      </c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>
        <is>
          <t>one on one - Thando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Advisor Recon (Manual Run), 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Advisor Recon (Manual Run), 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Day, 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Strategy and solution Day</t>
        </is>
      </c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Strategy and solution Day</t>
        </is>
      </c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Strategy and solution Day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Strategy and solution Day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Resource Utilization Review 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>
        <is>
          <t>Canceled: PM Alignment Meeting</t>
        </is>
      </c>
      <c r="E13" t="inlineStr"/>
      <c r="F13" t="inlineStr"/>
      <c r="G13" t="inlineStr"/>
      <c r="H13" t="inlineStr">
        <is>
          <t>Canceled: PM Alignment Meeting</t>
        </is>
      </c>
      <c r="I13" t="inlineStr">
        <is>
          <t>Canceled: PM Alignment Meeting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>
        <is>
          <t>Weekly round-up-meeting, DW: Weekly round-up meeting</t>
        </is>
      </c>
      <c r="H14" t="inlineStr"/>
      <c r="I14" t="inlineStr"/>
      <c r="J14" t="inlineStr">
        <is>
          <t>DW: Weekly round-up meeting</t>
        </is>
      </c>
      <c r="K14" t="inlineStr"/>
      <c r="L14" t="inlineStr">
        <is>
          <t>DW: Weekly round-up meeting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Advisor Recon Refresh Data Source</t>
        </is>
      </c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Advisor Recon Refresh Data Source</t>
        </is>
      </c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Advisor Recon Refresh Data Source</t>
        </is>
      </c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Advisor Recon Refresh Data Source</t>
        </is>
      </c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/>
      <c r="E17" t="inlineStr"/>
      <c r="F17" t="inlineStr">
        <is>
          <t xml:space="preserve">ScaleUp Homework sessions </t>
        </is>
      </c>
      <c r="G17" t="inlineStr">
        <is>
          <t>Internal Study time(PDP)</t>
        </is>
      </c>
      <c r="H17" t="inlineStr"/>
      <c r="I17" t="inlineStr"/>
      <c r="J17" t="inlineStr"/>
      <c r="K17" t="inlineStr"/>
      <c r="L17" t="inlineStr">
        <is>
          <t>Monthly Tech Team Leave Discussion , 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>
        <is>
          <t>Canceled: Tech Team retro, Tech team planning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Tableau Tribe Development and Upskilling</t>
        </is>
      </c>
      <c r="C20" t="inlineStr"/>
      <c r="D20" t="inlineStr"/>
      <c r="E20" t="inlineStr">
        <is>
          <t>OM Work, Tableau Tribe Development and Upskilling</t>
        </is>
      </c>
      <c r="F20" t="inlineStr">
        <is>
          <t>Tableau Tribe Development and Upskilling</t>
        </is>
      </c>
      <c r="G20" t="inlineStr"/>
      <c r="H20" t="inlineStr">
        <is>
          <t>Canceled: Tech Team retro, Tech team planning</t>
        </is>
      </c>
      <c r="I20" t="inlineStr"/>
      <c r="J20" t="inlineStr"/>
      <c r="K20" t="inlineStr">
        <is>
          <t>Tableau Tribe Development and Upskilling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>
        <is>
          <t>Tableau Tribe Development and Upskilling</t>
        </is>
      </c>
      <c r="N20" t="inlineStr">
        <is>
          <t>Tableau Tribe Development and Upskilling</t>
        </is>
      </c>
    </row>
    <row r="21">
      <c r="A21" t="inlineStr">
        <is>
          <t>17:30</t>
        </is>
      </c>
      <c r="B21" t="inlineStr">
        <is>
          <t>Tableau Tribe Development and Upskilling</t>
        </is>
      </c>
      <c r="C21" t="inlineStr"/>
      <c r="D21" t="inlineStr"/>
      <c r="E21" t="inlineStr">
        <is>
          <t>OM Work, Tableau Tribe Development and Upskilling</t>
        </is>
      </c>
      <c r="F21" t="inlineStr">
        <is>
          <t>Tableau Tribe Development and Upskilling</t>
        </is>
      </c>
      <c r="G21" t="inlineStr"/>
      <c r="H21" t="inlineStr">
        <is>
          <t>Canceled: Tech Team retro</t>
        </is>
      </c>
      <c r="I21" t="inlineStr"/>
      <c r="J21" t="inlineStr"/>
      <c r="K21" t="inlineStr">
        <is>
          <t>Tableau Tribe Development and Upskilling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>
        <is>
          <t>Tableau Tribe Development and Upskilling</t>
        </is>
      </c>
      <c r="N21" t="inlineStr">
        <is>
          <t>Tableau Tribe Development and Upskilling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Work, GRCA Portfolio | Team Stand-up, Canceled: Wonga: DWH development &amp; migration on Snowflake Project Daily Standup**With Client**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>
        <is>
          <t>One-One coaching - Ntsako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One-One coaching - Ntsako, Taquanta: Weekly SLA &amp; Projects update (Client meeting)</t>
        </is>
      </c>
      <c r="I14" t="inlineStr"/>
      <c r="J14" t="inlineStr"/>
      <c r="K14" t="inlineStr"/>
      <c r="L14" t="inlineStr">
        <is>
          <t>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Canceled: Tech Team Planning , Ongoing: Daily operational tasks DSY</t>
        </is>
      </c>
      <c r="H10" t="inlineStr">
        <is>
          <t xml:space="preserve">Canceled: Tech Team Planning </t>
        </is>
      </c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>
        <is>
          <t xml:space="preserve">Canceled: Tech Team Planning </t>
        </is>
      </c>
      <c r="H11" t="inlineStr">
        <is>
          <t>Canceled: Tech Team Planning , Taquanta: Projects Internal Standup</t>
        </is>
      </c>
      <c r="I11" t="inlineStr"/>
      <c r="J11" t="inlineStr"/>
      <c r="K11" t="inlineStr"/>
      <c r="L11" t="inlineStr">
        <is>
          <t>Sandi &lt;&gt; Nate - 1:1, 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>
        <is>
          <t>Canceled: Senior Tech Team: Insights Session</t>
        </is>
      </c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PMO Office Hours Sessions</t>
        </is>
      </c>
      <c r="C21" t="inlineStr"/>
      <c r="D21" t="inlineStr"/>
      <c r="E21" t="inlineStr">
        <is>
          <t>OM Work, PMO Office Hours Sessions</t>
        </is>
      </c>
      <c r="F21" t="inlineStr">
        <is>
          <t>PMO Office Hours Sessions</t>
        </is>
      </c>
      <c r="G21" t="inlineStr"/>
      <c r="H21" t="inlineStr"/>
      <c r="I21" t="inlineStr"/>
      <c r="J21" t="inlineStr">
        <is>
          <t>PMO Office Hours Sessions</t>
        </is>
      </c>
      <c r="K21" t="inlineStr"/>
      <c r="L21" t="inlineStr">
        <is>
          <t>Slipstream - IPD - Internal Projects  ( Slipstream Data ) (Harvest Timesheets and Reports, ClickUp Tasks and Reports, Billing, Emails, Documentation, Reports), PMO Office Hours Sessions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Day, 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Strategy and solution Day, Slipstream Data / WhereScape</t>
        </is>
      </c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Strategy and solution Day, Slipstream Data / WhereScape</t>
        </is>
      </c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Strategy and solution Day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Strategy and solution Day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 xml:space="preserve">ScaleUp - Strategic Planning </t>
        </is>
      </c>
      <c r="C6" t="inlineStr"/>
      <c r="D6" t="inlineStr"/>
      <c r="E6" t="inlineStr"/>
      <c r="F6" t="inlineStr">
        <is>
          <t xml:space="preserve">ScaleUp - Strategic Planning 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ScaleUp - Strategic Planning 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ScaleUp - Strategic Planning , 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 xml:space="preserve">ScaleUp - Strategic Planning </t>
        </is>
      </c>
      <c r="C8" t="inlineStr"/>
      <c r="D8" t="inlineStr"/>
      <c r="E8" t="inlineStr">
        <is>
          <t>OM Work</t>
        </is>
      </c>
      <c r="F8" t="inlineStr">
        <is>
          <t xml:space="preserve">ScaleUp - Strategic Planning </t>
        </is>
      </c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 xml:space="preserve">ScaleUp - Strategic Planning </t>
        </is>
      </c>
      <c r="C9" t="inlineStr"/>
      <c r="D9" t="inlineStr"/>
      <c r="E9" t="inlineStr">
        <is>
          <t>OM Work</t>
        </is>
      </c>
      <c r="F9" t="inlineStr">
        <is>
          <t xml:space="preserve">ScaleUp - Strategic Planning 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ScaleUp - Strategic Planning , 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 xml:space="preserve">ScaleUp - Strategic Planning 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- Strategic Planning </t>
        </is>
      </c>
      <c r="C11" t="inlineStr"/>
      <c r="D11" t="inlineStr"/>
      <c r="E11" t="inlineStr">
        <is>
          <t>OM Work</t>
        </is>
      </c>
      <c r="F11" t="inlineStr">
        <is>
          <t xml:space="preserve">ScaleUp - Strategic Planning </t>
        </is>
      </c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- Strategic Planning </t>
        </is>
      </c>
      <c r="C12" t="inlineStr"/>
      <c r="D12" t="inlineStr"/>
      <c r="E12" t="inlineStr"/>
      <c r="F12" t="inlineStr">
        <is>
          <t xml:space="preserve">ScaleUp - Strategic Planning </t>
        </is>
      </c>
      <c r="G12" t="inlineStr"/>
      <c r="H12" t="inlineStr"/>
      <c r="I12" t="inlineStr"/>
      <c r="J12" t="inlineStr"/>
      <c r="K12" t="inlineStr"/>
      <c r="L12" t="inlineStr">
        <is>
          <t xml:space="preserve">Resource Utilization Review 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ScaleUp - Strategic Planning </t>
        </is>
      </c>
      <c r="C13" t="inlineStr"/>
      <c r="D13" t="inlineStr"/>
      <c r="E13" t="inlineStr"/>
      <c r="F13" t="inlineStr">
        <is>
          <t xml:space="preserve">ScaleUp - Strategic Planning 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 xml:space="preserve">ScaleUp - Strategic Planning </t>
        </is>
      </c>
      <c r="C14" t="inlineStr"/>
      <c r="D14" t="inlineStr"/>
      <c r="E14" t="inlineStr"/>
      <c r="F14" t="inlineStr">
        <is>
          <t xml:space="preserve">ScaleUp - Strategic Planning </t>
        </is>
      </c>
      <c r="G14" t="inlineStr">
        <is>
          <t>Weekly round-up-meeting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- Strategic Planning </t>
        </is>
      </c>
      <c r="C15" t="inlineStr"/>
      <c r="D15" t="inlineStr"/>
      <c r="E15" t="inlineStr"/>
      <c r="F15" t="inlineStr">
        <is>
          <t xml:space="preserve">ScaleUp - Strategic Planning </t>
        </is>
      </c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>
        <is>
          <t xml:space="preserve">ScaleUp - Strategic Planning </t>
        </is>
      </c>
      <c r="C16" t="inlineStr"/>
      <c r="D16" t="inlineStr"/>
      <c r="E16" t="inlineStr"/>
      <c r="F16" t="inlineStr">
        <is>
          <t xml:space="preserve">ScaleUp - Strategic Planning </t>
        </is>
      </c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>
        <is>
          <t xml:space="preserve">ScaleUp - Strategic Planning </t>
        </is>
      </c>
      <c r="C17" t="inlineStr"/>
      <c r="D17" t="inlineStr"/>
      <c r="E17" t="inlineStr"/>
      <c r="F17" t="inlineStr">
        <is>
          <t xml:space="preserve">ScaleUp - Strategic Planning 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>
        <is>
          <t xml:space="preserve">ScaleUp - Strategic Planning </t>
        </is>
      </c>
      <c r="C18" t="inlineStr"/>
      <c r="D18" t="inlineStr"/>
      <c r="E18" t="inlineStr"/>
      <c r="F18" t="inlineStr">
        <is>
          <t xml:space="preserve">ScaleUp - Strategic Planning </t>
        </is>
      </c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>
        <is>
          <t xml:space="preserve">ScaleUp - Strategic Planning </t>
        </is>
      </c>
      <c r="C19" t="inlineStr"/>
      <c r="D19" t="inlineStr"/>
      <c r="E19" t="inlineStr"/>
      <c r="F19" t="inlineStr">
        <is>
          <t xml:space="preserve">ScaleUp - Strategic Planning </t>
        </is>
      </c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ScaleUp - Strategic Planning , 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ScaleUp - Strategic Planning , 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ScaleUp - Strategic Planning , 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ScaleUp - Strategic Planning , 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>
        <is>
          <t>Ben &lt;&gt; Nate - 1:1</t>
        </is>
      </c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>
        <is>
          <t>IP: SaaS - Asset Management progress update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>
        <is>
          <t>Aza &lt;&gt; Nate - 1:1</t>
        </is>
      </c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Flora &lt;&gt; Nate - 1:1, 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>
        <is>
          <t>Alteryx Decomission</t>
        </is>
      </c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/>
      <c r="E17" t="inlineStr"/>
      <c r="F17" t="inlineStr">
        <is>
          <t xml:space="preserve">Mark &lt;&gt; Nate - 1:1, ScaleUp Homework sessions </t>
        </is>
      </c>
      <c r="G17" t="inlineStr">
        <is>
          <t>Internal Study time(PDP)</t>
        </is>
      </c>
      <c r="H17" t="inlineStr"/>
      <c r="I17" t="inlineStr"/>
      <c r="J17" t="inlineStr"/>
      <c r="K17" t="inlineStr"/>
      <c r="L17" t="inlineStr">
        <is>
          <t>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Michael &lt;&gt; Nate - 1:1</t>
        </is>
      </c>
      <c r="H18" t="inlineStr">
        <is>
          <t>Tech team retrospective</t>
        </is>
      </c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>
        <is>
          <t>Tech team retrospective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Snowflake Tribe Bi-weekly Session</t>
        </is>
      </c>
      <c r="C20" t="inlineStr">
        <is>
          <t>Snowflake Tribe Bi-weekly Session</t>
        </is>
      </c>
      <c r="D20" t="inlineStr">
        <is>
          <t>Snowflake Tribe Bi-weekly Session</t>
        </is>
      </c>
      <c r="E20" t="inlineStr">
        <is>
          <t>OM Work, Snowflake Tribe Bi-weekly Session</t>
        </is>
      </c>
      <c r="F20" t="inlineStr">
        <is>
          <t>Snowflake Tribe Bi-weekly Session</t>
        </is>
      </c>
      <c r="G20" t="inlineStr">
        <is>
          <t>Snowflake Tribe Bi-weekly Session</t>
        </is>
      </c>
      <c r="H20" t="inlineStr">
        <is>
          <t>Canceled: Tech team huddle, Tech team retrospective, Snowflake Tribe Bi-weekly Session</t>
        </is>
      </c>
      <c r="I20" t="inlineStr">
        <is>
          <t>Snowflake Tribe Bi-weekly Session</t>
        </is>
      </c>
      <c r="J20" t="inlineStr"/>
      <c r="K20" t="inlineStr">
        <is>
          <t>Snowflake Tribe Bi-weekly Session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>
        <is>
          <t>Snowflake Tribe Bi-weekly Session</t>
        </is>
      </c>
    </row>
    <row r="21">
      <c r="A21" t="inlineStr">
        <is>
          <t>17:30</t>
        </is>
      </c>
      <c r="B21" t="inlineStr">
        <is>
          <t>Snowflake Tribe Bi-weekly Session</t>
        </is>
      </c>
      <c r="C21" t="inlineStr">
        <is>
          <t>Snowflake Tribe Bi-weekly Session</t>
        </is>
      </c>
      <c r="D21" t="inlineStr">
        <is>
          <t>Snowflake Tribe Bi-weekly Session</t>
        </is>
      </c>
      <c r="E21" t="inlineStr">
        <is>
          <t>OM Work, Snowflake Tribe Bi-weekly Session</t>
        </is>
      </c>
      <c r="F21" t="inlineStr">
        <is>
          <t>Snowflake Tribe Bi-weekly Session</t>
        </is>
      </c>
      <c r="G21" t="inlineStr">
        <is>
          <t>Snowflake Tribe Bi-weekly Session</t>
        </is>
      </c>
      <c r="H21" t="inlineStr">
        <is>
          <t>Canceled: Tech team huddle, Snowflake Tribe Bi-weekly Session</t>
        </is>
      </c>
      <c r="I21" t="inlineStr">
        <is>
          <t>Snowflake Tribe Bi-weekly Session</t>
        </is>
      </c>
      <c r="J21" t="inlineStr"/>
      <c r="K21" t="inlineStr">
        <is>
          <t>Snowflake Tribe Bi-weekly Session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>
        <is>
          <t>Snowflake Tribe Bi-weekly Session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S/Stream - EBU Cadence - Bi-Monthly, 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Work, GRCA Portfolio | Team Stand-up, Canceled: Wonga: DWH development &amp; migration on Snowflake Project Daily Standup**With Client**</t>
        </is>
      </c>
      <c r="F9" t="inlineStr"/>
      <c r="G9" t="inlineStr">
        <is>
          <t>Ongoing: Daily operational tasks DSY</t>
        </is>
      </c>
      <c r="H9" t="inlineStr">
        <is>
          <t>Ntsako &lt;&gt; Nate - 1:1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>
        <is>
          <t>Palesa &lt;&gt; Nate - 1:1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Taquanta: Weekly SLA &amp; Projects update (Client meeting)</t>
        </is>
      </c>
      <c r="I14" t="inlineStr"/>
      <c r="J14" t="inlineStr"/>
      <c r="K14" t="inlineStr"/>
      <c r="L14" t="inlineStr">
        <is>
          <t>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>
        <is>
          <t xml:space="preserve">Riyad &lt;&gt; Nate - 1:1 </t>
        </is>
      </c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Robin &lt;&gt; Nate - 1:1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Sandi &lt;&gt; Nate - 1:1, 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Suzanne &lt;&gt; Nate - 1:1</t>
        </is>
      </c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>
        <is>
          <t>WhereScape/Slipstream - monthly catch up</t>
        </is>
      </c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>
        <is>
          <t>WhereScape/Slipstream - monthly catch up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>
        <is>
          <t>one on one - Thando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Day, 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Strategy and solution Day</t>
        </is>
      </c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Strategy and solution Day</t>
        </is>
      </c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Strategy and solution Day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Strategy and solution Day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 xml:space="preserve">Monthly Management Meeting 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Monthly Management Meeting , 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Monthly Management Meeting 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Monthly Management Meeting 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Resource Utilization Review 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Monthly Management Meeting 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 xml:space="preserve">Monthly Management Meeting </t>
        </is>
      </c>
      <c r="C14" t="inlineStr"/>
      <c r="D14" t="inlineStr"/>
      <c r="E14" t="inlineStr"/>
      <c r="F14" t="inlineStr"/>
      <c r="G14" t="inlineStr">
        <is>
          <t>Weekly round-up-meeting, DW: Weekly round-up meeting</t>
        </is>
      </c>
      <c r="H14" t="inlineStr"/>
      <c r="I14" t="inlineStr"/>
      <c r="J14" t="inlineStr">
        <is>
          <t>DW: Weekly round-up meeting</t>
        </is>
      </c>
      <c r="K14" t="inlineStr"/>
      <c r="L14" t="inlineStr">
        <is>
          <t>DW: Weekly round-up meeting</t>
        </is>
      </c>
      <c r="M14" t="inlineStr"/>
      <c r="N14" t="inlineStr"/>
    </row>
    <row r="15">
      <c r="A15" t="inlineStr">
        <is>
          <t>14:30</t>
        </is>
      </c>
      <c r="B15" t="inlineStr">
        <is>
          <t xml:space="preserve">Monthly Management Meeting 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>
        <is>
          <t xml:space="preserve">Monthly Management Meeting 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/>
      <c r="E17" t="inlineStr"/>
      <c r="F17" t="inlineStr">
        <is>
          <t xml:space="preserve">ScaleUp Homework sessions </t>
        </is>
      </c>
      <c r="G17" t="inlineStr">
        <is>
          <t>Internal Study time(PDP)</t>
        </is>
      </c>
      <c r="H17" t="inlineStr"/>
      <c r="I17" t="inlineStr"/>
      <c r="J17" t="inlineStr"/>
      <c r="K17" t="inlineStr"/>
      <c r="L17" t="inlineStr">
        <is>
          <t>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>
        <is>
          <t>Canceled: Tech Team retro, Tech team planning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Tableau Tribe Development and Upskilling</t>
        </is>
      </c>
      <c r="C20" t="inlineStr"/>
      <c r="D20" t="inlineStr"/>
      <c r="E20" t="inlineStr">
        <is>
          <t>OM Work, Tableau Tribe Development and Upskilling</t>
        </is>
      </c>
      <c r="F20" t="inlineStr">
        <is>
          <t>Tableau Tribe Development and Upskilling</t>
        </is>
      </c>
      <c r="G20" t="inlineStr"/>
      <c r="H20" t="inlineStr">
        <is>
          <t>Canceled: Tech Team retro, Tech team planning</t>
        </is>
      </c>
      <c r="I20" t="inlineStr"/>
      <c r="J20" t="inlineStr"/>
      <c r="K20" t="inlineStr">
        <is>
          <t>Tableau Tribe Development and Upskilling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>
        <is>
          <t>Tableau Tribe Development and Upskilling</t>
        </is>
      </c>
      <c r="N20" t="inlineStr">
        <is>
          <t>Tableau Tribe Development and Upskilling</t>
        </is>
      </c>
    </row>
    <row r="21">
      <c r="A21" t="inlineStr">
        <is>
          <t>17:30</t>
        </is>
      </c>
      <c r="B21" t="inlineStr">
        <is>
          <t>Tableau Tribe Development and Upskilling</t>
        </is>
      </c>
      <c r="C21" t="inlineStr"/>
      <c r="D21" t="inlineStr"/>
      <c r="E21" t="inlineStr">
        <is>
          <t>OM Work, Tableau Tribe Development and Upskilling</t>
        </is>
      </c>
      <c r="F21" t="inlineStr">
        <is>
          <t>Tableau Tribe Development and Upskilling</t>
        </is>
      </c>
      <c r="G21" t="inlineStr"/>
      <c r="H21" t="inlineStr">
        <is>
          <t>Canceled: Tech Team retro</t>
        </is>
      </c>
      <c r="I21" t="inlineStr"/>
      <c r="J21" t="inlineStr"/>
      <c r="K21" t="inlineStr">
        <is>
          <t>Tableau Tribe Development and Upskilling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>
        <is>
          <t>Tableau Tribe Development and Upskilling</t>
        </is>
      </c>
      <c r="N21" t="inlineStr">
        <is>
          <t>Tableau Tribe Development and Upskilling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Work, GRCA Portfolio | Team Stand-up, Canceled: Wonga: DWH development &amp; migration on Snowflake Project Daily Standup**With Client**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Taquanta: Weekly SLA &amp; Projects update (Client meeting)</t>
        </is>
      </c>
      <c r="I14" t="inlineStr"/>
      <c r="J14" t="inlineStr"/>
      <c r="K14" t="inlineStr"/>
      <c r="L14" t="inlineStr">
        <is>
          <t>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Canceled: Tech Team Planning , Ongoing: Daily operational tasks DSY</t>
        </is>
      </c>
      <c r="H10" t="inlineStr">
        <is>
          <t xml:space="preserve">Canceled: Tech Team Planning </t>
        </is>
      </c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>
        <is>
          <t xml:space="preserve">Canceled: Tech Team Planning </t>
        </is>
      </c>
      <c r="H11" t="inlineStr">
        <is>
          <t>Canceled: Tech Team Planning , Taquanta: Projects Internal Standup</t>
        </is>
      </c>
      <c r="I11" t="inlineStr"/>
      <c r="J11" t="inlineStr"/>
      <c r="K11" t="inlineStr"/>
      <c r="L11" t="inlineStr">
        <is>
          <t>Sandi &lt;&gt; Nate - 1:1, 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PMO Office Hours Sessions</t>
        </is>
      </c>
      <c r="C21" t="inlineStr"/>
      <c r="D21" t="inlineStr"/>
      <c r="E21" t="inlineStr">
        <is>
          <t>OM Work, PMO Office Hours Sessions</t>
        </is>
      </c>
      <c r="F21" t="inlineStr">
        <is>
          <t>PMO Office Hours Sessions</t>
        </is>
      </c>
      <c r="G21" t="inlineStr"/>
      <c r="H21" t="inlineStr"/>
      <c r="I21" t="inlineStr"/>
      <c r="J21" t="inlineStr">
        <is>
          <t>PMO Office Hours Sessions</t>
        </is>
      </c>
      <c r="K21" t="inlineStr"/>
      <c r="L21" t="inlineStr">
        <is>
          <t>Slipstream - IPD - Internal Projects  ( Slipstream Data ) (Harvest Timesheets and Reports, ClickUp Tasks and Reports, Billing, Emails, Documentation, Reports), PMO Office Hours Sessions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Day, 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Strategy and solution Day</t>
        </is>
      </c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Strategy and solution Day</t>
        </is>
      </c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Strategy and solution Day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Strategy and solution Day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>
        <is>
          <t>Maintenance Course required to keep Salesforce Cert from expiring</t>
        </is>
      </c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>
        <is>
          <t>Maintenance Course required to keep Salesforce Cert from expiring</t>
        </is>
      </c>
      <c r="N9" t="inlineStr"/>
    </row>
    <row r="10">
      <c r="A10" t="inlineStr">
        <is>
          <t>12:00</t>
        </is>
      </c>
      <c r="B10" t="inlineStr">
        <is>
          <t>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Resource Utilization Review 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>
        <is>
          <t>Weekly round-up-meeting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>
        <is>
          <t>Ben &lt;&gt; Nate - 1:1</t>
        </is>
      </c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>
        <is>
          <t>IP: SaaS - Asset Management progress update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>
        <is>
          <t>Aza &lt;&gt; Nate - 1:1</t>
        </is>
      </c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Flora &lt;&gt; Nate - 1:1, 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>
        <is>
          <t>Alteryx Decomission</t>
        </is>
      </c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>
        <is>
          <t>PM Forum</t>
        </is>
      </c>
      <c r="E17" t="inlineStr">
        <is>
          <t>PM Forum</t>
        </is>
      </c>
      <c r="F17" t="inlineStr">
        <is>
          <t xml:space="preserve">Mark &lt;&gt; Nate - 1:1, PM Forum, ScaleUp Homework sessions </t>
        </is>
      </c>
      <c r="G17" t="inlineStr">
        <is>
          <t>Internal Study time(PDP)</t>
        </is>
      </c>
      <c r="H17" t="inlineStr">
        <is>
          <t>PM Forum</t>
        </is>
      </c>
      <c r="I17" t="inlineStr">
        <is>
          <t>PM Forum</t>
        </is>
      </c>
      <c r="J17" t="inlineStr"/>
      <c r="K17" t="inlineStr"/>
      <c r="L17" t="inlineStr">
        <is>
          <t>Shoprite Plan Update + Emails</t>
        </is>
      </c>
      <c r="M17" t="inlineStr">
        <is>
          <t>PM Forum</t>
        </is>
      </c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>
        <is>
          <t>PM Forum</t>
        </is>
      </c>
      <c r="E18" t="inlineStr">
        <is>
          <t>PM Forum, OM Work</t>
        </is>
      </c>
      <c r="F18" t="inlineStr">
        <is>
          <t>PM Forum</t>
        </is>
      </c>
      <c r="G18" t="inlineStr">
        <is>
          <t>Michael &lt;&gt; Nate - 1:1</t>
        </is>
      </c>
      <c r="H18" t="inlineStr">
        <is>
          <t>PM Forum</t>
        </is>
      </c>
      <c r="I18" t="inlineStr">
        <is>
          <t>PM Forum</t>
        </is>
      </c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>
        <is>
          <t>PM Forum</t>
        </is>
      </c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Snowflake Tribe Bi-weekly Session</t>
        </is>
      </c>
      <c r="C20" t="inlineStr">
        <is>
          <t>Snowflake Tribe Bi-weekly Session</t>
        </is>
      </c>
      <c r="D20" t="inlineStr">
        <is>
          <t>Snowflake Tribe Bi-weekly Session</t>
        </is>
      </c>
      <c r="E20" t="inlineStr">
        <is>
          <t>OM Work, Snowflake Tribe Bi-weekly Session</t>
        </is>
      </c>
      <c r="F20" t="inlineStr">
        <is>
          <t>Snowflake Tribe Bi-weekly Session</t>
        </is>
      </c>
      <c r="G20" t="inlineStr">
        <is>
          <t>Snowflake Tribe Bi-weekly Session</t>
        </is>
      </c>
      <c r="H20" t="inlineStr">
        <is>
          <t>Canceled: Tech team huddle, Snowflake Tribe Bi-weekly Session</t>
        </is>
      </c>
      <c r="I20" t="inlineStr">
        <is>
          <t>Snowflake Tribe Bi-weekly Session</t>
        </is>
      </c>
      <c r="J20" t="inlineStr"/>
      <c r="K20" t="inlineStr">
        <is>
          <t>Snowflake Tribe Bi-weekly Session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>
        <is>
          <t>Snowflake Tribe Bi-weekly Session</t>
        </is>
      </c>
    </row>
    <row r="21">
      <c r="A21" t="inlineStr">
        <is>
          <t>17:30</t>
        </is>
      </c>
      <c r="B21" t="inlineStr">
        <is>
          <t>Snowflake Tribe Bi-weekly Session</t>
        </is>
      </c>
      <c r="C21" t="inlineStr">
        <is>
          <t>Snowflake Tribe Bi-weekly Session</t>
        </is>
      </c>
      <c r="D21" t="inlineStr">
        <is>
          <t>Snowflake Tribe Bi-weekly Session</t>
        </is>
      </c>
      <c r="E21" t="inlineStr">
        <is>
          <t>OM Work, Snowflake Tribe Bi-weekly Session</t>
        </is>
      </c>
      <c r="F21" t="inlineStr">
        <is>
          <t>Snowflake Tribe Bi-weekly Session</t>
        </is>
      </c>
      <c r="G21" t="inlineStr">
        <is>
          <t>Snowflake Tribe Bi-weekly Session</t>
        </is>
      </c>
      <c r="H21" t="inlineStr">
        <is>
          <t>Canceled: Tech team huddle, Snowflake Tribe Bi-weekly Session</t>
        </is>
      </c>
      <c r="I21" t="inlineStr">
        <is>
          <t>Snowflake Tribe Bi-weekly Session</t>
        </is>
      </c>
      <c r="J21" t="inlineStr"/>
      <c r="K21" t="inlineStr">
        <is>
          <t>Snowflake Tribe Bi-weekly Session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>
        <is>
          <t>Snowflake Tribe Bi-weekly Session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S/Stream - EBU Cadence - Bi-Monthly, 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>
        <is>
          <t>Canceled event: S/Stream - EBU Cadence - Bi-Monthly @ Monthly from 09:00 to 09:30 on the first Tuesday (SAST) (suzanne.edlmann@slipstreamdata.co.za)</t>
        </is>
      </c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Work, GRCA Portfolio | Team Stand-up, Canceled: Wonga: DWH development &amp; migration on Snowflake Project Daily Standup**With Client**</t>
        </is>
      </c>
      <c r="F9" t="inlineStr"/>
      <c r="G9" t="inlineStr">
        <is>
          <t>Ongoing: Daily operational tasks DSY</t>
        </is>
      </c>
      <c r="H9" t="inlineStr">
        <is>
          <t>Ntsako &lt;&gt; Nate - 1:1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>
        <is>
          <t>Palesa &lt;&gt; Nate - 1:1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Taquanta: Weekly SLA &amp; Projects update (Client meeting)</t>
        </is>
      </c>
      <c r="I14" t="inlineStr"/>
      <c r="J14" t="inlineStr"/>
      <c r="K14" t="inlineStr"/>
      <c r="L14" t="inlineStr">
        <is>
          <t>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>
        <is>
          <t xml:space="preserve">Riyad &lt;&gt; Nate - 1:1 </t>
        </is>
      </c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Snowflake / Slipstream Monthly Technical Sync</t>
        </is>
      </c>
      <c r="C18" t="inlineStr"/>
      <c r="D18" t="inlineStr"/>
      <c r="E18" t="inlineStr">
        <is>
          <t>OM Work</t>
        </is>
      </c>
      <c r="F18" t="inlineStr">
        <is>
          <t>Snowflake / Slipstream Monthly Technical Sync</t>
        </is>
      </c>
      <c r="G18" t="inlineStr">
        <is>
          <t>Development activities - Glue - code and data</t>
        </is>
      </c>
      <c r="H18" t="inlineStr"/>
      <c r="I18" t="inlineStr">
        <is>
          <t>Snowflake / Slipstream Monthly Technical Sync</t>
        </is>
      </c>
      <c r="J18" t="inlineStr"/>
      <c r="K18" t="inlineStr">
        <is>
          <t>Robin &lt;&gt; Nate - 1:1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Sandi &lt;&gt; Nate - 1:1, 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Suzanne &lt;&gt; Nate - 1:1</t>
        </is>
      </c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>
        <is>
          <t>one on one - Thando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Day, 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Strategy and solution Day</t>
        </is>
      </c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Strategy and solution Day</t>
        </is>
      </c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Strategy and solution Day, OPS Exec Updates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Strategy and solution Day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Resource Utilization Review 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>
        <is>
          <t>Canceled: PM Alignment Meeting</t>
        </is>
      </c>
      <c r="E13" t="inlineStr"/>
      <c r="F13" t="inlineStr"/>
      <c r="G13" t="inlineStr"/>
      <c r="H13" t="inlineStr">
        <is>
          <t>Canceled: PM Alignment Meeting</t>
        </is>
      </c>
      <c r="I13" t="inlineStr">
        <is>
          <t>Canceled: PM Alignment Meeting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>
        <is>
          <t>Weekly round-up-meeting, DW: Weekly round-up meeting</t>
        </is>
      </c>
      <c r="H14" t="inlineStr"/>
      <c r="I14" t="inlineStr"/>
      <c r="J14" t="inlineStr">
        <is>
          <t>DW: Weekly round-up meeting</t>
        </is>
      </c>
      <c r="K14" t="inlineStr"/>
      <c r="L14" t="inlineStr">
        <is>
          <t>DW: Weekly round-up meeting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>
        <is>
          <t>Advisor Recon Refresh Data Source</t>
        </is>
      </c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>
        <is>
          <t>Advisor Recon Refresh Data Source</t>
        </is>
      </c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>
        <is>
          <t>Advisor Recon Refresh Data Source</t>
        </is>
      </c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>
        <is>
          <t>Advisor Recon Refresh Data Source</t>
        </is>
      </c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/>
      <c r="E17" t="inlineStr"/>
      <c r="F17" t="inlineStr">
        <is>
          <t xml:space="preserve">ScaleUp Homework sessions </t>
        </is>
      </c>
      <c r="G17" t="inlineStr">
        <is>
          <t>Internal Study time(PDP)</t>
        </is>
      </c>
      <c r="H17" t="inlineStr"/>
      <c r="I17" t="inlineStr"/>
      <c r="J17" t="inlineStr"/>
      <c r="K17" t="inlineStr"/>
      <c r="L17" t="inlineStr">
        <is>
          <t>Monthly Tech Team Leave Discussion , 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>
        <is>
          <t>Canceled: Tech Team retro, Tech team planning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>
        <is>
          <t>Canceled: Tech Team retro, Tech team planning</t>
        </is>
      </c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>
        <is>
          <t>Canceled: Tech Team retro</t>
        </is>
      </c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1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Work, GRCA Portfolio | Team Stand-up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>
        <is>
          <t>One-One coaching - Ntsako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One-One coaching - Ntsako, Taquanta: Weekly SLA &amp; Projects update (Client meeting)</t>
        </is>
      </c>
      <c r="I14" t="inlineStr"/>
      <c r="J14" t="inlineStr"/>
      <c r="K14" t="inlineStr"/>
      <c r="L14" t="inlineStr">
        <is>
          <t>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Canceled: Tech Team Planning , Ongoing: Daily operational tasks DSY</t>
        </is>
      </c>
      <c r="H10" t="inlineStr">
        <is>
          <t xml:space="preserve">Canceled: Tech Team Planning </t>
        </is>
      </c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>
        <is>
          <t xml:space="preserve">Canceled: Tech Team Planning </t>
        </is>
      </c>
      <c r="H11" t="inlineStr">
        <is>
          <t>Canceled: Tech Team Planning , Taquanta: Projects Internal Standup</t>
        </is>
      </c>
      <c r="I11" t="inlineStr"/>
      <c r="J11" t="inlineStr"/>
      <c r="K11" t="inlineStr"/>
      <c r="L11" t="inlineStr">
        <is>
          <t>Sandi &lt;&gt; Nate - 1:1, 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PMO Office Hours Sessions</t>
        </is>
      </c>
      <c r="C21" t="inlineStr"/>
      <c r="D21" t="inlineStr"/>
      <c r="E21" t="inlineStr">
        <is>
          <t>OM Work, PMO Office Hours Sessions</t>
        </is>
      </c>
      <c r="F21" t="inlineStr">
        <is>
          <t>PMO Office Hours Sessions</t>
        </is>
      </c>
      <c r="G21" t="inlineStr"/>
      <c r="H21" t="inlineStr"/>
      <c r="I21" t="inlineStr"/>
      <c r="J21" t="inlineStr">
        <is>
          <t>PMO Office Hours Sessions</t>
        </is>
      </c>
      <c r="K21" t="inlineStr"/>
      <c r="L21" t="inlineStr">
        <is>
          <t>Slipstream - IPD - Internal Projects  ( Slipstream Data ) (Harvest Timesheets and Reports, ClickUp Tasks and Reports, Billing, Emails, Documentation, Reports), PMO Office Hours Sessions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Day, 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Strategy and solution Day</t>
        </is>
      </c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Strategy and solution Day</t>
        </is>
      </c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Strategy and solution Day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Strategy and solution Day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>
        <is>
          <t xml:space="preserve">ScaleUp - Execution Discipline </t>
        </is>
      </c>
      <c r="C6" t="inlineStr"/>
      <c r="D6" t="inlineStr"/>
      <c r="E6" t="inlineStr"/>
      <c r="F6" t="inlineStr">
        <is>
          <t xml:space="preserve">ScaleUp - Execution Discipline 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ScaleUp - Execution Discipline 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ScaleUp - Execution Discipline , 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 xml:space="preserve">ScaleUp - Execution Discipline </t>
        </is>
      </c>
      <c r="C8" t="inlineStr"/>
      <c r="D8" t="inlineStr"/>
      <c r="E8" t="inlineStr">
        <is>
          <t>OM Work</t>
        </is>
      </c>
      <c r="F8" t="inlineStr">
        <is>
          <t xml:space="preserve">ScaleUp - Execution Discipline </t>
        </is>
      </c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 xml:space="preserve">ScaleUp - Execution Discipline </t>
        </is>
      </c>
      <c r="C9" t="inlineStr"/>
      <c r="D9" t="inlineStr"/>
      <c r="E9" t="inlineStr">
        <is>
          <t>OM Work</t>
        </is>
      </c>
      <c r="F9" t="inlineStr">
        <is>
          <t xml:space="preserve">ScaleUp - Execution Discipline 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ScaleUp - Execution Discipline , 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 xml:space="preserve">ScaleUp - Execution Discipline 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ScaleUp - Execution Discipline </t>
        </is>
      </c>
      <c r="C11" t="inlineStr"/>
      <c r="D11" t="inlineStr"/>
      <c r="E11" t="inlineStr">
        <is>
          <t>OM Work</t>
        </is>
      </c>
      <c r="F11" t="inlineStr">
        <is>
          <t xml:space="preserve">ScaleUp - Execution Discipline </t>
        </is>
      </c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ScaleUp - Execution Discipline </t>
        </is>
      </c>
      <c r="C12" t="inlineStr"/>
      <c r="D12" t="inlineStr"/>
      <c r="E12" t="inlineStr"/>
      <c r="F12" t="inlineStr">
        <is>
          <t xml:space="preserve">ScaleUp - Execution Discipline </t>
        </is>
      </c>
      <c r="G12" t="inlineStr"/>
      <c r="H12" t="inlineStr"/>
      <c r="I12" t="inlineStr"/>
      <c r="J12" t="inlineStr"/>
      <c r="K12" t="inlineStr"/>
      <c r="L12" t="inlineStr">
        <is>
          <t xml:space="preserve">Resource Utilization Review 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ScaleUp - Execution Discipline </t>
        </is>
      </c>
      <c r="C13" t="inlineStr"/>
      <c r="D13" t="inlineStr"/>
      <c r="E13" t="inlineStr"/>
      <c r="F13" t="inlineStr">
        <is>
          <t xml:space="preserve">ScaleUp - Execution Discipline 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 xml:space="preserve">ScaleUp - Execution Discipline </t>
        </is>
      </c>
      <c r="C14" t="inlineStr"/>
      <c r="D14" t="inlineStr"/>
      <c r="E14" t="inlineStr"/>
      <c r="F14" t="inlineStr">
        <is>
          <t xml:space="preserve">ScaleUp - Execution Discipline </t>
        </is>
      </c>
      <c r="G14" t="inlineStr">
        <is>
          <t>Weekly round-up-meeting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- Execution Discipline </t>
        </is>
      </c>
      <c r="C15" t="inlineStr"/>
      <c r="D15" t="inlineStr"/>
      <c r="E15" t="inlineStr"/>
      <c r="F15" t="inlineStr">
        <is>
          <t xml:space="preserve">ScaleUp - Execution Discipline </t>
        </is>
      </c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>
        <is>
          <t xml:space="preserve">ScaleUp - Execution Discipline </t>
        </is>
      </c>
      <c r="C16" t="inlineStr"/>
      <c r="D16" t="inlineStr"/>
      <c r="E16" t="inlineStr"/>
      <c r="F16" t="inlineStr">
        <is>
          <t xml:space="preserve">ScaleUp - Execution Discipline </t>
        </is>
      </c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>
        <is>
          <t xml:space="preserve">ScaleUp - Execution Discipline </t>
        </is>
      </c>
      <c r="C17" t="inlineStr"/>
      <c r="D17" t="inlineStr"/>
      <c r="E17" t="inlineStr"/>
      <c r="F17" t="inlineStr">
        <is>
          <t xml:space="preserve">ScaleUp - Execution Discipline 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>
        <is>
          <t xml:space="preserve">ScaleUp - Execution Discipline </t>
        </is>
      </c>
      <c r="C18" t="inlineStr"/>
      <c r="D18" t="inlineStr"/>
      <c r="E18" t="inlineStr"/>
      <c r="F18" t="inlineStr">
        <is>
          <t xml:space="preserve">ScaleUp - Execution Discipline </t>
        </is>
      </c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>
        <is>
          <t xml:space="preserve">ScaleUp - Execution Discipline </t>
        </is>
      </c>
      <c r="C19" t="inlineStr"/>
      <c r="D19" t="inlineStr"/>
      <c r="E19" t="inlineStr"/>
      <c r="F19" t="inlineStr">
        <is>
          <t xml:space="preserve">ScaleUp - Execution Discipline </t>
        </is>
      </c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ScaleUp - Execution Discipline , 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ScaleUp - Execution Discipline , 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ScaleUp - Execution Discipline , 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ScaleUp - Execution Discipline , 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>
        <is>
          <t>Ben &lt;&gt; Nate - 1:1</t>
        </is>
      </c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>
        <is>
          <t>IP: SaaS - Asset Management progress update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>
        <is>
          <t>Aza &lt;&gt; Nate - 1:1</t>
        </is>
      </c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Flora &lt;&gt; Nate - 1:1, 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>
        <is>
          <t>Alteryx Decomission</t>
        </is>
      </c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/>
      <c r="E17" t="inlineStr"/>
      <c r="F17" t="inlineStr">
        <is>
          <t xml:space="preserve">Mark &lt;&gt; Nate - 1:1, ScaleUp Homework sessions </t>
        </is>
      </c>
      <c r="G17" t="inlineStr">
        <is>
          <t>Internal Study time(PDP)</t>
        </is>
      </c>
      <c r="H17" t="inlineStr"/>
      <c r="I17" t="inlineStr"/>
      <c r="J17" t="inlineStr"/>
      <c r="K17" t="inlineStr"/>
      <c r="L17" t="inlineStr">
        <is>
          <t>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Michael &lt;&gt; Nate - 1:1</t>
        </is>
      </c>
      <c r="H18" t="inlineStr">
        <is>
          <t>Tech team retrospective</t>
        </is>
      </c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>
        <is>
          <t>Tech team retrospective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Snowflake Tribe Bi-weekly Session</t>
        </is>
      </c>
      <c r="C20" t="inlineStr">
        <is>
          <t>Snowflake Tribe Bi-weekly Session</t>
        </is>
      </c>
      <c r="D20" t="inlineStr">
        <is>
          <t>Snowflake Tribe Bi-weekly Session</t>
        </is>
      </c>
      <c r="E20" t="inlineStr">
        <is>
          <t>OM Work, Snowflake Tribe Bi-weekly Session</t>
        </is>
      </c>
      <c r="F20" t="inlineStr">
        <is>
          <t>Snowflake Tribe Bi-weekly Session</t>
        </is>
      </c>
      <c r="G20" t="inlineStr">
        <is>
          <t>Snowflake Tribe Bi-weekly Session</t>
        </is>
      </c>
      <c r="H20" t="inlineStr">
        <is>
          <t>Canceled: Tech team huddle, Tech team retrospective, Snowflake Tribe Bi-weekly Session</t>
        </is>
      </c>
      <c r="I20" t="inlineStr">
        <is>
          <t>Snowflake Tribe Bi-weekly Session</t>
        </is>
      </c>
      <c r="J20" t="inlineStr"/>
      <c r="K20" t="inlineStr">
        <is>
          <t>Snowflake Tribe Bi-weekly Session</t>
        </is>
      </c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>
        <is>
          <t>Snowflake Tribe Bi-weekly Session</t>
        </is>
      </c>
    </row>
    <row r="21">
      <c r="A21" t="inlineStr">
        <is>
          <t>17:30</t>
        </is>
      </c>
      <c r="B21" t="inlineStr">
        <is>
          <t>Snowflake Tribe Bi-weekly Session</t>
        </is>
      </c>
      <c r="C21" t="inlineStr">
        <is>
          <t>Snowflake Tribe Bi-weekly Session</t>
        </is>
      </c>
      <c r="D21" t="inlineStr">
        <is>
          <t>Snowflake Tribe Bi-weekly Session</t>
        </is>
      </c>
      <c r="E21" t="inlineStr">
        <is>
          <t>OM Work, Snowflake Tribe Bi-weekly Session</t>
        </is>
      </c>
      <c r="F21" t="inlineStr">
        <is>
          <t>Snowflake Tribe Bi-weekly Session</t>
        </is>
      </c>
      <c r="G21" t="inlineStr">
        <is>
          <t>Snowflake Tribe Bi-weekly Session</t>
        </is>
      </c>
      <c r="H21" t="inlineStr">
        <is>
          <t>Canceled: Tech team huddle, Snowflake Tribe Bi-weekly Session</t>
        </is>
      </c>
      <c r="I21" t="inlineStr">
        <is>
          <t>Snowflake Tribe Bi-weekly Session</t>
        </is>
      </c>
      <c r="J21" t="inlineStr"/>
      <c r="K21" t="inlineStr">
        <is>
          <t>Snowflake Tribe Bi-weekly Session</t>
        </is>
      </c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>
        <is>
          <t>Snowflake Tribe Bi-weekly Session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S/Stream - EBU Cadence - Bi-Monthly, 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Work, GRCA Portfolio | Team Stand-up</t>
        </is>
      </c>
      <c r="F9" t="inlineStr"/>
      <c r="G9" t="inlineStr">
        <is>
          <t>Ongoing: Daily operational tasks DSY</t>
        </is>
      </c>
      <c r="H9" t="inlineStr">
        <is>
          <t>Ntsako &lt;&gt; Nate - 1:1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>
        <is>
          <t>Palesa &lt;&gt; Nate - 1:1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Taquanta: Weekly SLA &amp; Projects update (Client meeting)</t>
        </is>
      </c>
      <c r="I14" t="inlineStr"/>
      <c r="J14" t="inlineStr"/>
      <c r="K14" t="inlineStr"/>
      <c r="L14" t="inlineStr">
        <is>
          <t>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>
        <is>
          <t xml:space="preserve">Riyad &lt;&gt; Nate - 1:1 </t>
        </is>
      </c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Robin &lt;&gt; Nate - 1:1</t>
        </is>
      </c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Sandi &lt;&gt; Nate - 1:1, 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>
        <is>
          <t>Canceled: Senior Tech Team: Insights Session</t>
        </is>
      </c>
      <c r="K13" t="inlineStr"/>
      <c r="L13" t="inlineStr"/>
      <c r="M13" t="inlineStr">
        <is>
          <t>Suzanne &lt;&gt; Nate - 1:1</t>
        </is>
      </c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>
        <is>
          <t>one on one - Thando</t>
        </is>
      </c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Day, 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Strategy and solution Day, Slipstream Data / WhereScape</t>
        </is>
      </c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Strategy and solution Day, Slipstream Data / WhereScape</t>
        </is>
      </c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Strategy and solution Day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Strategy and solution Day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Resource Utilization Review </t>
        </is>
      </c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>
        <is>
          <t>Weekly round-up-meeting, DW: Weekly round-up meeting</t>
        </is>
      </c>
      <c r="H14" t="inlineStr"/>
      <c r="I14" t="inlineStr"/>
      <c r="J14" t="inlineStr">
        <is>
          <t>DW: Weekly round-up meeting</t>
        </is>
      </c>
      <c r="K14" t="inlineStr"/>
      <c r="L14" t="inlineStr">
        <is>
          <t>DW: Weekly round-up meeting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Reminder: Update and Submit Timesheets, 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Reminder: Update and Submit Timesheets, Daily Stand Up</t>
        </is>
      </c>
      <c r="H7" t="inlineStr">
        <is>
          <t>Reminder: Update and Submit Timesheets,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Weekly sales meeting</t>
        </is>
      </c>
      <c r="C8" t="inlineStr"/>
      <c r="D8" t="inlineStr"/>
      <c r="E8" t="inlineStr">
        <is>
          <t>OM Work</t>
        </is>
      </c>
      <c r="F8" t="inlineStr">
        <is>
          <t>Weekly sales meeting</t>
        </is>
      </c>
      <c r="G8" t="inlineStr"/>
      <c r="H8" t="inlineStr"/>
      <c r="I8" t="inlineStr"/>
      <c r="J8" t="inlineStr"/>
      <c r="K8" t="inlineStr"/>
      <c r="L8" t="inlineStr">
        <is>
          <t>Weekly sales meeting</t>
        </is>
      </c>
      <c r="M8" t="inlineStr"/>
      <c r="N8" t="inlineStr"/>
    </row>
    <row r="9">
      <c r="A9" t="inlineStr">
        <is>
          <t>11:30</t>
        </is>
      </c>
      <c r="B9" t="inlineStr">
        <is>
          <t>Weekly sales meeting</t>
        </is>
      </c>
      <c r="C9" t="inlineStr"/>
      <c r="D9" t="inlineStr"/>
      <c r="E9" t="inlineStr">
        <is>
          <t>OM Work</t>
        </is>
      </c>
      <c r="F9" t="inlineStr">
        <is>
          <t>Weekly sales meeting</t>
        </is>
      </c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>
        <is>
          <t>Weekly sales meeting</t>
        </is>
      </c>
      <c r="M9" t="inlineStr"/>
      <c r="N9" t="inlineStr"/>
    </row>
    <row r="10">
      <c r="A10" t="inlineStr">
        <is>
          <t>12:00</t>
        </is>
      </c>
      <c r="B10" t="inlineStr">
        <is>
          <t>Weekly sales meeting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Weekly sales meeting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>
        <is>
          <t>Weekly sales meeting</t>
        </is>
      </c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>
        <is>
          <t xml:space="preserve">DWH Transform load Monitoring  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>
        <is>
          <t xml:space="preserve">DWH Transform load Monitoring  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>
        <is>
          <t>Internal Study time(PDP)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ScaleUp Homework sessions </t>
        </is>
      </c>
      <c r="C15" t="inlineStr"/>
      <c r="D15" t="inlineStr"/>
      <c r="E15" t="inlineStr">
        <is>
          <t>OM Work</t>
        </is>
      </c>
      <c r="F15" t="inlineStr">
        <is>
          <t xml:space="preserve">ScaleUp Homework sessions </t>
        </is>
      </c>
      <c r="G15" t="inlineStr">
        <is>
          <t>Internal Study time(PDP)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 xml:space="preserve">ScaleUp Homework sessions </t>
        </is>
      </c>
      <c r="C16" t="inlineStr"/>
      <c r="D16" t="inlineStr"/>
      <c r="E16" t="inlineStr"/>
      <c r="F16" t="inlineStr">
        <is>
          <t xml:space="preserve">ScaleUp Homework sessions </t>
        </is>
      </c>
      <c r="G16" t="inlineStr">
        <is>
          <t>Internal Study time(PDP)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 xml:space="preserve">ScaleUp Homework sessions </t>
        </is>
      </c>
      <c r="C17" t="inlineStr"/>
      <c r="D17" t="inlineStr"/>
      <c r="E17" t="inlineStr"/>
      <c r="F17" t="inlineStr">
        <is>
          <t xml:space="preserve">ScaleUp Homework sessions </t>
        </is>
      </c>
      <c r="G17" t="inlineStr">
        <is>
          <t>Internal Study time(PDP)</t>
        </is>
      </c>
      <c r="H17" t="inlineStr"/>
      <c r="I17" t="inlineStr"/>
      <c r="J17" t="inlineStr"/>
      <c r="K17" t="inlineStr"/>
      <c r="L17" t="inlineStr">
        <is>
          <t>Shoprite Plan Update + Emails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/>
      <c r="H19" t="inlineStr">
        <is>
          <t>Canceled: Tech Team retro, Tech team planning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>
        <is>
          <t>Canceled: Tech Team retro, Tech team planning</t>
        </is>
      </c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>
        <is>
          <t>Canceled: Tech Team retro</t>
        </is>
      </c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1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Work, GRCA Portfolio | Team Stand-up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Work, GRCA Portfolio | Team Stand-up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>
        <is>
          <t>Resource Utilisation Review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Resource Utilisation Review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Taquanta: Weekly SLA &amp; Projects update (Client meeting)</t>
        </is>
      </c>
      <c r="C14" t="inlineStr">
        <is>
          <t>Taquanta: Weekly SLA &amp; Projects update (Client meeting)</t>
        </is>
      </c>
      <c r="D14" t="inlineStr">
        <is>
          <t>Taquanta: Weekly SLA &amp; Projects update (Client meeting)</t>
        </is>
      </c>
      <c r="E14" t="inlineStr">
        <is>
          <t>OM Work</t>
        </is>
      </c>
      <c r="F14" t="inlineStr">
        <is>
          <t>Taquanta: Weekly SLA &amp; Projects update (Client meeting)</t>
        </is>
      </c>
      <c r="G14" t="inlineStr"/>
      <c r="H14" t="inlineStr">
        <is>
          <t>Taquanta: Weekly SLA &amp; Projects update (Client meeting)</t>
        </is>
      </c>
      <c r="I14" t="inlineStr"/>
      <c r="J14" t="inlineStr"/>
      <c r="K14" t="inlineStr"/>
      <c r="L14" t="inlineStr">
        <is>
          <t>Taquanta: Weekly SLA &amp; Projects update (Client meeting)</t>
        </is>
      </c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>
        <is>
          <t>OM Work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6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Canceled: Tech Team Planning , Ongoing: Daily operational tasks DSY</t>
        </is>
      </c>
      <c r="H10" t="inlineStr">
        <is>
          <t xml:space="preserve">Canceled: Tech Team Planning </t>
        </is>
      </c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>
        <is>
          <t xml:space="preserve">Canceled: Tech Team Planning </t>
        </is>
      </c>
      <c r="H11" t="inlineStr">
        <is>
          <t>Canceled: Tech Team Planning , Taquanta: Projects Internal Standup</t>
        </is>
      </c>
      <c r="I11" t="inlineStr"/>
      <c r="J11" t="inlineStr"/>
      <c r="K11" t="inlineStr"/>
      <c r="L11" t="inlineStr">
        <is>
          <t>Sandi &lt;&gt; Nate - 1:1, 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>
        <is>
          <t>OM Work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>
        <is>
          <t>OM Work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>
        <is>
          <t>PMO: Client Reports Review and Sign-off</t>
        </is>
      </c>
      <c r="M17" t="inlineStr"/>
      <c r="N17" t="inlineStr">
        <is>
          <t>Lunch</t>
        </is>
      </c>
    </row>
    <row r="18">
      <c r="A18" t="inlineStr">
        <is>
          <t>16:00</t>
        </is>
      </c>
      <c r="B18" t="inlineStr"/>
      <c r="C18" t="inlineStr"/>
      <c r="D18" t="inlineStr"/>
      <c r="E18" t="inlineStr">
        <is>
          <t>OM Work</t>
        </is>
      </c>
      <c r="F18" t="inlineStr"/>
      <c r="G18" t="inlineStr">
        <is>
          <t>Development activities - Glue - code and data</t>
        </is>
      </c>
      <c r="H18" t="inlineStr">
        <is>
          <t>WhereScape/Slipstream - monthly catch up</t>
        </is>
      </c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>
        <is>
          <t>OM Work</t>
        </is>
      </c>
      <c r="F19" t="inlineStr"/>
      <c r="G19" t="inlineStr">
        <is>
          <t>Development activities - Glue - code and data</t>
        </is>
      </c>
      <c r="H19" t="inlineStr">
        <is>
          <t>WhereScape/Slipstream - monthly catch up</t>
        </is>
      </c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>
        <is>
          <t>OM Work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PMO Office Hours Sessions</t>
        </is>
      </c>
      <c r="C21" t="inlineStr"/>
      <c r="D21" t="inlineStr"/>
      <c r="E21" t="inlineStr">
        <is>
          <t>OM Work, PMO Office Hours Sessions</t>
        </is>
      </c>
      <c r="F21" t="inlineStr">
        <is>
          <t>PMO Office Hours Sessions</t>
        </is>
      </c>
      <c r="G21" t="inlineStr"/>
      <c r="H21" t="inlineStr"/>
      <c r="I21" t="inlineStr"/>
      <c r="J21" t="inlineStr">
        <is>
          <t>PMO Office Hours Sessions</t>
        </is>
      </c>
      <c r="K21" t="inlineStr"/>
      <c r="L21" t="inlineStr">
        <is>
          <t>Slipstream - IPD - Internal Projects  ( Slipstream Data ) (Harvest Timesheets and Reports, ClickUp Tasks and Reports, Billing, Emails, Documentation, Reports), PMO Office Hours Sessions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42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SS Tech Team Daily check-in, 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>
        <is>
          <t>Strategy and solution Day</t>
        </is>
      </c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>Strategy and solution Day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Strategy and solution Day, FW: Weekly Check-In: Tableau Progress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>
        <is>
          <t>FW: Weekly Check-In: Tableau Progress</t>
        </is>
      </c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>
        <is>
          <t>SA - Cloud BI | Stand Up</t>
        </is>
      </c>
      <c r="L10" t="inlineStr">
        <is>
          <t xml:space="preserve">Sanlam - Tableau Services Project Support Hours Weekly Report </t>
        </is>
      </c>
      <c r="M10" t="inlineStr"/>
      <c r="N10" t="inlineStr"/>
    </row>
    <row r="11">
      <c r="A11" t="inlineStr">
        <is>
          <t>12:30</t>
        </is>
      </c>
      <c r="B11" t="inlineStr">
        <is>
          <t>Strategy and solution Day</t>
        </is>
      </c>
      <c r="C11" t="inlineStr">
        <is>
          <t>Taquanta: Projects Internal Standup</t>
        </is>
      </c>
      <c r="D11" t="inlineStr">
        <is>
          <t>Taquanta: Projects Internal Standup</t>
        </is>
      </c>
      <c r="E11" t="inlineStr">
        <is>
          <t>OM Work</t>
        </is>
      </c>
      <c r="F11" t="inlineStr"/>
      <c r="G11" t="inlineStr"/>
      <c r="H11" t="inlineStr">
        <is>
          <t>Taquanta: Projects Internal Standup</t>
        </is>
      </c>
      <c r="I11" t="inlineStr"/>
      <c r="J11" t="inlineStr"/>
      <c r="K11" t="inlineStr"/>
      <c r="L11" t="inlineStr">
        <is>
          <t>Taquanta: Projects Internal Standup</t>
        </is>
      </c>
      <c r="M11" t="inlineStr"/>
      <c r="N11" t="inlineStr"/>
    </row>
    <row r="12">
      <c r="A12" t="inlineStr">
        <is>
          <t>13:00</t>
        </is>
      </c>
      <c r="B12" t="inlineStr">
        <is>
          <t>Strategy and solution Day</t>
        </is>
      </c>
      <c r="C12" t="inlineStr"/>
      <c r="D12" t="inlineStr"/>
      <c r="E12" t="inlineStr">
        <is>
          <t>OM Work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>
        <is>
          <t>Strategy and solution Day</t>
        </is>
      </c>
      <c r="C13" t="inlineStr"/>
      <c r="D13" t="inlineStr"/>
      <c r="E13" t="inlineStr">
        <is>
          <t>OM Work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>Strategy and solution Day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>Strategy and solution Day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>
        <is>
          <t>Strategy and solution Day</t>
        </is>
      </c>
      <c r="C16" t="inlineStr"/>
      <c r="D16" t="inlineStr"/>
      <c r="E16" t="inlineStr"/>
      <c r="F16" t="inlineStr"/>
      <c r="G16" t="inlineStr">
        <is>
          <t>Development activities - Glue - code and data</t>
        </is>
      </c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>
        <is>
          <t>Lunch</t>
        </is>
      </c>
    </row>
    <row r="17">
      <c r="A17" t="inlineStr">
        <is>
          <t>15:30</t>
        </is>
      </c>
      <c r="B17" t="inlineStr">
        <is>
          <t>Strategy and solution Day</t>
        </is>
      </c>
      <c r="C17" t="inlineStr"/>
      <c r="D17" t="inlineStr"/>
      <c r="E17" t="inlineStr"/>
      <c r="F17" t="inlineStr"/>
      <c r="G17" t="inlineStr">
        <is>
          <t>Development activities - Glue - code and data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Lunch</t>
        </is>
      </c>
    </row>
    <row r="18">
      <c r="A18" t="inlineStr">
        <is>
          <t>16:00</t>
        </is>
      </c>
      <c r="B18" t="inlineStr">
        <is>
          <t>Strategy and solution Day</t>
        </is>
      </c>
      <c r="C18" t="inlineStr"/>
      <c r="D18" t="inlineStr"/>
      <c r="E18" t="inlineStr"/>
      <c r="F18" t="inlineStr"/>
      <c r="G18" t="inlineStr">
        <is>
          <t>Development activities - Glue - code and data</t>
        </is>
      </c>
      <c r="H18" t="inlineStr"/>
      <c r="I18" t="inlineStr"/>
      <c r="J18" t="inlineStr"/>
      <c r="K18" t="inlineStr">
        <is>
          <t>Monthly Client Support Reports Process Implementation - Feedback Sessions</t>
        </is>
      </c>
      <c r="L18" t="inlineStr">
        <is>
          <t>Slipstream - IPD - Internal Projects  ( Slipstream Data ) (Harvest Timesheets and Reports, ClickUp Tasks and Reports, Billing, Emails, Documentation, Reports), Monthly Client Support Reports Process Implementation - Feedback Sessions</t>
        </is>
      </c>
      <c r="M18" t="inlineStr"/>
      <c r="N18" t="inlineStr"/>
    </row>
    <row r="19">
      <c r="A19" t="inlineStr">
        <is>
          <t>16:30</t>
        </is>
      </c>
      <c r="B19" t="inlineStr">
        <is>
          <t>Strategy and solution Day</t>
        </is>
      </c>
      <c r="C19" t="inlineStr"/>
      <c r="D19" t="inlineStr"/>
      <c r="E19" t="inlineStr"/>
      <c r="F19" t="inlineStr"/>
      <c r="G19" t="inlineStr">
        <is>
          <t>Development activities - Glue - code and data</t>
        </is>
      </c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Strategy and solution Day</t>
        </is>
      </c>
      <c r="C20" t="inlineStr"/>
      <c r="D20" t="inlineStr"/>
      <c r="E20" t="inlineStr">
        <is>
          <t>Snowflake Prep - Flora Presenting Monday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Slipstream - IPD - Internal Projects  ( Slipstream Data ) (Harvest Timesheets and Reports, ClickUp Tasks and Reports, Billing, Emails, Documentation, Reports)</t>
        </is>
      </c>
      <c r="M20" t="inlineStr"/>
      <c r="N20" t="inlineStr"/>
    </row>
    <row r="21">
      <c r="A21" t="inlineStr">
        <is>
          <t>17:30</t>
        </is>
      </c>
      <c r="B21" t="inlineStr">
        <is>
          <t>Strategy and solution Day</t>
        </is>
      </c>
      <c r="C21" t="inlineStr"/>
      <c r="D21" t="inlineStr"/>
      <c r="E21" t="inlineStr">
        <is>
          <t>Snowflake Prep - Flora Presenting Monday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Slipstream - IPD - Internal Projects  ( Slipstream Data ) (Harvest Timesheets and Reports, ClickUp Tasks and Reports, Billing, Emails, Documentation, Reports)</t>
        </is>
      </c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>
        <is>
          <t>Daily Stand Up</t>
        </is>
      </c>
      <c r="C7" t="inlineStr">
        <is>
          <t>Daily Stand Up</t>
        </is>
      </c>
      <c r="D7" t="inlineStr">
        <is>
          <t>Daily Stand Up</t>
        </is>
      </c>
      <c r="E7" t="inlineStr">
        <is>
          <t>Daily Stand Up</t>
        </is>
      </c>
      <c r="F7" t="inlineStr">
        <is>
          <t>Daily Stand Up</t>
        </is>
      </c>
      <c r="G7" t="inlineStr">
        <is>
          <t>Daily Stand Up</t>
        </is>
      </c>
      <c r="H7" t="inlineStr">
        <is>
          <t>Daily Stand Up</t>
        </is>
      </c>
      <c r="I7" t="inlineStr">
        <is>
          <t>Daily Stand Up</t>
        </is>
      </c>
      <c r="J7" t="inlineStr">
        <is>
          <t>Daily Stand Up</t>
        </is>
      </c>
      <c r="K7" t="inlineStr">
        <is>
          <t>Daily Stand Up</t>
        </is>
      </c>
      <c r="L7" t="inlineStr">
        <is>
          <t>Daily Stand Up</t>
        </is>
      </c>
      <c r="M7" t="inlineStr">
        <is>
          <t>Daily Stand Up</t>
        </is>
      </c>
      <c r="N7" t="inlineStr">
        <is>
          <t>Daily Stand Up</t>
        </is>
      </c>
    </row>
    <row r="8">
      <c r="A8" t="inlineStr">
        <is>
          <t>11:00</t>
        </is>
      </c>
      <c r="B8" t="inlineStr"/>
      <c r="C8" t="inlineStr"/>
      <c r="D8" t="inlineStr"/>
      <c r="E8" t="inlineStr">
        <is>
          <t>OM Work</t>
        </is>
      </c>
      <c r="F8" t="inlineStr"/>
      <c r="G8" t="inlineStr">
        <is>
          <t>DSY DW - Daily standup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>
        <is>
          <t xml:space="preserve">Monthly Management Meeting </t>
        </is>
      </c>
      <c r="C9" t="inlineStr"/>
      <c r="D9" t="inlineStr"/>
      <c r="E9" t="inlineStr">
        <is>
          <t>OM Work</t>
        </is>
      </c>
      <c r="F9" t="inlineStr"/>
      <c r="G9" t="inlineStr">
        <is>
          <t>Ongoing: Daily operational tasks DSY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>
        <is>
          <t>Monthly Management Meeting , Tech &lt;&gt; Ops: Alignment Session</t>
        </is>
      </c>
      <c r="C10" t="inlineStr"/>
      <c r="D10" t="inlineStr">
        <is>
          <t>Shoprite Analytics|| Cloud BI Daily Stand Up</t>
        </is>
      </c>
      <c r="E10" t="inlineStr">
        <is>
          <t>OM Work</t>
        </is>
      </c>
      <c r="F10" t="inlineStr"/>
      <c r="G10" t="inlineStr">
        <is>
          <t>Ongoing: Daily operational tasks DSY</t>
        </is>
      </c>
      <c r="H10" t="inlineStr"/>
      <c r="I10" t="inlineStr">
        <is>
          <t>Shoprite Analytics|| Cloud BI Daily Stand Up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>
        <is>
          <t xml:space="preserve">Monthly Management Meeting </t>
        </is>
      </c>
      <c r="C11" t="inlineStr"/>
      <c r="D11" t="inlineStr"/>
      <c r="E11" t="inlineStr">
        <is>
          <t>OM Work</t>
        </is>
      </c>
      <c r="F11" t="inlineStr"/>
      <c r="G11" t="inlineStr"/>
      <c r="H11" t="inlineStr"/>
      <c r="I11" t="inlineStr">
        <is>
          <t>SSGP26 - Grad Project Standup</t>
        </is>
      </c>
      <c r="J11" t="inlineStr"/>
      <c r="K11" t="inlineStr">
        <is>
          <t>SSGP26 - Grad Project Standup</t>
        </is>
      </c>
      <c r="L11" t="inlineStr"/>
      <c r="M11" t="inlineStr"/>
      <c r="N11" t="inlineStr"/>
    </row>
    <row r="12">
      <c r="A12" t="inlineStr">
        <is>
          <t>13:00</t>
        </is>
      </c>
      <c r="B12" t="inlineStr">
        <is>
          <t xml:space="preserve">Monthly Management Meeting 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 xml:space="preserve">Resource Utilization Review </t>
        </is>
      </c>
      <c r="M12" t="inlineStr"/>
      <c r="N12" t="inlineStr"/>
    </row>
    <row r="13">
      <c r="A13" t="inlineStr">
        <is>
          <t>13:30</t>
        </is>
      </c>
      <c r="B13" t="inlineStr">
        <is>
          <t xml:space="preserve">Monthly Management Meeting 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>
        <is>
          <t xml:space="preserve">Monthly Management Meeting </t>
        </is>
      </c>
      <c r="C14" t="inlineStr"/>
      <c r="D14" t="inlineStr"/>
      <c r="E14" t="inlineStr"/>
      <c r="F14" t="inlineStr"/>
      <c r="G14" t="inlineStr">
        <is>
          <t>Weekly round-up-meeting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>
        <is>
          <t xml:space="preserve">Monthly Management Meeting 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 xml:space="preserve">Discovery: Technical Support SLA Hours Report + Emails </t>
        </is>
      </c>
      <c r="M15" t="inlineStr"/>
      <c r="N15" t="inlineStr"/>
    </row>
    <row r="16">
      <c r="A16" t="inlineStr">
        <is>
          <t>15:00</t>
        </is>
      </c>
      <c r="B16" t="inlineStr">
        <is>
          <t xml:space="preserve">Monthly Management Meeting 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Taquanta January report daily tasks update + emails</t>
        </is>
      </c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Slipstream - IPD - Internal Projects  ( Slipstream Data ) (Harvest Timesheets and Reports, ClickUp Tasks and Reports, Billing, Emails, Documentation, Reports)</t>
        </is>
      </c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Slipstream - IPD - Internal Projects  ( Slipstream Data ) (Harvest Timesheets and Reports, ClickUp Tasks and Reports, Billing, Emails, Documentation, Reports)</t>
        </is>
      </c>
      <c r="M19" t="inlineStr"/>
      <c r="N19" t="inlineStr"/>
    </row>
    <row r="20">
      <c r="A20" t="inlineStr">
        <is>
          <t>17:00</t>
        </is>
      </c>
      <c r="B20" t="inlineStr">
        <is>
          <t>Tech Friday</t>
        </is>
      </c>
      <c r="C20" t="inlineStr">
        <is>
          <t>Tech Friday</t>
        </is>
      </c>
      <c r="D20" t="inlineStr">
        <is>
          <t>Tech Friday</t>
        </is>
      </c>
      <c r="E20" t="inlineStr">
        <is>
          <t>Tech Friday</t>
        </is>
      </c>
      <c r="F20" t="inlineStr">
        <is>
          <t>Tech Friday</t>
        </is>
      </c>
      <c r="G20" t="inlineStr">
        <is>
          <t>Tech Friday</t>
        </is>
      </c>
      <c r="H20" t="inlineStr">
        <is>
          <t>Tech Friday</t>
        </is>
      </c>
      <c r="I20" t="inlineStr">
        <is>
          <t>Tech Friday</t>
        </is>
      </c>
      <c r="J20" t="inlineStr">
        <is>
          <t>Tech Friday</t>
        </is>
      </c>
      <c r="K20" t="inlineStr">
        <is>
          <t>Tech Friday</t>
        </is>
      </c>
      <c r="L20" t="inlineStr">
        <is>
          <t>Slipstream - IPD - Internal Projects  ( Slipstream Data ) (Harvest Timesheets and Reports, ClickUp Tasks and Reports, Billing, Emails, Documentation, Reports), Tech Friday</t>
        </is>
      </c>
      <c r="M20" t="inlineStr">
        <is>
          <t>Tech Friday</t>
        </is>
      </c>
      <c r="N20" t="inlineStr">
        <is>
          <t>Tech Friday</t>
        </is>
      </c>
    </row>
    <row r="21">
      <c r="A21" t="inlineStr">
        <is>
          <t>17:30</t>
        </is>
      </c>
      <c r="B21" t="inlineStr">
        <is>
          <t>Tech Friday</t>
        </is>
      </c>
      <c r="C21" t="inlineStr">
        <is>
          <t>Tech Friday</t>
        </is>
      </c>
      <c r="D21" t="inlineStr">
        <is>
          <t>Tech Friday</t>
        </is>
      </c>
      <c r="E21" t="inlineStr">
        <is>
          <t>Tech Friday</t>
        </is>
      </c>
      <c r="F21" t="inlineStr">
        <is>
          <t>Tech Friday</t>
        </is>
      </c>
      <c r="G21" t="inlineStr">
        <is>
          <t>Tech Friday</t>
        </is>
      </c>
      <c r="H21" t="inlineStr">
        <is>
          <t>Tech Friday</t>
        </is>
      </c>
      <c r="I21" t="inlineStr">
        <is>
          <t>Tech Friday</t>
        </is>
      </c>
      <c r="J21" t="inlineStr">
        <is>
          <t>Tech Friday</t>
        </is>
      </c>
      <c r="K21" t="inlineStr">
        <is>
          <t>Tech Friday</t>
        </is>
      </c>
      <c r="L21" t="inlineStr">
        <is>
          <t>Slipstream - IPD - Internal Projects  ( Slipstream Data ) (Harvest Timesheets and Reports, ClickUp Tasks and Reports, Billing, Emails, Documentation, Reports), Tech Friday</t>
        </is>
      </c>
      <c r="M21" t="inlineStr">
        <is>
          <t>Tech Friday</t>
        </is>
      </c>
      <c r="N21" t="inlineStr">
        <is>
          <t>Tech Friday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50" customWidth="1" min="4" max="4"/>
    <col width="35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35" customWidth="1" min="12" max="12"/>
    <col width="50" customWidth="1" min="13" max="13"/>
    <col width="50" customWidth="1" min="14" max="14"/>
    <col width="50" customWidth="1" min="15" max="15"/>
  </cols>
  <sheetData>
    <row r="1">
      <c r="A1" t="inlineStr">
        <is>
          <t>Time</t>
        </is>
      </c>
      <c r="B1" t="inlineStr">
        <is>
          <t>Andrew</t>
        </is>
      </c>
      <c r="C1" t="inlineStr">
        <is>
          <t>Azabenathi Pupuma</t>
        </is>
      </c>
      <c r="D1" t="inlineStr">
        <is>
          <t>Ben Brooker</t>
        </is>
      </c>
      <c r="E1" t="inlineStr">
        <is>
          <t>Flora Kundaeli</t>
        </is>
      </c>
      <c r="F1" t="inlineStr">
        <is>
          <t>Mark</t>
        </is>
      </c>
      <c r="G1" t="inlineStr">
        <is>
          <t>Michael Malia</t>
        </is>
      </c>
      <c r="H1" t="inlineStr">
        <is>
          <t>Ntsako Mavuyangwa</t>
        </is>
      </c>
      <c r="I1" t="inlineStr">
        <is>
          <t>Palesa Maboeei</t>
        </is>
      </c>
      <c r="J1" t="inlineStr">
        <is>
          <t>Riyadh Leonard</t>
        </is>
      </c>
      <c r="K1" t="inlineStr">
        <is>
          <t>Robin April</t>
        </is>
      </c>
      <c r="L1" t="inlineStr">
        <is>
          <t>Sandisiwe Manquma</t>
        </is>
      </c>
      <c r="M1" t="inlineStr">
        <is>
          <t>Suzanne Edlmann</t>
        </is>
      </c>
      <c r="N1" t="inlineStr">
        <is>
          <t>Thando Calana</t>
        </is>
      </c>
    </row>
    <row r="2">
      <c r="A2" t="inlineStr">
        <is>
          <t>08:00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08:30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09:00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09:30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10:30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11:30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12:00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12:30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13:00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13:30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14:00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14:30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15:00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15:30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16:00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16:30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17:00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17:30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Load %</t>
        </is>
      </c>
      <c r="B24">
        <f>ROUND(COUNTIF(B2:B19,"&lt;&gt;")/18,4)</f>
        <v/>
      </c>
      <c r="C24">
        <f>ROUND(COUNTIF(C2:C19,"&lt;&gt;")/18,4)</f>
        <v/>
      </c>
      <c r="D24">
        <f>ROUND(COUNTIF(D2:D19,"&lt;&gt;")/18,4)</f>
        <v/>
      </c>
      <c r="E24">
        <f>ROUND(COUNTIF(E2:E19,"&lt;&gt;")/18,4)</f>
        <v/>
      </c>
      <c r="F24">
        <f>ROUND(COUNTIF(F2:F19,"&lt;&gt;")/18,4)</f>
        <v/>
      </c>
      <c r="G24">
        <f>ROUND(COUNTIF(G2:G19,"&lt;&gt;")/18,4)</f>
        <v/>
      </c>
      <c r="H24">
        <f>ROUND(COUNTIF(H2:H19,"&lt;&gt;")/18,4)</f>
        <v/>
      </c>
      <c r="I24">
        <f>ROUND(COUNTIF(I2:I19,"&lt;&gt;")/18,4)</f>
        <v/>
      </c>
      <c r="J24">
        <f>ROUND(COUNTIF(J2:J19,"&lt;&gt;")/18,4)</f>
        <v/>
      </c>
      <c r="K24">
        <f>ROUND(COUNTIF(K2:K19,"&lt;&gt;")/18,4)</f>
        <v/>
      </c>
      <c r="L24">
        <f>ROUND(COUNTIF(L2:L19,"&lt;&gt;")/18,4)</f>
        <v/>
      </c>
      <c r="M24">
        <f>ROUND(COUNTIF(M2:M19,"&lt;&gt;")/18,4)</f>
        <v/>
      </c>
      <c r="N24">
        <f>ROUND(COUNTIF(N2:N19,"&lt;&gt;")/18,4)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Tasks per Assignee</t>
        </is>
      </c>
      <c r="B27" t="inlineStr">
        <is>
          <t>Andrew Milner</t>
        </is>
      </c>
      <c r="C27" t="inlineStr">
        <is>
          <t>Azabenathi Pupuma</t>
        </is>
      </c>
      <c r="D27" t="inlineStr">
        <is>
          <t>Ben Brooker</t>
        </is>
      </c>
      <c r="E27" t="inlineStr">
        <is>
          <t>Flora Kundaeli</t>
        </is>
      </c>
      <c r="F27" t="inlineStr">
        <is>
          <t>Mark Gelman</t>
        </is>
      </c>
      <c r="G27" t="inlineStr">
        <is>
          <t>Michael Malia</t>
        </is>
      </c>
      <c r="H27" t="inlineStr">
        <is>
          <t>Ntsako Mavuyangwa</t>
        </is>
      </c>
      <c r="I27" t="inlineStr">
        <is>
          <t>Palesa Maboeei</t>
        </is>
      </c>
      <c r="J27" t="inlineStr">
        <is>
          <t>Riyadh Leonard</t>
        </is>
      </c>
      <c r="K27" t="inlineStr">
        <is>
          <t>Robin April</t>
        </is>
      </c>
      <c r="L27" t="inlineStr">
        <is>
          <t>Sandisiwe Manquma</t>
        </is>
      </c>
      <c r="M27" t="inlineStr">
        <is>
          <t>Suzanne Edlmann</t>
        </is>
      </c>
      <c r="N27" t="inlineStr">
        <is>
          <t>Thando Calana</t>
        </is>
      </c>
      <c r="O27" t="inlineStr">
        <is>
          <t>Unassigned</t>
        </is>
      </c>
    </row>
    <row r="28">
      <c r="A28" t="inlineStr"/>
      <c r="B28">
        <f>HYPERLINK("https://app.clickup.com/t/869474qb4", "[internal projects] Commit code to GitHub")</f>
        <v/>
      </c>
      <c r="C28">
        <f>HYPERLINK("https://app.clickup.com/t/869cguqfn", "[freshdesk] 1477 SARB Report Template wrong from May 2025")</f>
        <v/>
      </c>
      <c r="D28">
        <f>HYPERLINK("https://app.clickup.com/t/869cguqfn", "[freshdesk] 1477 SARB Report Template wrong from May 2025")</f>
        <v/>
      </c>
      <c r="E28" t="inlineStr"/>
      <c r="F28">
        <f>HYPERLINK("https://app.clickup.com/t/86931cq56", "[certification] Snowflake")</f>
        <v/>
      </c>
      <c r="G28">
        <f>HYPERLINK("https://app.clickup.com/t/869474qb4", "[internal projects] Commit code to GitHub")</f>
        <v/>
      </c>
      <c r="H28">
        <f>HYPERLINK("https://app.clickup.com/t/869brt91j", "[freshdesk] 1447 PW vs Cashflow method issues - exclude NOEFFECT transactions from Titan")</f>
        <v/>
      </c>
      <c r="I28">
        <f>HYPERLINK("https://app.clickup.com/t/8698rmb2r", "[certification] AWS Certified Solutions Architect - Associate")</f>
        <v/>
      </c>
      <c r="J28">
        <f>HYPERLINK("https://app.clickup.com/t/869474qb4", "[internal projects] Commit code to GitHub")</f>
        <v/>
      </c>
      <c r="K28">
        <f>HYPERLINK("https://app.clickup.com/t/869a5344p", "[freshdesk] Documentation")</f>
        <v/>
      </c>
      <c r="L28" t="inlineStr"/>
      <c r="M28">
        <f>HYPERLINK("https://app.clickup.com/t/869474qb4", "[internal projects] Commit code to GitHub")</f>
        <v/>
      </c>
      <c r="N28">
        <f>HYPERLINK("https://app.clickup.com/t/869cfctgx", "[internal workstream] 5 - Monitoring")</f>
        <v/>
      </c>
      <c r="O28">
        <f>HYPERLINK("https://app.clickup.com/t/869cguqfn", "[freshdesk] 1477 SARB Report Template wrong from May 2025")</f>
        <v/>
      </c>
    </row>
    <row r="29">
      <c r="A29" t="inlineStr"/>
      <c r="B29">
        <f>HYPERLINK("https://app.clickup.com/t/8698kwuqq", "[slipstream - data warehouse solution - git (productization)] Design and Build Costing reports in Snowflake")</f>
        <v/>
      </c>
      <c r="C29">
        <f>HYPERLINK("https://app.clickup.com/t/869ccjj9w", "[freshdesk] 1470 SARB Monthly Composite Report (CRM)")</f>
        <v/>
      </c>
      <c r="D29">
        <f>HYPERLINK("https://app.clickup.com/t/869ccjj9w", "[freshdesk] 1470 SARB Monthly Composite Report (CRM)")</f>
        <v/>
      </c>
      <c r="E29" t="inlineStr"/>
      <c r="F29">
        <f>HYPERLINK("https://app.clickup.com/t/869cba3hv", "[odo internal] March 2026 MG")</f>
        <v/>
      </c>
      <c r="G29">
        <f>HYPERLINK("https://app.clickup.com/t/8696twz3v", "[discovery invest - dw maintenance] Glue - code and data")</f>
        <v/>
      </c>
      <c r="H29">
        <f>HYPERLINK("https://app.clickup.com/t/869bmx27k", "[freshdesk] 1433 TITAN script fix for TAM Funds take-on values reverted for 31 Jan 2023")</f>
        <v/>
      </c>
      <c r="I29">
        <f>HYPERLINK("https://app.clickup.com/t/8696q3a3m", "[internal projects] Team Skills")</f>
        <v/>
      </c>
      <c r="J29">
        <f>HYPERLINK("https://app.clickup.com/t/8698jrq49", "[slipstream - data warehouse solution - git (productization)] Testing - data Audit processes")</f>
        <v/>
      </c>
      <c r="K29">
        <f>HYPERLINK("https://app.clickup.com/t/8698juq5h", "[slipstream - data warehouse solution - git (productization)] Build the PowerBI reports for monitoring data Lake progress")</f>
        <v/>
      </c>
      <c r="L29" t="inlineStr"/>
      <c r="M29">
        <f>HYPERLINK("https://app.clickup.com/t/869a9nmh7", "[om: fatca 2.0 design implementation project (jira tasks)] CDC-2626 Setup Non-prod and Prod space on Alteryx Servers")</f>
        <v/>
      </c>
      <c r="N29">
        <f>HYPERLINK("https://app.clickup.com/t/869cfctdn", "[internal workstream] 4 - Handover")</f>
        <v/>
      </c>
      <c r="O29">
        <f>HYPERLINK("https://app.clickup.com/t/869ce8krh", "[freshdesk] 1476 Query regarding Data Validation")</f>
        <v/>
      </c>
    </row>
    <row r="30">
      <c r="A30" t="inlineStr"/>
      <c r="B30">
        <f>HYPERLINK("https://app.clickup.com/t/8698jrq4e", "[slipstream - data warehouse solution - git (productization)] Support. Includes platform optimisation, query optimisation etc.")</f>
        <v/>
      </c>
      <c r="C30">
        <f>HYPERLINK("https://app.clickup.com/t/8694x2b1k", "[certification] Alteryx Designer Advanced")</f>
        <v/>
      </c>
      <c r="D30">
        <f>HYPERLINK("https://app.clickup.com/t/869474qb4", "[internal projects] Commit code to GitHub")</f>
        <v/>
      </c>
      <c r="E30" t="inlineStr"/>
      <c r="F30">
        <f>HYPERLINK("https://app.clickup.com/t/869474qb4", "[internal projects] Commit code to GitHub")</f>
        <v/>
      </c>
      <c r="G30">
        <f>HYPERLINK("https://app.clickup.com/t/8696c93m9", "[discovery invest - dw maintenance] Change LAst_seed_Process = 2 for 7 tables")</f>
        <v/>
      </c>
      <c r="H30">
        <f>HYPERLINK("https://app.clickup.com/t/869474qb4", "[internal projects] Commit code to GitHub")</f>
        <v/>
      </c>
      <c r="I30">
        <f>HYPERLINK("https://app.clickup.com/t/8696kqh8k", "[internal projects] Tableau server Microsoft Teams app set up")</f>
        <v/>
      </c>
      <c r="J30">
        <f>HYPERLINK("https://app.clickup.com/t/8698jrq40", "[slipstream - data warehouse solution - git (productization)] Optimisation and Enhancemnets post testing")</f>
        <v/>
      </c>
      <c r="K30">
        <f>HYPERLINK("https://app.clickup.com/t/8698jupt0", "[slipstream - data warehouse solution - git (productization)] Build the PowerBI reports for monitoring data Stage progress")</f>
        <v/>
      </c>
      <c r="L30" t="inlineStr"/>
      <c r="M30">
        <f>HYPERLINK("https://app.clickup.com/t/869a6vnq6", "[om: fatca 2.0 design implementation project (jira tasks)] CDC-2757 Market Conduct: Provide time estimates for deliverables")</f>
        <v/>
      </c>
      <c r="N30">
        <f>HYPERLINK("https://app.clickup.com/t/869cfct9n", "[internal workstream] 3 - Validations")</f>
        <v/>
      </c>
      <c r="O30">
        <f>HYPERLINK("https://app.clickup.com/t/869ccjj9w", "[freshdesk] 1470 SARB Monthly Composite Report (CRM)")</f>
        <v/>
      </c>
    </row>
    <row r="31">
      <c r="A31" t="inlineStr"/>
      <c r="B31">
        <f>HYPERLINK("https://app.clickup.com/t/8698jrq35", "[slipstream - data warehouse solution - git (productization)] Audit Tables and Process up to Data lake")</f>
        <v/>
      </c>
      <c r="C31">
        <f>HYPERLINK("https://app.clickup.com/t/8695qbamh", "[internal projects] Testing")</f>
        <v/>
      </c>
      <c r="D31">
        <f>HYPERLINK("https://app.clickup.com/t/86995td5m", "[slipstream - data warehouse solution - git (productization)] Build the data deployment pipelines for DEV to QA")</f>
        <v/>
      </c>
      <c r="E31" t="inlineStr"/>
      <c r="F31">
        <f>HYPERLINK("https://app.clickup.com/t/869a2knmy", "[slipstream - data warehouse solution - git (productization)] Create views as exploitation layer out of data lake")</f>
        <v/>
      </c>
      <c r="G31" t="inlineStr"/>
      <c r="H31" t="inlineStr"/>
      <c r="I31">
        <f>HYPERLINK("https://app.clickup.com/t/869474qb4", "[internal projects] Commit code to GitHub")</f>
        <v/>
      </c>
      <c r="J31">
        <f>HYPERLINK("https://app.clickup.com/t/8698jrq35", "[slipstream - data warehouse solution - git (productization)] Audit Tables and Process up to Data lake")</f>
        <v/>
      </c>
      <c r="K31">
        <f>HYPERLINK("https://app.clickup.com/t/8698jrq3g", "[slipstream - data warehouse solution - git (productization)] Orchestration")</f>
        <v/>
      </c>
      <c r="L31" t="inlineStr"/>
      <c r="M31">
        <f>HYPERLINK("https://app.clickup.com/t/869a1x6nk", "[om: fatca 2.0 design implementation project (jira tasks)] CDC-2062 Highlight where field values do not map to static reference tables in the raw schema")</f>
        <v/>
      </c>
      <c r="N31">
        <f>HYPERLINK("https://app.clickup.com/t/869cfct7t", "[internal workstream] 2 - Deployment")</f>
        <v/>
      </c>
      <c r="O31">
        <f>HYPERLINK("https://app.clickup.com/t/869c3ht42", "[freshdesk] 1465 Automatic reply: SOD on Celeano new build")</f>
        <v/>
      </c>
    </row>
    <row r="32">
      <c r="A32" t="inlineStr"/>
      <c r="B32" t="inlineStr"/>
      <c r="C32">
        <f>HYPERLINK("https://app.clickup.com/t/869474qb4", "[internal projects] Commit code to GitHub")</f>
        <v/>
      </c>
      <c r="D32">
        <f>HYPERLINK("https://app.clickup.com/t/8696twz3v", "[discovery invest - dw maintenance] Glue - code and data")</f>
        <v/>
      </c>
      <c r="E32" t="inlineStr"/>
      <c r="F32">
        <f>HYPERLINK("https://app.clickup.com/t/8698kwuqq", "[slipstream - data warehouse solution - git (productization)] Design and Build Costing reports in Snowflake")</f>
        <v/>
      </c>
      <c r="G32" t="inlineStr"/>
      <c r="H32" t="inlineStr"/>
      <c r="I32">
        <f>HYPERLINK("https://app.clickup.com/t/869cda6bu", "[internal workstream] 4 - Automated Client Reports")</f>
        <v/>
      </c>
      <c r="J32">
        <f>HYPERLINK("https://app.clickup.com/t/86971xvd4", "[discovery invest - dw maintenance] Run the file extracts")</f>
        <v/>
      </c>
      <c r="K32">
        <f>HYPERLINK("https://app.clickup.com/t/869cda6bu", "[internal workstream] 4 - Automated Client Reports")</f>
        <v/>
      </c>
      <c r="L32" t="inlineStr"/>
      <c r="M32">
        <f>HYPERLINK("https://app.clickup.com/t/869a1bu7g", "[om: fatca 2.0 design implementation project (jira tasks)] CDC-2563 Business Rule - Tax Free investments")</f>
        <v/>
      </c>
      <c r="N32">
        <f>HYPERLINK("https://app.clickup.com/t/869cfct4f", "[internal workstream] 1 - Development")</f>
        <v/>
      </c>
      <c r="O32">
        <f>HYPERLINK("https://app.clickup.com/t/869bv0v11", "[freshdesk] 1453 Report not populating")</f>
        <v/>
      </c>
    </row>
    <row r="33">
      <c r="A33" t="inlineStr"/>
      <c r="B33" t="inlineStr"/>
      <c r="C33">
        <f>HYPERLINK("https://app.clickup.com/t/862k18nwr", "[internal projects] SLA performance for each customer")</f>
        <v/>
      </c>
      <c r="D33">
        <f>HYPERLINK("https://app.clickup.com/t/869b1x9ng", "[architecture refactor - python reports] Create ci checks pipeline for pull request into prod including review")</f>
        <v/>
      </c>
      <c r="E33" t="inlineStr"/>
      <c r="F33">
        <f>HYPERLINK("https://app.clickup.com/t/8698jrxaj", "[slipstream - data warehouse solution - git (productization)] Snowflake Setup and Configuration")</f>
        <v/>
      </c>
      <c r="G33" t="inlineStr"/>
      <c r="H33" t="inlineStr"/>
      <c r="I33">
        <f>HYPERLINK("https://app.clickup.com/t/869bvbg1b", "[wonga: data warehouse development &amp; migration onto snowflake project] Validation - FinMart_Collections_Dashboard")</f>
        <v/>
      </c>
      <c r="J33">
        <f>HYPERLINK("https://app.clickup.com/t/86971xv4x", "[discovery invest - dw maintenance] Validating the marts")</f>
        <v/>
      </c>
      <c r="K33">
        <f>HYPERLINK("https://app.clickup.com/t/869b7ft2j", "[internal workstream] 1 - Client Support Dashboard")</f>
        <v/>
      </c>
      <c r="L33" t="inlineStr"/>
      <c r="M33">
        <f>HYPERLINK("https://app.clickup.com/t/869a01gfm", "[om: fatca 2.0 design implementation project (jira tasks)] CDC-2509 Investigate subset where controlling person and entity has different entity_ids")</f>
        <v/>
      </c>
      <c r="N33">
        <f>HYPERLINK("https://app.clickup.com/t/869b7g4cn", "[internal workstream] Develop interface for ease of access")</f>
        <v/>
      </c>
      <c r="O33">
        <f>HYPERLINK("https://app.clickup.com/t/869brt91j", "[freshdesk] 1447 PW vs Cashflow method issues - exclude NOEFFECT transactions from Titan")</f>
        <v/>
      </c>
    </row>
    <row r="34">
      <c r="A34" t="inlineStr"/>
      <c r="B34" t="inlineStr"/>
      <c r="C34">
        <f>HYPERLINK("https://app.clickup.com/t/86995td5m", "[slipstream - data warehouse solution - git (productization)] Build the data deployment pipelines for DEV to QA")</f>
        <v/>
      </c>
      <c r="D34">
        <f>HYPERLINK("https://app.clickup.com/t/869b1x7zr", "[architecture refactor - python reports] Set up protection ruleset for prod")</f>
        <v/>
      </c>
      <c r="E34" t="inlineStr"/>
      <c r="F34">
        <f>HYPERLINK("https://app.clickup.com/t/8698jrq40", "[slipstream - data warehouse solution - git (productization)] Optimisation and Enhancemnets post testing")</f>
        <v/>
      </c>
      <c r="G34" t="inlineStr"/>
      <c r="H34" t="inlineStr"/>
      <c r="I34">
        <f>HYPERLINK("https://app.clickup.com/t/869bq2vhn", "[wonga: data warehouse development &amp; migration onto snowflake project] Solution Design Documentation")</f>
        <v/>
      </c>
      <c r="J34">
        <f>HYPERLINK("https://app.clickup.com/t/86971xv04", "[discovery invest - dw maintenance] Run mart code")</f>
        <v/>
      </c>
      <c r="K34">
        <f>HYPERLINK("https://app.clickup.com/t/869c6uxk5", "[wonga: data warehouse development &amp; migration onto snowflake project] ZA_BI.Temp.EVR_FraudInvestigationTable")</f>
        <v/>
      </c>
      <c r="L34" t="inlineStr"/>
      <c r="M34">
        <f>HYPERLINK("https://app.clickup.com/t/8699yvvh7", "[om: fatca 2.0 design implementation project (jira tasks)] CDC-2560 SARS TPAH Template Update the rule to avoid referencing the database table")</f>
        <v/>
      </c>
      <c r="N34">
        <f>HYPERLINK("https://app.clickup.com/t/869cag43c", "[wonga: data warehouse development &amp; migration onto snowflake project] Resolve issues from test results")</f>
        <v/>
      </c>
      <c r="O34">
        <f>HYPERLINK("https://app.clickup.com/t/869bmx283", "[freshdesk] 1436 Automatic reply: OTIF Schedule date changes")</f>
        <v/>
      </c>
    </row>
    <row r="35">
      <c r="A35" t="inlineStr"/>
      <c r="B35" t="inlineStr"/>
      <c r="C35">
        <f>HYPERLINK("https://app.clickup.com/t/869c8xehr", "[wonga: data warehouse development &amp; migration onto snowflake project] Validation - Revenue Split")</f>
        <v/>
      </c>
      <c r="D35">
        <f>HYPERLINK("https://app.clickup.com/t/869avybwr", "[architecture refactor - python reports] Test each script runs successfully on Subaru")</f>
        <v/>
      </c>
      <c r="E35" t="inlineStr"/>
      <c r="F35">
        <f>HYPERLINK("https://app.clickup.com/t/869bq2yqd", "[wonga: data warehouse development &amp; migration onto snowflake project] Governance and Security")</f>
        <v/>
      </c>
      <c r="G35" t="inlineStr"/>
      <c r="H35" t="inlineStr"/>
      <c r="I35" t="inlineStr"/>
      <c r="J35">
        <f>HYPERLINK("https://app.clickup.com/t/86971xur8", "[discovery invest - dw maintenance] Run implied deletes code")</f>
        <v/>
      </c>
      <c r="K35">
        <f>HYPERLINK("https://app.clickup.com/t/869c6j0pb", "[wonga: data warehouse development &amp; migration onto snowflake project] Operational Data Store")</f>
        <v/>
      </c>
      <c r="L35" t="inlineStr"/>
      <c r="M35">
        <f>HYPERLINK("https://app.clickup.com/t/8699yvveh", "[om: fatca 2.0 design implementation project (jira tasks)] CDC-2559 SARS TPAH Template Remove all spaces and special characters")</f>
        <v/>
      </c>
      <c r="N35">
        <f>HYPERLINK("https://app.clickup.com/t/869c8xehr", "[wonga: data warehouse development &amp; migration onto snowflake project] Validation - Revenue Split")</f>
        <v/>
      </c>
      <c r="O35">
        <f>HYPERLINK("https://app.clickup.com/t/869bmx27k", "[freshdesk] 1433 TITAN script fix for TAM Funds take-on values reverted for 31 Jan 2023")</f>
        <v/>
      </c>
    </row>
    <row r="36">
      <c r="A36" t="inlineStr"/>
      <c r="B36" t="inlineStr"/>
      <c r="C36">
        <f>HYPERLINK("https://app.clickup.com/t/869c780v8", "[wonga: data warehouse development &amp; migration onto snowflake project] reporting.debtsale.loans_sold_snapshot")</f>
        <v/>
      </c>
      <c r="D36">
        <f>HYPERLINK("https://app.clickup.com/t/8698aqwqc", "[architecture refactor - python reports] Test scripts and job")</f>
        <v/>
      </c>
      <c r="E36" t="inlineStr"/>
      <c r="F36">
        <f>HYPERLINK("https://app.clickup.com/t/869bq2xt6", "[wonga: data warehouse development &amp; migration onto snowflake project] Snowflake Configuration")</f>
        <v/>
      </c>
      <c r="G36" t="inlineStr"/>
      <c r="H36" t="inlineStr"/>
      <c r="I36" t="inlineStr"/>
      <c r="J36">
        <f>HYPERLINK("https://app.clickup.com/t/86971xtt3", "[discovery invest - dw maintenance] Validating the DWH")</f>
        <v/>
      </c>
      <c r="K36">
        <f>HYPERLINK("https://app.clickup.com/t/869brawz7", "[wonga: data warehouse development &amp; migration onto snowflake project] Productionize code")</f>
        <v/>
      </c>
      <c r="L36" t="inlineStr"/>
      <c r="M36">
        <f>HYPERLINK("https://app.clickup.com/t/8699yvv6w", "[om: fatca 2.0 design implementation project (jira tasks)] CDC-2556 For active entities on the Indicia Template, the "CRS Type" should be CRS103")</f>
        <v/>
      </c>
      <c r="N36">
        <f>HYPERLINK("https://app.clickup.com/t/869bywe7r", "[wonga: data warehouse development &amp; migration onto snowflake project] Productionize framework")</f>
        <v/>
      </c>
      <c r="O36">
        <f>HYPERLINK("https://app.clickup.com/t/869agp147", "[certification] Snowflake Sales Professional")</f>
        <v/>
      </c>
    </row>
    <row r="37">
      <c r="A37" t="inlineStr"/>
      <c r="B37" t="inlineStr"/>
      <c r="C37">
        <f>HYPERLINK("https://app.clickup.com/t/869c6uxk5", "[wonga: data warehouse development &amp; migration onto snowflake project] ZA_BI.Temp.EVR_FraudInvestigationTable")</f>
        <v/>
      </c>
      <c r="D37">
        <f>HYPERLINK("https://app.clickup.com/t/869894fku", "[architecture refactor - python reports] Configure the GIT repository process")</f>
        <v/>
      </c>
      <c r="E37" t="inlineStr"/>
      <c r="F37" t="inlineStr"/>
      <c r="G37" t="inlineStr"/>
      <c r="H37" t="inlineStr"/>
      <c r="I37" t="inlineStr"/>
      <c r="J37">
        <f>HYPERLINK("https://app.clickup.com/t/8696twzjv", "[discovery invest - dw maintenance] Marts - code and data")</f>
        <v/>
      </c>
      <c r="K37">
        <f>HYPERLINK("https://app.clickup.com/t/869avzbxv", "[wonga: data warehouse development &amp; migration onto snowflake project] Handover of Operational Reports")</f>
        <v/>
      </c>
      <c r="L37" t="inlineStr"/>
      <c r="M37">
        <f>HYPERLINK("https://app.clickup.com/t/8699yvuqh", "[om: fatca 2.0 design implementation project (jira tasks)] CDC-2555 Entities former COB")</f>
        <v/>
      </c>
      <c r="N37">
        <f>HYPERLINK("https://app.clickup.com/t/869bvjq13", "[wonga: data warehouse development &amp; migration onto snowflake project] Merge staging into Prod")</f>
        <v/>
      </c>
      <c r="O37">
        <f>HYPERLINK("https://app.clickup.com/t/869agp0uz", "[certification] Snowflake Technical Sales Professional")</f>
        <v/>
      </c>
    </row>
    <row r="38">
      <c r="A38" t="inlineStr"/>
      <c r="B38" t="inlineStr"/>
      <c r="C38">
        <f>HYPERLINK("https://app.clickup.com/t/869bvbghv", "[wonga: data warehouse development &amp; migration onto snowflake project] Validations - FinMart_DebtorsAgeing")</f>
        <v/>
      </c>
      <c r="D38">
        <f>HYPERLINK("https://app.clickup.com/t/869cj2jy2", "[wonga: data warehouse development &amp; migration onto snowflake project] reload qa schema (testing framework) in prod")</f>
        <v/>
      </c>
      <c r="E38" t="inlineStr"/>
      <c r="F38" t="inlineStr"/>
      <c r="G38" t="inlineStr"/>
      <c r="H38" t="inlineStr"/>
      <c r="I38" t="inlineStr"/>
      <c r="J38">
        <f>HYPERLINK("https://app.clickup.com/t/869cj2d65", "[wonga: data warehouse development &amp; migration onto snowflake project] Reconcile Snowflake and SQL Accruals")</f>
        <v/>
      </c>
      <c r="K38">
        <f>HYPERLINK("https://app.clickup.com/t/869aq4tr8", "[wonga: data warehouse development &amp; migration onto snowflake project] PowerBI - Operational Reports")</f>
        <v/>
      </c>
      <c r="L38" t="inlineStr"/>
      <c r="M38">
        <f>HYPERLINK("https://app.clickup.com/t/8699yvtjg", "[om: fatca 2.0 design implementation project (jira tasks)] CDC-2553 Flexcube SARS Templates - rename the RFI to source system code at scheme level")</f>
        <v/>
      </c>
      <c r="N38">
        <f>HYPERLINK("https://app.clickup.com/t/869brawz7", "[wonga: data warehouse development &amp; migration onto snowflake project] Productionize code")</f>
        <v/>
      </c>
      <c r="O38">
        <f>HYPERLINK("https://app.clickup.com/t/869ab9g7u", "[certification] AWS Data Engineer - Associate")</f>
        <v/>
      </c>
    </row>
    <row r="39">
      <c r="A39" t="inlineStr"/>
      <c r="B39" t="inlineStr"/>
      <c r="C39">
        <f>HYPERLINK("https://app.clickup.com/t/869bvbg1b", "[wonga: data warehouse development &amp; migration onto snowflake project] Validation - FinMart_Collections_Dashboard")</f>
        <v/>
      </c>
      <c r="D39">
        <f>HYPERLINK("https://app.clickup.com/t/869cj2jk0", "[wonga: data warehouse development &amp; migration onto snowflake project] run fact tests and validate")</f>
        <v/>
      </c>
      <c r="E39" t="inlineStr"/>
      <c r="F39" t="inlineStr"/>
      <c r="G39" t="inlineStr"/>
      <c r="H39" t="inlineStr"/>
      <c r="I39" t="inlineStr"/>
      <c r="J39">
        <f>HYPERLINK("https://app.clickup.com/t/869chteg7", "[wonga: data warehouse development &amp; migration onto snowflake project] Apply transaction fix to datalake")</f>
        <v/>
      </c>
      <c r="K39" t="inlineStr"/>
      <c r="L39" t="inlineStr"/>
      <c r="M39">
        <f>HYPERLINK("https://app.clickup.com/t/8699yvruw", "[om: fatca 2.0 design implementation project (jira tasks)] CDC-2561 Diminmus rules to be applied at scheme level and not at OMUT level")</f>
        <v/>
      </c>
      <c r="N39">
        <f>HYPERLINK("https://app.clickup.com/t/869a2n32w", "[wonga: data warehouse development &amp; migration onto snowflake project] Configure tests per WH tables")</f>
        <v/>
      </c>
      <c r="O39">
        <f>HYPERLINK("https://app.clickup.com/t/86931cq82", "[certification] Alteryx")</f>
        <v/>
      </c>
    </row>
    <row r="40">
      <c r="A40" t="inlineStr"/>
      <c r="B40" t="inlineStr"/>
      <c r="C40">
        <f>HYPERLINK("https://app.clickup.com/t/869brawz7", "[wonga: data warehouse development &amp; migration onto snowflake project] Productionize code")</f>
        <v/>
      </c>
      <c r="D40">
        <f>HYPERLINK("https://app.clickup.com/t/869cj2jce", "[wonga: data warehouse development &amp; migration onto snowflake project] run dim tests and validate")</f>
        <v/>
      </c>
      <c r="E40" t="inlineStr"/>
      <c r="F40" t="inlineStr"/>
      <c r="G40" t="inlineStr"/>
      <c r="H40" t="inlineStr"/>
      <c r="I40" t="inlineStr"/>
      <c r="J40">
        <f>HYPERLINK("https://app.clickup.com/t/869c8xehr", "[wonga: data warehouse development &amp; migration onto snowflake project] Validation - Revenue Split")</f>
        <v/>
      </c>
      <c r="K40" t="inlineStr"/>
      <c r="L40" t="inlineStr"/>
      <c r="M40">
        <f>HYPERLINK("https://app.clickup.com/t/8699yvra6", "[om: fatca 2.0 design implementation project (jira tasks)] CDC-2554 Entities COB")</f>
        <v/>
      </c>
      <c r="N40">
        <f>HYPERLINK("https://app.clickup.com/t/869a2myq0", "[wonga: data warehouse development &amp; migration onto snowflake project] Setup and configure testing framework")</f>
        <v/>
      </c>
      <c r="O40">
        <f>HYPERLINK("https://app.clickup.com/t/869buftrn", "[internal projects] Databricks Course")</f>
        <v/>
      </c>
    </row>
    <row r="41">
      <c r="A41" t="inlineStr"/>
      <c r="B41" t="inlineStr"/>
      <c r="C41" t="inlineStr"/>
      <c r="D41">
        <f>HYPERLINK("https://app.clickup.com/t/869chteg7", "[wonga: data warehouse development &amp; migration onto snowflake project] Apply transaction fix to datalake")</f>
        <v/>
      </c>
      <c r="E41" t="inlineStr"/>
      <c r="F41" t="inlineStr"/>
      <c r="G41" t="inlineStr"/>
      <c r="H41" t="inlineStr"/>
      <c r="I41" t="inlineStr"/>
      <c r="J41">
        <f>HYPERLINK("https://app.clickup.com/t/869bvbghv", "[wonga: data warehouse development &amp; migration onto snowflake project] Validations - FinMart_DebtorsAgeing")</f>
        <v/>
      </c>
      <c r="K41" t="inlineStr"/>
      <c r="L41" t="inlineStr"/>
      <c r="M41" t="inlineStr"/>
      <c r="N41">
        <f>HYPERLINK("https://app.clickup.com/t/8698jrq3x", "[wonga: data warehouse development &amp; migration onto snowflake project] MART Process")</f>
        <v/>
      </c>
      <c r="O41">
        <f>HYPERLINK("https://app.clickup.com/t/869474qb4", "[internal projects] Commit code to GitHub")</f>
        <v/>
      </c>
    </row>
    <row r="42">
      <c r="A42" t="inlineStr"/>
      <c r="B42" t="inlineStr"/>
      <c r="C42" t="inlineStr"/>
      <c r="D42">
        <f>HYPERLINK("https://app.clickup.com/t/869cb7qx8", "[wonga: data warehouse development &amp; migration onto snowflake project] DWH Reload")</f>
        <v/>
      </c>
      <c r="E42" t="inlineStr"/>
      <c r="F42" t="inlineStr"/>
      <c r="G42" t="inlineStr"/>
      <c r="H42" t="inlineStr"/>
      <c r="I42" t="inlineStr"/>
      <c r="J42">
        <f>HYPERLINK("https://app.clickup.com/t/869bvbg1b", "[wonga: data warehouse development &amp; migration onto snowflake project] Validation - FinMart_Collections_Dashboard")</f>
        <v/>
      </c>
      <c r="K42" t="inlineStr"/>
      <c r="L42" t="inlineStr"/>
      <c r="M42" t="inlineStr"/>
      <c r="N42" t="inlineStr"/>
      <c r="O42">
        <f>HYPERLINK("https://app.clickup.com/t/862k4g368", "[internal projects] Integrate data to Tableau report")</f>
        <v/>
      </c>
    </row>
    <row r="43">
      <c r="A43" t="inlineStr"/>
      <c r="B43" t="inlineStr"/>
      <c r="C43" t="inlineStr"/>
      <c r="D43">
        <f>HYPERLINK("https://app.clickup.com/t/869bydx01", "[wonga: data warehouse development &amp; migration onto snowflake project] Operational Issues")</f>
        <v/>
      </c>
      <c r="E43" t="inlineStr"/>
      <c r="F43" t="inlineStr"/>
      <c r="G43" t="inlineStr"/>
      <c r="H43" t="inlineStr"/>
      <c r="I43" t="inlineStr"/>
      <c r="J43">
        <f>HYPERLINK("https://app.clickup.com/t/869b5azta", "[wonga: data warehouse development &amp; migration onto snowflake project] DWH Mapping Document")</f>
        <v/>
      </c>
      <c r="K43" t="inlineStr"/>
      <c r="L43" t="inlineStr"/>
      <c r="M43" t="inlineStr"/>
      <c r="N43" t="inlineStr"/>
      <c r="O43">
        <f>HYPERLINK("https://app.clickup.com/t/8698jrq49", "[slipstream - data warehouse solution - git (productization)] Testing - data Audit processes")</f>
        <v/>
      </c>
    </row>
    <row r="44">
      <c r="A44" t="inlineStr"/>
      <c r="B44" t="inlineStr"/>
      <c r="C44" t="inlineStr"/>
      <c r="D44">
        <f>HYPERLINK("https://app.clickup.com/t/869bvjq13", "[wonga: data warehouse development &amp; migration onto snowflake project] Merge staging into Prod")</f>
        <v/>
      </c>
      <c r="E44" t="inlineStr"/>
      <c r="F44" t="inlineStr"/>
      <c r="G44" t="inlineStr"/>
      <c r="H44" t="inlineStr"/>
      <c r="I44" t="inlineStr"/>
      <c r="J44">
        <f>HYPERLINK("https://app.clickup.com/t/8698jrq3x", "[wonga: data warehouse development &amp; migration onto snowflake project] MART Process")</f>
        <v/>
      </c>
      <c r="K44" t="inlineStr"/>
      <c r="L44" t="inlineStr"/>
      <c r="M44" t="inlineStr"/>
      <c r="N44" t="inlineStr"/>
      <c r="O44">
        <f>HYPERLINK("https://app.clickup.com/t/8698jrq3g", "[slipstream - data warehouse solution - git (productization)] Orchestration")</f>
        <v/>
      </c>
    </row>
    <row r="45">
      <c r="A45" t="inlineStr"/>
      <c r="B45" t="inlineStr"/>
      <c r="C45" t="inlineStr"/>
      <c r="D45">
        <f>HYPERLINK("https://app.clickup.com/t/869bvbghv", "[wonga: data warehouse development &amp; migration onto snowflake project] Validations - FinMart_DebtorsAgeing")</f>
        <v/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>
        <f>HYPERLINK("https://app.clickup.com/t/8698jrq35", "[slipstream - data warehouse solution - git (productization)] Audit Tables and Process up to Data lake")</f>
        <v/>
      </c>
    </row>
    <row r="46">
      <c r="A46" t="inlineStr"/>
      <c r="B46" t="inlineStr"/>
      <c r="C46" t="inlineStr"/>
      <c r="D46">
        <f>HYPERLINK("https://app.clickup.com/t/869bu295j", "[wonga: data warehouse development &amp; migration onto snowflake project] Schedule runs")</f>
        <v/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>
        <f>HYPERLINK("https://app.clickup.com/t/869chgtr8", "[internal workstream] Power BI Solution Proposal")</f>
        <v/>
      </c>
    </row>
    <row r="47">
      <c r="A47" t="inlineStr"/>
      <c r="B47" t="inlineStr"/>
      <c r="C47" t="inlineStr"/>
      <c r="D47">
        <f>HYPERLINK("https://app.clickup.com/t/869brawz7", "[wonga: data warehouse development &amp; migration onto snowflake project] Productionize code")</f>
        <v/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>
        <f>HYPERLINK("https://app.clickup.com/t/869chgt5f", "[internal workstream] Tableau Cloud Solution Proposal")</f>
        <v/>
      </c>
    </row>
    <row r="48">
      <c r="A48" t="inlineStr"/>
      <c r="B48" t="inlineStr"/>
      <c r="C48" t="inlineStr"/>
      <c r="D48">
        <f>HYPERLINK("https://app.clickup.com/t/8698jrq3x", "[wonga: data warehouse development &amp; migration onto snowflake project] MART Process")</f>
        <v/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>
        <f>HYPERLINK("https://app.clickup.com/t/869cfctgx", "[internal workstream] 5 - Monitoring")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>
        <f>HYPERLINK("https://app.clickup.com/t/869cfctdn", "[internal workstream] 4 - Handover")</f>
        <v/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>
        <f>HYPERLINK("https://app.clickup.com/t/869cfct9n", "[internal workstream] 3 - Validations")</f>
        <v/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>
        <f>HYPERLINK("https://app.clickup.com/t/869cfct7t", "[internal workstream] 2 - Deployment")</f>
        <v/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>
        <f>HYPERLINK("https://app.clickup.com/t/869cfct4f", "[internal workstream] 1 - Development")</f>
        <v/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>
        <f>HYPERLINK("https://app.clickup.com/t/869cda6bu", "[internal workstream] 4 - Automated Client Reports")</f>
        <v/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>
        <f>HYPERLINK("https://app.clickup.com/t/869b7g4cn", "[internal workstream] Develop interface for ease of access")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>
        <f>HYPERLINK("https://app.clickup.com/t/869b7ft2j", "[internal workstream] 1 - Client Support Dashboard")</f>
        <v/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>
        <f>HYPERLINK("https://app.clickup.com/t/869b6v0gh", "[om: fatca 2.0 design implementation project (jira tasks)] CDC-2562 Develop a Foreigners List dashboard")</f>
        <v/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>
        <f>HYPERLINK("https://app.clickup.com/t/869ax6j44", "[om: fatca 2.0 design implementation project (jira tasks)] Titanium Reports")</f>
        <v/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>
        <f>HYPERLINK("https://app.clickup.com/t/869ax6j0z", "[om: fatca 2.0 design implementation project (jira tasks)] CDC-3034-aws-s3-bucket-investigation")</f>
        <v/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>
        <f>HYPERLINK("https://app.clickup.com/t/869avjm5f", "[om: fatca 2.0 design implementation project (jira tasks)] CBR Quarterly Run")</f>
        <v/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>
        <f>HYPERLINK("https://app.clickup.com/t/869auvvmp", "[om: fatca 2.0 design implementation project (jira tasks)] Advisor Recon Report Manual Run")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>
        <f>HYPERLINK("https://app.clickup.com/t/869arkz3a", "[om: fatca 2.0 design implementation project (jira tasks)] CDC-2914 Create Test Cases Cura Reg Change (Framework) Dashboard")</f>
        <v/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>
        <f>HYPERLINK("https://app.clickup.com/t/869am7mt7", "[om: fatca 2.0 design implementation project (jira tasks)] CDC-2913 Cura Reg Change Dashboard Modifications")</f>
        <v/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>
        <f>HYPERLINK("https://app.clickup.com/t/869c2hcek", "[wonga: data warehouse development &amp; migration onto snowflake project] Reload history tables that were brought across and incomplete")</f>
        <v/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>
        <f>HYPERLINK("https://app.clickup.com/t/869bu295j", "[wonga: data warehouse development &amp; migration onto snowflake project] Schedule runs")</f>
        <v/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>
        <f>HYPERLINK("https://app.clickup.com/t/869bq2yqd", "[wonga: data warehouse development &amp; migration onto snowflake project] Governance and Security")</f>
        <v/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>
        <f>HYPERLINK("https://app.clickup.com/t/869bq2xt6", "[wonga: data warehouse development &amp; migration onto snowflake project] Snowflake Configuration")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>
        <f>HYPERLINK("https://app.clickup.com/t/869bfd9yv", "[wonga: data warehouse development &amp; migration onto snowflake project] Validate FinMart_DT_Billing")</f>
        <v/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>
        <f>HYPERLINK("https://app.clickup.com/t/869avzbxv", "[wonga: data warehouse development &amp; migration onto snowflake project] Handover of Operational Reports")</f>
        <v/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>
        <f>HYPERLINK("https://app.clickup.com/t/869arp3f6", "[wonga: data warehouse development &amp; migration onto snowflake project] PowerBI - Financial Reports (DWH)")</f>
        <v/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>
        <f>HYPERLINK("https://app.clickup.com/t/869aq4tr8", "[wonga: data warehouse development &amp; migration onto snowflake project] PowerBI - Operational Reports")</f>
        <v/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>
        <f>HYPERLINK("https://app.clickup.com/t/8698jrq3x", "[wonga: data warehouse development &amp; migration onto snowflake project] MART Process")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2026-03-19T10:06:54Z</dcterms:created>
  <dcterms:modified xsi:type="dcterms:W3CDTF">2026-03-19T10:10:05Z</dcterms:modified>
</cp:coreProperties>
</file>